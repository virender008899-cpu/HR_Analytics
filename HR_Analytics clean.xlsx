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slicers/slicer1.xml" ContentType="application/vnd.ms-excel.slicer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G2PEPF000E4F55\EXCELCNV\c35364e5-3329-4cd5-8a2e-31f542e4819f\"/>
    </mc:Choice>
  </mc:AlternateContent>
  <xr:revisionPtr revIDLastSave="1137" documentId="8_{9FEDDB7C-6C59-413E-BA0F-5C428085D9E1}" xr6:coauthVersionLast="47" xr6:coauthVersionMax="47" xr10:uidLastSave="{74803F42-3ED5-4D17-97DE-87D707836951}"/>
  <bookViews>
    <workbookView xWindow="-60" yWindow="-60" windowWidth="15480" windowHeight="11640" firstSheet="3" xr2:uid="{0BC74AA5-ADF6-4152-A467-96091B75F539}"/>
  </bookViews>
  <sheets>
    <sheet name="RAW Data" sheetId="1" r:id="rId1"/>
    <sheet name="Analysis" sheetId="2" r:id="rId2"/>
    <sheet name="Business question " sheetId="3" r:id="rId3"/>
    <sheet name="HR Dashboard " sheetId="4" r:id="rId4"/>
  </sheets>
  <definedNames>
    <definedName name="_xlnm._FilterDatabase" localSheetId="0" hidden="1">'RAW Data'!$A$1:$AI$1471</definedName>
    <definedName name="Slicer_Department">#N/A</definedName>
  </definedNames>
  <calcPr calcId="191028"/>
  <pivotCaches>
    <pivotCache cacheId="597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4" l="1"/>
  <c r="B6" i="3"/>
  <c r="B27" i="3"/>
  <c r="B26" i="3"/>
  <c r="B25" i="3" a="1"/>
  <c r="B25" i="3" s="1"/>
  <c r="AL2" i="2" a="1"/>
  <c r="AL2" i="2"/>
  <c r="AL3" i="2" a="1"/>
  <c r="AL3" i="2"/>
  <c r="AL4" i="2" a="1"/>
  <c r="AL4" i="2"/>
  <c r="AL5" i="2" a="1"/>
  <c r="AL5" i="2"/>
  <c r="AL6" i="2" a="1"/>
  <c r="AL6" i="2"/>
  <c r="AL7" i="2" a="1"/>
  <c r="AL7" i="2"/>
  <c r="AL8" i="2" a="1"/>
  <c r="AL8" i="2"/>
  <c r="AL9" i="2" a="1"/>
  <c r="AL9" i="2"/>
  <c r="AL10" i="2" a="1"/>
  <c r="AL10" i="2"/>
  <c r="AL11" i="2" a="1"/>
  <c r="AL11" i="2"/>
  <c r="AL12" i="2" a="1"/>
  <c r="AL12" i="2"/>
  <c r="AL13" i="2" a="1"/>
  <c r="AL13" i="2"/>
  <c r="AL14" i="2" a="1"/>
  <c r="AL14" i="2"/>
  <c r="AL15" i="2" a="1"/>
  <c r="AL15" i="2"/>
  <c r="AL16" i="2" a="1"/>
  <c r="AL16" i="2"/>
  <c r="AL17" i="2" a="1"/>
  <c r="AL17" i="2"/>
  <c r="AL18" i="2" a="1"/>
  <c r="AL18" i="2"/>
  <c r="AL19" i="2" a="1"/>
  <c r="AL19" i="2"/>
  <c r="AL20" i="2" a="1"/>
  <c r="AL20" i="2"/>
  <c r="AL21" i="2" a="1"/>
  <c r="AL21" i="2"/>
  <c r="AL22" i="2" a="1"/>
  <c r="AL22" i="2"/>
  <c r="AL23" i="2" a="1"/>
  <c r="AL23" i="2"/>
  <c r="AL24" i="2" a="1"/>
  <c r="AL24" i="2"/>
  <c r="AL25" i="2" a="1"/>
  <c r="AL25" i="2"/>
  <c r="AL26" i="2" a="1"/>
  <c r="AL26" i="2"/>
  <c r="AL27" i="2" a="1"/>
  <c r="AL27" i="2"/>
  <c r="AL28" i="2" a="1"/>
  <c r="AL28" i="2"/>
  <c r="AL29" i="2" a="1"/>
  <c r="AL29" i="2"/>
  <c r="AL30" i="2" a="1"/>
  <c r="AL30" i="2"/>
  <c r="AL31" i="2" a="1"/>
  <c r="AL31" i="2"/>
  <c r="AL32" i="2" a="1"/>
  <c r="AL32" i="2"/>
  <c r="AL33" i="2" a="1"/>
  <c r="AL33" i="2"/>
  <c r="AL34" i="2" a="1"/>
  <c r="AL34" i="2"/>
  <c r="AL35" i="2" a="1"/>
  <c r="AL35" i="2"/>
  <c r="AL36" i="2" a="1"/>
  <c r="AL36" i="2"/>
  <c r="AL37" i="2" a="1"/>
  <c r="AL37" i="2"/>
  <c r="AL38" i="2" a="1"/>
  <c r="AL38" i="2"/>
  <c r="AL39" i="2" a="1"/>
  <c r="AL39" i="2"/>
  <c r="AL40" i="2" a="1"/>
  <c r="AL40" i="2"/>
  <c r="AL41" i="2" a="1"/>
  <c r="AL41" i="2"/>
  <c r="AL42" i="2" a="1"/>
  <c r="AL42" i="2"/>
  <c r="AL43" i="2" a="1"/>
  <c r="AL43" i="2"/>
  <c r="AL44" i="2" a="1"/>
  <c r="AL44" i="2"/>
  <c r="AL45" i="2" a="1"/>
  <c r="AL45" i="2"/>
  <c r="AL46" i="2" a="1"/>
  <c r="AL46" i="2"/>
  <c r="AL47" i="2" a="1"/>
  <c r="AL47" i="2"/>
  <c r="AL48" i="2" a="1"/>
  <c r="AL48" i="2"/>
  <c r="AL49" i="2" a="1"/>
  <c r="AL49" i="2"/>
  <c r="AL50" i="2" a="1"/>
  <c r="AL50" i="2"/>
  <c r="AL51" i="2" a="1"/>
  <c r="AL51" i="2"/>
  <c r="AL52" i="2" a="1"/>
  <c r="AL52" i="2"/>
  <c r="AL53" i="2" a="1"/>
  <c r="AL53" i="2"/>
  <c r="AL54" i="2" a="1"/>
  <c r="AL54" i="2"/>
  <c r="AL55" i="2" a="1"/>
  <c r="AL55" i="2"/>
  <c r="AL56" i="2" a="1"/>
  <c r="AL56" i="2"/>
  <c r="AL57" i="2" a="1"/>
  <c r="AL57" i="2"/>
  <c r="AL58" i="2" a="1"/>
  <c r="AL58" i="2"/>
  <c r="AL59" i="2" a="1"/>
  <c r="AL59" i="2"/>
  <c r="AL60" i="2" a="1"/>
  <c r="AL60" i="2"/>
  <c r="AL61" i="2" a="1"/>
  <c r="AL61" i="2"/>
  <c r="AL62" i="2" a="1"/>
  <c r="AL62" i="2"/>
  <c r="AL63" i="2" a="1"/>
  <c r="AL63" i="2"/>
  <c r="AL64" i="2" a="1"/>
  <c r="AL64" i="2"/>
  <c r="AL65" i="2" a="1"/>
  <c r="AL65" i="2"/>
  <c r="AL66" i="2" a="1"/>
  <c r="AL66" i="2"/>
  <c r="AL67" i="2" a="1"/>
  <c r="AL67" i="2"/>
  <c r="AL68" i="2" a="1"/>
  <c r="AL68" i="2"/>
  <c r="AL69" i="2" a="1"/>
  <c r="AL69" i="2"/>
  <c r="AL70" i="2" a="1"/>
  <c r="AL70" i="2"/>
  <c r="AL71" i="2" a="1"/>
  <c r="AL71" i="2"/>
  <c r="AL72" i="2" a="1"/>
  <c r="AL72" i="2"/>
  <c r="AL73" i="2" a="1"/>
  <c r="AL73" i="2"/>
  <c r="AL74" i="2" a="1"/>
  <c r="AL74" i="2"/>
  <c r="AL75" i="2" a="1"/>
  <c r="AL75" i="2"/>
  <c r="AL76" i="2" a="1"/>
  <c r="AL76" i="2"/>
  <c r="AL77" i="2" a="1"/>
  <c r="AL77" i="2"/>
  <c r="AL78" i="2" a="1"/>
  <c r="AL78" i="2"/>
  <c r="AL79" i="2" a="1"/>
  <c r="AL79" i="2"/>
  <c r="AL80" i="2" a="1"/>
  <c r="AL80" i="2"/>
  <c r="AL81" i="2" a="1"/>
  <c r="AL81" i="2"/>
  <c r="AL82" i="2" a="1"/>
  <c r="AL82" i="2"/>
  <c r="AL83" i="2" a="1"/>
  <c r="AL83" i="2"/>
  <c r="AL84" i="2" a="1"/>
  <c r="AL84" i="2"/>
  <c r="AL85" i="2" a="1"/>
  <c r="AL85" i="2"/>
  <c r="AL86" i="2" a="1"/>
  <c r="AL86" i="2"/>
  <c r="AL87" i="2" a="1"/>
  <c r="AL87" i="2"/>
  <c r="AL88" i="2" a="1"/>
  <c r="AL88" i="2"/>
  <c r="AL89" i="2" a="1"/>
  <c r="AL89" i="2"/>
  <c r="AL90" i="2" a="1"/>
  <c r="AL90" i="2"/>
  <c r="AL91" i="2" a="1"/>
  <c r="AL91" i="2"/>
  <c r="AL92" i="2" a="1"/>
  <c r="AL92" i="2"/>
  <c r="AL93" i="2" a="1"/>
  <c r="AL93" i="2"/>
  <c r="AL94" i="2" a="1"/>
  <c r="AL94" i="2"/>
  <c r="AL95" i="2" a="1"/>
  <c r="AL95" i="2"/>
  <c r="AL96" i="2" a="1"/>
  <c r="AL96" i="2"/>
  <c r="AL97" i="2" a="1"/>
  <c r="AL97" i="2"/>
  <c r="AL98" i="2" a="1"/>
  <c r="AL98" i="2"/>
  <c r="AL99" i="2" a="1"/>
  <c r="AL99" i="2"/>
  <c r="AL100" i="2" a="1"/>
  <c r="AL100" i="2"/>
  <c r="AL101" i="2" a="1"/>
  <c r="AL101" i="2"/>
  <c r="AL102" i="2" a="1"/>
  <c r="AL102" i="2"/>
  <c r="AL103" i="2" a="1"/>
  <c r="AL103" i="2"/>
  <c r="AL104" i="2" a="1"/>
  <c r="AL104" i="2"/>
  <c r="AL105" i="2" a="1"/>
  <c r="AL105" i="2"/>
  <c r="AL106" i="2" a="1"/>
  <c r="AL106" i="2"/>
  <c r="AL107" i="2" a="1"/>
  <c r="AL107" i="2"/>
  <c r="AL108" i="2" a="1"/>
  <c r="AL108" i="2"/>
  <c r="AL109" i="2" a="1"/>
  <c r="AL109" i="2"/>
  <c r="AL110" i="2" a="1"/>
  <c r="AL110" i="2"/>
  <c r="AL111" i="2" a="1"/>
  <c r="AL111" i="2"/>
  <c r="AL112" i="2" a="1"/>
  <c r="AL112" i="2"/>
  <c r="AL113" i="2" a="1"/>
  <c r="AL113" i="2"/>
  <c r="AL114" i="2" a="1"/>
  <c r="AL114" i="2"/>
  <c r="AL115" i="2" a="1"/>
  <c r="AL115" i="2"/>
  <c r="AL116" i="2" a="1"/>
  <c r="AL116" i="2"/>
  <c r="AL117" i="2" a="1"/>
  <c r="AL117" i="2"/>
  <c r="AL118" i="2" a="1"/>
  <c r="AL118" i="2"/>
  <c r="AL119" i="2" a="1"/>
  <c r="AL119" i="2"/>
  <c r="AL120" i="2" a="1"/>
  <c r="AL120" i="2"/>
  <c r="AL121" i="2" a="1"/>
  <c r="AL121" i="2"/>
  <c r="AL122" i="2" a="1"/>
  <c r="AL122" i="2"/>
  <c r="AL123" i="2" a="1"/>
  <c r="AL123" i="2"/>
  <c r="AL124" i="2" a="1"/>
  <c r="AL124" i="2"/>
  <c r="AL125" i="2" a="1"/>
  <c r="AL125" i="2"/>
  <c r="AL126" i="2" a="1"/>
  <c r="AL126" i="2"/>
  <c r="AL127" i="2" a="1"/>
  <c r="AL127" i="2"/>
  <c r="AL128" i="2" a="1"/>
  <c r="AL128" i="2"/>
  <c r="AL129" i="2" a="1"/>
  <c r="AL129" i="2"/>
  <c r="AL130" i="2" a="1"/>
  <c r="AL130" i="2"/>
  <c r="AL131" i="2" a="1"/>
  <c r="AL131" i="2"/>
  <c r="AL132" i="2" a="1"/>
  <c r="AL132" i="2"/>
  <c r="AL133" i="2" a="1"/>
  <c r="AL133" i="2"/>
  <c r="AL134" i="2" a="1"/>
  <c r="AL134" i="2"/>
  <c r="AL135" i="2" a="1"/>
  <c r="AL135" i="2"/>
  <c r="AL136" i="2" a="1"/>
  <c r="AL136" i="2"/>
  <c r="AL137" i="2" a="1"/>
  <c r="AL137" i="2"/>
  <c r="AL138" i="2" a="1"/>
  <c r="AL138" i="2"/>
  <c r="AL139" i="2" a="1"/>
  <c r="AL139" i="2"/>
  <c r="AL140" i="2" a="1"/>
  <c r="AL140" i="2"/>
  <c r="AL141" i="2" a="1"/>
  <c r="AL141" i="2"/>
  <c r="AL142" i="2" a="1"/>
  <c r="AL142" i="2"/>
  <c r="AL143" i="2" a="1"/>
  <c r="AL143" i="2"/>
  <c r="AL144" i="2" a="1"/>
  <c r="AL144" i="2"/>
  <c r="AL145" i="2" a="1"/>
  <c r="AL145" i="2"/>
  <c r="AL146" i="2" a="1"/>
  <c r="AL146" i="2"/>
  <c r="AL147" i="2" a="1"/>
  <c r="AL147" i="2"/>
  <c r="AL148" i="2" a="1"/>
  <c r="AL148" i="2"/>
  <c r="AL149" i="2" a="1"/>
  <c r="AL149" i="2"/>
  <c r="AL150" i="2" a="1"/>
  <c r="AL150" i="2"/>
  <c r="AL151" i="2" a="1"/>
  <c r="AL151" i="2"/>
  <c r="AL152" i="2" a="1"/>
  <c r="AL152" i="2"/>
  <c r="AL153" i="2" a="1"/>
  <c r="AL153" i="2"/>
  <c r="AL154" i="2" a="1"/>
  <c r="AL154" i="2"/>
  <c r="AL155" i="2" a="1"/>
  <c r="AL155" i="2"/>
  <c r="AL156" i="2" a="1"/>
  <c r="AL156" i="2"/>
  <c r="AL157" i="2" a="1"/>
  <c r="AL157" i="2"/>
  <c r="AL158" i="2" a="1"/>
  <c r="AL158" i="2"/>
  <c r="AL159" i="2" a="1"/>
  <c r="AL159" i="2"/>
  <c r="AL160" i="2" a="1"/>
  <c r="AL160" i="2"/>
  <c r="AL161" i="2" a="1"/>
  <c r="AL161" i="2"/>
  <c r="AL162" i="2" a="1"/>
  <c r="AL162" i="2"/>
  <c r="AL163" i="2" a="1"/>
  <c r="AL163" i="2"/>
  <c r="AL164" i="2" a="1"/>
  <c r="AL164" i="2"/>
  <c r="AL165" i="2" a="1"/>
  <c r="AL165" i="2"/>
  <c r="AL166" i="2" a="1"/>
  <c r="AL166" i="2"/>
  <c r="AL167" i="2" a="1"/>
  <c r="AL167" i="2"/>
  <c r="AL168" i="2" a="1"/>
  <c r="AL168" i="2"/>
  <c r="AL169" i="2" a="1"/>
  <c r="AL169" i="2"/>
  <c r="AL170" i="2" a="1"/>
  <c r="AL170" i="2"/>
  <c r="AL171" i="2" a="1"/>
  <c r="AL171" i="2"/>
  <c r="AL172" i="2" a="1"/>
  <c r="AL172" i="2"/>
  <c r="AL173" i="2" a="1"/>
  <c r="AL173" i="2"/>
  <c r="AL174" i="2" a="1"/>
  <c r="AL174" i="2"/>
  <c r="AL175" i="2" a="1"/>
  <c r="AL175" i="2"/>
  <c r="AL176" i="2" a="1"/>
  <c r="AL176" i="2"/>
  <c r="AL177" i="2" a="1"/>
  <c r="AL177" i="2"/>
  <c r="AL178" i="2" a="1"/>
  <c r="AL178" i="2"/>
  <c r="AL179" i="2" a="1"/>
  <c r="AL179" i="2"/>
  <c r="AL180" i="2" a="1"/>
  <c r="AL180" i="2"/>
  <c r="AL181" i="2" a="1"/>
  <c r="AL181" i="2"/>
  <c r="AL182" i="2" a="1"/>
  <c r="AL182" i="2"/>
  <c r="AL183" i="2" a="1"/>
  <c r="AL183" i="2"/>
  <c r="AL184" i="2" a="1"/>
  <c r="AL184" i="2"/>
  <c r="AL185" i="2" a="1"/>
  <c r="AL185" i="2"/>
  <c r="AL186" i="2" a="1"/>
  <c r="AL186" i="2"/>
  <c r="AL187" i="2" a="1"/>
  <c r="AL187" i="2"/>
  <c r="AL188" i="2" a="1"/>
  <c r="AL188" i="2"/>
  <c r="AL189" i="2" a="1"/>
  <c r="AL189" i="2"/>
  <c r="AL190" i="2" a="1"/>
  <c r="AL190" i="2"/>
  <c r="AL191" i="2" a="1"/>
  <c r="AL191" i="2"/>
  <c r="AL192" i="2" a="1"/>
  <c r="AL192" i="2"/>
  <c r="AL193" i="2" a="1"/>
  <c r="AL193" i="2"/>
  <c r="AL194" i="2" a="1"/>
  <c r="AL194" i="2"/>
  <c r="AL195" i="2" a="1"/>
  <c r="AL195" i="2"/>
  <c r="AL196" i="2" a="1"/>
  <c r="AL196" i="2"/>
  <c r="AL197" i="2" a="1"/>
  <c r="AL197" i="2"/>
  <c r="AL198" i="2" a="1"/>
  <c r="AL198" i="2"/>
  <c r="AL199" i="2" a="1"/>
  <c r="AL199" i="2"/>
  <c r="AL200" i="2" a="1"/>
  <c r="AL200" i="2"/>
  <c r="AL201" i="2" a="1"/>
  <c r="AL201" i="2"/>
  <c r="AL202" i="2" a="1"/>
  <c r="AL202" i="2"/>
  <c r="AL203" i="2" a="1"/>
  <c r="AL203" i="2"/>
  <c r="AL204" i="2" a="1"/>
  <c r="AL204" i="2"/>
  <c r="AL205" i="2" a="1"/>
  <c r="AL205" i="2"/>
  <c r="AL206" i="2" a="1"/>
  <c r="AL206" i="2"/>
  <c r="AL207" i="2" a="1"/>
  <c r="AL207" i="2"/>
  <c r="AL208" i="2" a="1"/>
  <c r="AL208" i="2"/>
  <c r="AL209" i="2" a="1"/>
  <c r="AL209" i="2"/>
  <c r="AL210" i="2" a="1"/>
  <c r="AL210" i="2"/>
  <c r="AL211" i="2" a="1"/>
  <c r="AL211" i="2"/>
  <c r="AL212" i="2" a="1"/>
  <c r="AL212" i="2"/>
  <c r="AL213" i="2" a="1"/>
  <c r="AL213" i="2"/>
  <c r="AL214" i="2" a="1"/>
  <c r="AL214" i="2"/>
  <c r="AL215" i="2" a="1"/>
  <c r="AL215" i="2"/>
  <c r="AL216" i="2" a="1"/>
  <c r="AL216" i="2"/>
  <c r="AL217" i="2" a="1"/>
  <c r="AL217" i="2"/>
  <c r="AL218" i="2" a="1"/>
  <c r="AL218" i="2"/>
  <c r="AL219" i="2" a="1"/>
  <c r="AL219" i="2"/>
  <c r="AL220" i="2" a="1"/>
  <c r="AL220" i="2"/>
  <c r="AL221" i="2" a="1"/>
  <c r="AL221" i="2"/>
  <c r="AL222" i="2" a="1"/>
  <c r="AL222" i="2"/>
  <c r="AL223" i="2" a="1"/>
  <c r="AL223" i="2"/>
  <c r="AL224" i="2" a="1"/>
  <c r="AL224" i="2"/>
  <c r="AL225" i="2" a="1"/>
  <c r="AL225" i="2"/>
  <c r="AL226" i="2" a="1"/>
  <c r="AL226" i="2"/>
  <c r="AL227" i="2" a="1"/>
  <c r="AL227" i="2"/>
  <c r="AL228" i="2" a="1"/>
  <c r="AL228" i="2"/>
  <c r="AL229" i="2" a="1"/>
  <c r="AL229" i="2"/>
  <c r="AL230" i="2" a="1"/>
  <c r="AL230" i="2"/>
  <c r="AL231" i="2" a="1"/>
  <c r="AL231" i="2"/>
  <c r="AL232" i="2" a="1"/>
  <c r="AL232" i="2"/>
  <c r="AL233" i="2" a="1"/>
  <c r="AL233" i="2"/>
  <c r="AL234" i="2" a="1"/>
  <c r="AL234" i="2"/>
  <c r="AL235" i="2" a="1"/>
  <c r="AL235" i="2"/>
  <c r="AL236" i="2" a="1"/>
  <c r="AL236" i="2"/>
  <c r="AL237" i="2" a="1"/>
  <c r="AL237" i="2"/>
  <c r="AL238" i="2" a="1"/>
  <c r="AL238" i="2"/>
  <c r="AL239" i="2" a="1"/>
  <c r="AL239" i="2"/>
  <c r="AL240" i="2" a="1"/>
  <c r="AL240" i="2"/>
  <c r="AL241" i="2" a="1"/>
  <c r="AL241" i="2"/>
  <c r="AL242" i="2" a="1"/>
  <c r="AL242" i="2"/>
  <c r="AL243" i="2" a="1"/>
  <c r="AL243" i="2"/>
  <c r="AL244" i="2" a="1"/>
  <c r="AL244" i="2"/>
  <c r="AL245" i="2" a="1"/>
  <c r="AL245" i="2"/>
  <c r="AL246" i="2" a="1"/>
  <c r="AL246" i="2"/>
  <c r="AL247" i="2" a="1"/>
  <c r="AL247" i="2"/>
  <c r="AL248" i="2" a="1"/>
  <c r="AL248" i="2"/>
  <c r="AL249" i="2" a="1"/>
  <c r="AL249" i="2"/>
  <c r="AL250" i="2" a="1"/>
  <c r="AL250" i="2"/>
  <c r="AL251" i="2" a="1"/>
  <c r="AL251" i="2"/>
  <c r="AL252" i="2" a="1"/>
  <c r="AL252" i="2"/>
  <c r="AL253" i="2" a="1"/>
  <c r="AL253" i="2"/>
  <c r="AL254" i="2" a="1"/>
  <c r="AL254" i="2"/>
  <c r="AL255" i="2" a="1"/>
  <c r="AL255" i="2"/>
  <c r="AL256" i="2" a="1"/>
  <c r="AL256" i="2"/>
  <c r="AL257" i="2" a="1"/>
  <c r="AL257" i="2"/>
  <c r="AL258" i="2" a="1"/>
  <c r="AL258" i="2"/>
  <c r="AL259" i="2" a="1"/>
  <c r="AL259" i="2"/>
  <c r="AL260" i="2" a="1"/>
  <c r="AL260" i="2"/>
  <c r="AL261" i="2" a="1"/>
  <c r="AL261" i="2"/>
  <c r="AL262" i="2" a="1"/>
  <c r="AL262" i="2"/>
  <c r="AL263" i="2" a="1"/>
  <c r="AL263" i="2"/>
  <c r="AL264" i="2" a="1"/>
  <c r="AL264" i="2"/>
  <c r="AL265" i="2" a="1"/>
  <c r="AL265" i="2"/>
  <c r="AL266" i="2" a="1"/>
  <c r="AL266" i="2"/>
  <c r="AL267" i="2" a="1"/>
  <c r="AL267" i="2"/>
  <c r="AL268" i="2" a="1"/>
  <c r="AL268" i="2"/>
  <c r="AL269" i="2" a="1"/>
  <c r="AL269" i="2"/>
  <c r="AL270" i="2" a="1"/>
  <c r="AL270" i="2"/>
  <c r="AL271" i="2" a="1"/>
  <c r="AL271" i="2"/>
  <c r="AL272" i="2" a="1"/>
  <c r="AL272" i="2"/>
  <c r="AL273" i="2" a="1"/>
  <c r="AL273" i="2"/>
  <c r="AL274" i="2" a="1"/>
  <c r="AL274" i="2"/>
  <c r="AL275" i="2" a="1"/>
  <c r="AL275" i="2"/>
  <c r="AL276" i="2" a="1"/>
  <c r="AL276" i="2"/>
  <c r="AL277" i="2" a="1"/>
  <c r="AL277" i="2"/>
  <c r="AL278" i="2" a="1"/>
  <c r="AL278" i="2"/>
  <c r="AL279" i="2" a="1"/>
  <c r="AL279" i="2"/>
  <c r="AL280" i="2" a="1"/>
  <c r="AL280" i="2"/>
  <c r="AL281" i="2" a="1"/>
  <c r="AL281" i="2"/>
  <c r="AL282" i="2" a="1"/>
  <c r="AL282" i="2"/>
  <c r="AL283" i="2" a="1"/>
  <c r="AL283" i="2"/>
  <c r="AL284" i="2" a="1"/>
  <c r="AL284" i="2"/>
  <c r="AL285" i="2" a="1"/>
  <c r="AL285" i="2"/>
  <c r="AL286" i="2" a="1"/>
  <c r="AL286" i="2"/>
  <c r="AL287" i="2" a="1"/>
  <c r="AL287" i="2"/>
  <c r="AL288" i="2" a="1"/>
  <c r="AL288" i="2"/>
  <c r="AL289" i="2" a="1"/>
  <c r="AL289" i="2"/>
  <c r="AL290" i="2" a="1"/>
  <c r="AL290" i="2"/>
  <c r="AL291" i="2" a="1"/>
  <c r="AL291" i="2"/>
  <c r="AL292" i="2" a="1"/>
  <c r="AL292" i="2"/>
  <c r="AL293" i="2" a="1"/>
  <c r="AL293" i="2"/>
  <c r="AL294" i="2" a="1"/>
  <c r="AL294" i="2"/>
  <c r="AL295" i="2" a="1"/>
  <c r="AL295" i="2"/>
  <c r="AL296" i="2" a="1"/>
  <c r="AL296" i="2"/>
  <c r="AL297" i="2" a="1"/>
  <c r="AL297" i="2"/>
  <c r="AL298" i="2" a="1"/>
  <c r="AL298" i="2"/>
  <c r="AL299" i="2" a="1"/>
  <c r="AL299" i="2"/>
  <c r="AL300" i="2" a="1"/>
  <c r="AL300" i="2"/>
  <c r="AL301" i="2" a="1"/>
  <c r="AL301" i="2"/>
  <c r="AL302" i="2" a="1"/>
  <c r="AL302" i="2"/>
  <c r="AL303" i="2" a="1"/>
  <c r="AL303" i="2"/>
  <c r="AL304" i="2" a="1"/>
  <c r="AL304" i="2"/>
  <c r="AL305" i="2" a="1"/>
  <c r="AL305" i="2"/>
  <c r="AL306" i="2" a="1"/>
  <c r="AL306" i="2"/>
  <c r="AL307" i="2" a="1"/>
  <c r="AL307" i="2"/>
  <c r="AL308" i="2" a="1"/>
  <c r="AL308" i="2"/>
  <c r="AL309" i="2" a="1"/>
  <c r="AL309" i="2"/>
  <c r="AL310" i="2" a="1"/>
  <c r="AL310" i="2"/>
  <c r="AL311" i="2" a="1"/>
  <c r="AL311" i="2"/>
  <c r="AL312" i="2" a="1"/>
  <c r="AL312" i="2"/>
  <c r="AL313" i="2" a="1"/>
  <c r="AL313" i="2"/>
  <c r="AL314" i="2" a="1"/>
  <c r="AL314" i="2"/>
  <c r="AL315" i="2" a="1"/>
  <c r="AL315" i="2"/>
  <c r="AL316" i="2" a="1"/>
  <c r="AL316" i="2"/>
  <c r="AL317" i="2" a="1"/>
  <c r="AL317" i="2"/>
  <c r="AL318" i="2" a="1"/>
  <c r="AL318" i="2"/>
  <c r="AL319" i="2" a="1"/>
  <c r="AL319" i="2"/>
  <c r="AL320" i="2" a="1"/>
  <c r="AL320" i="2"/>
  <c r="AL321" i="2" a="1"/>
  <c r="AL321" i="2"/>
  <c r="AL322" i="2" a="1"/>
  <c r="AL322" i="2"/>
  <c r="AL323" i="2" a="1"/>
  <c r="AL323" i="2"/>
  <c r="AL324" i="2" a="1"/>
  <c r="AL324" i="2"/>
  <c r="AL325" i="2" a="1"/>
  <c r="AL325" i="2"/>
  <c r="AL326" i="2" a="1"/>
  <c r="AL326" i="2"/>
  <c r="AL327" i="2" a="1"/>
  <c r="AL327" i="2"/>
  <c r="AL328" i="2" a="1"/>
  <c r="AL328" i="2"/>
  <c r="AL329" i="2" a="1"/>
  <c r="AL329" i="2"/>
  <c r="AL330" i="2" a="1"/>
  <c r="AL330" i="2"/>
  <c r="AL331" i="2" a="1"/>
  <c r="AL331" i="2"/>
  <c r="AL332" i="2" a="1"/>
  <c r="AL332" i="2"/>
  <c r="AL333" i="2" a="1"/>
  <c r="AL333" i="2"/>
  <c r="AL334" i="2" a="1"/>
  <c r="AL334" i="2"/>
  <c r="AL335" i="2" a="1"/>
  <c r="AL335" i="2"/>
  <c r="AL336" i="2" a="1"/>
  <c r="AL336" i="2"/>
  <c r="AL337" i="2" a="1"/>
  <c r="AL337" i="2"/>
  <c r="AL338" i="2" a="1"/>
  <c r="AL338" i="2"/>
  <c r="AL339" i="2" a="1"/>
  <c r="AL339" i="2"/>
  <c r="AL340" i="2" a="1"/>
  <c r="AL340" i="2"/>
  <c r="AL341" i="2" a="1"/>
  <c r="AL341" i="2"/>
  <c r="AL342" i="2" a="1"/>
  <c r="AL342" i="2"/>
  <c r="AL343" i="2" a="1"/>
  <c r="AL343" i="2"/>
  <c r="AL344" i="2" a="1"/>
  <c r="AL344" i="2"/>
  <c r="AL345" i="2" a="1"/>
  <c r="AL345" i="2"/>
  <c r="AL346" i="2" a="1"/>
  <c r="AL346" i="2"/>
  <c r="AL347" i="2" a="1"/>
  <c r="AL347" i="2"/>
  <c r="AL348" i="2" a="1"/>
  <c r="AL348" i="2"/>
  <c r="AL349" i="2" a="1"/>
  <c r="AL349" i="2"/>
  <c r="AL350" i="2" a="1"/>
  <c r="AL350" i="2"/>
  <c r="AL351" i="2" a="1"/>
  <c r="AL351" i="2"/>
  <c r="AL352" i="2" a="1"/>
  <c r="AL352" i="2"/>
  <c r="AL353" i="2" a="1"/>
  <c r="AL353" i="2"/>
  <c r="AL354" i="2" a="1"/>
  <c r="AL354" i="2"/>
  <c r="AL355" i="2" a="1"/>
  <c r="AL355" i="2"/>
  <c r="AL356" i="2" a="1"/>
  <c r="AL356" i="2"/>
  <c r="AL357" i="2" a="1"/>
  <c r="AL357" i="2"/>
  <c r="AL358" i="2" a="1"/>
  <c r="AL358" i="2"/>
  <c r="AL359" i="2" a="1"/>
  <c r="AL359" i="2"/>
  <c r="AL360" i="2" a="1"/>
  <c r="AL360" i="2"/>
  <c r="AL361" i="2" a="1"/>
  <c r="AL361" i="2"/>
  <c r="AL362" i="2" a="1"/>
  <c r="AL362" i="2"/>
  <c r="AL363" i="2" a="1"/>
  <c r="AL363" i="2"/>
  <c r="AL364" i="2" a="1"/>
  <c r="AL364" i="2"/>
  <c r="AL365" i="2" a="1"/>
  <c r="AL365" i="2"/>
  <c r="AL366" i="2" a="1"/>
  <c r="AL366" i="2"/>
  <c r="AL367" i="2" a="1"/>
  <c r="AL367" i="2"/>
  <c r="AL368" i="2" a="1"/>
  <c r="AL368" i="2"/>
  <c r="AL369" i="2" a="1"/>
  <c r="AL369" i="2"/>
  <c r="AL370" i="2" a="1"/>
  <c r="AL370" i="2"/>
  <c r="AL371" i="2" a="1"/>
  <c r="AL371" i="2"/>
  <c r="AL372" i="2" a="1"/>
  <c r="AL372" i="2"/>
  <c r="AL373" i="2" a="1"/>
  <c r="AL373" i="2"/>
  <c r="AL374" i="2" a="1"/>
  <c r="AL374" i="2"/>
  <c r="AL375" i="2" a="1"/>
  <c r="AL375" i="2"/>
  <c r="AL376" i="2" a="1"/>
  <c r="AL376" i="2"/>
  <c r="AL377" i="2" a="1"/>
  <c r="AL377" i="2"/>
  <c r="AL378" i="2" a="1"/>
  <c r="AL378" i="2"/>
  <c r="AL379" i="2" a="1"/>
  <c r="AL379" i="2"/>
  <c r="AL380" i="2" a="1"/>
  <c r="AL380" i="2"/>
  <c r="AL381" i="2" a="1"/>
  <c r="AL381" i="2"/>
  <c r="AL382" i="2" a="1"/>
  <c r="AL382" i="2"/>
  <c r="AL383" i="2" a="1"/>
  <c r="AL383" i="2"/>
  <c r="AL384" i="2" a="1"/>
  <c r="AL384" i="2"/>
  <c r="AL385" i="2" a="1"/>
  <c r="AL385" i="2"/>
  <c r="AL386" i="2" a="1"/>
  <c r="AL386" i="2"/>
  <c r="AL387" i="2" a="1"/>
  <c r="AL387" i="2"/>
  <c r="AL388" i="2" a="1"/>
  <c r="AL388" i="2"/>
  <c r="AL389" i="2" a="1"/>
  <c r="AL389" i="2"/>
  <c r="AL390" i="2" a="1"/>
  <c r="AL390" i="2"/>
  <c r="AL391" i="2" a="1"/>
  <c r="AL391" i="2"/>
  <c r="AL392" i="2" a="1"/>
  <c r="AL392" i="2"/>
  <c r="AL393" i="2" a="1"/>
  <c r="AL393" i="2"/>
  <c r="AL394" i="2" a="1"/>
  <c r="AL394" i="2"/>
  <c r="AL395" i="2" a="1"/>
  <c r="AL395" i="2"/>
  <c r="AL396" i="2" a="1"/>
  <c r="AL396" i="2"/>
  <c r="AL397" i="2" a="1"/>
  <c r="AL397" i="2"/>
  <c r="AL398" i="2" a="1"/>
  <c r="AL398" i="2"/>
  <c r="AL399" i="2" a="1"/>
  <c r="AL399" i="2"/>
  <c r="AL400" i="2" a="1"/>
  <c r="AL400" i="2"/>
  <c r="AL401" i="2" a="1"/>
  <c r="AL401" i="2"/>
  <c r="AL402" i="2" a="1"/>
  <c r="AL402" i="2"/>
  <c r="AL403" i="2" a="1"/>
  <c r="AL403" i="2"/>
  <c r="AL404" i="2" a="1"/>
  <c r="AL404" i="2"/>
  <c r="AL405" i="2" a="1"/>
  <c r="AL405" i="2"/>
  <c r="AL406" i="2" a="1"/>
  <c r="AL406" i="2"/>
  <c r="AL407" i="2" a="1"/>
  <c r="AL407" i="2"/>
  <c r="AL408" i="2" a="1"/>
  <c r="AL408" i="2"/>
  <c r="AL409" i="2" a="1"/>
  <c r="AL409" i="2"/>
  <c r="AL410" i="2" a="1"/>
  <c r="AL410" i="2"/>
  <c r="AL411" i="2" a="1"/>
  <c r="AL411" i="2"/>
  <c r="AL412" i="2" a="1"/>
  <c r="AL412" i="2"/>
  <c r="AL413" i="2" a="1"/>
  <c r="AL413" i="2"/>
  <c r="AL414" i="2" a="1"/>
  <c r="AL414" i="2"/>
  <c r="AL415" i="2" a="1"/>
  <c r="AL415" i="2"/>
  <c r="AL416" i="2" a="1"/>
  <c r="AL416" i="2"/>
  <c r="AL417" i="2" a="1"/>
  <c r="AL417" i="2"/>
  <c r="AL418" i="2" a="1"/>
  <c r="AL418" i="2"/>
  <c r="AL419" i="2" a="1"/>
  <c r="AL419" i="2"/>
  <c r="AL420" i="2" a="1"/>
  <c r="AL420" i="2"/>
  <c r="AL421" i="2" a="1"/>
  <c r="AL421" i="2"/>
  <c r="AL422" i="2" a="1"/>
  <c r="AL422" i="2"/>
  <c r="AL423" i="2" a="1"/>
  <c r="AL423" i="2"/>
  <c r="AL424" i="2" a="1"/>
  <c r="AL424" i="2"/>
  <c r="AL425" i="2" a="1"/>
  <c r="AL425" i="2"/>
  <c r="AL426" i="2" a="1"/>
  <c r="AL426" i="2"/>
  <c r="AL427" i="2" a="1"/>
  <c r="AL427" i="2"/>
  <c r="AL428" i="2" a="1"/>
  <c r="AL428" i="2"/>
  <c r="AL429" i="2" a="1"/>
  <c r="AL429" i="2"/>
  <c r="AL430" i="2" a="1"/>
  <c r="AL430" i="2"/>
  <c r="AL431" i="2" a="1"/>
  <c r="AL431" i="2"/>
  <c r="AL432" i="2" a="1"/>
  <c r="AL432" i="2"/>
  <c r="AL433" i="2" a="1"/>
  <c r="AL433" i="2"/>
  <c r="AL434" i="2" a="1"/>
  <c r="AL434" i="2"/>
  <c r="AL435" i="2" a="1"/>
  <c r="AL435" i="2"/>
  <c r="AL436" i="2" a="1"/>
  <c r="AL436" i="2"/>
  <c r="AL437" i="2" a="1"/>
  <c r="AL437" i="2"/>
  <c r="AL438" i="2" a="1"/>
  <c r="AL438" i="2"/>
  <c r="AL439" i="2" a="1"/>
  <c r="AL439" i="2"/>
  <c r="AL440" i="2" a="1"/>
  <c r="AL440" i="2"/>
  <c r="AL441" i="2" a="1"/>
  <c r="AL441" i="2"/>
  <c r="AL442" i="2" a="1"/>
  <c r="AL442" i="2"/>
  <c r="AL443" i="2" a="1"/>
  <c r="AL443" i="2"/>
  <c r="AL444" i="2" a="1"/>
  <c r="AL444" i="2"/>
  <c r="AL445" i="2" a="1"/>
  <c r="AL445" i="2"/>
  <c r="AL446" i="2" a="1"/>
  <c r="AL446" i="2"/>
  <c r="AL447" i="2" a="1"/>
  <c r="AL447" i="2"/>
  <c r="AL448" i="2" a="1"/>
  <c r="AL448" i="2"/>
  <c r="AL449" i="2" a="1"/>
  <c r="AL449" i="2"/>
  <c r="AL450" i="2" a="1"/>
  <c r="AL450" i="2"/>
  <c r="AL451" i="2" a="1"/>
  <c r="AL451" i="2"/>
  <c r="AL452" i="2" a="1"/>
  <c r="AL452" i="2"/>
  <c r="AL453" i="2" a="1"/>
  <c r="AL453" i="2"/>
  <c r="AL454" i="2" a="1"/>
  <c r="AL454" i="2"/>
  <c r="AL455" i="2" a="1"/>
  <c r="AL455" i="2"/>
  <c r="AL456" i="2" a="1"/>
  <c r="AL456" i="2"/>
  <c r="AL457" i="2" a="1"/>
  <c r="AL457" i="2"/>
  <c r="AL458" i="2" a="1"/>
  <c r="AL458" i="2"/>
  <c r="AL459" i="2" a="1"/>
  <c r="AL459" i="2"/>
  <c r="AL460" i="2" a="1"/>
  <c r="AL460" i="2"/>
  <c r="AL461" i="2" a="1"/>
  <c r="AL461" i="2"/>
  <c r="AL462" i="2" a="1"/>
  <c r="AL462" i="2"/>
  <c r="AL463" i="2" a="1"/>
  <c r="AL463" i="2"/>
  <c r="AL464" i="2" a="1"/>
  <c r="AL464" i="2"/>
  <c r="AL465" i="2" a="1"/>
  <c r="AL465" i="2"/>
  <c r="AL466" i="2" a="1"/>
  <c r="AL466" i="2"/>
  <c r="AL467" i="2" a="1"/>
  <c r="AL467" i="2"/>
  <c r="AL468" i="2" a="1"/>
  <c r="AL468" i="2"/>
  <c r="AL469" i="2" a="1"/>
  <c r="AL469" i="2"/>
  <c r="AL470" i="2" a="1"/>
  <c r="AL470" i="2"/>
  <c r="AL471" i="2" a="1"/>
  <c r="AL471" i="2"/>
  <c r="AL472" i="2" a="1"/>
  <c r="AL472" i="2"/>
  <c r="AL473" i="2" a="1"/>
  <c r="AL473" i="2"/>
  <c r="AL474" i="2" a="1"/>
  <c r="AL474" i="2"/>
  <c r="AL475" i="2" a="1"/>
  <c r="AL475" i="2"/>
  <c r="AL476" i="2" a="1"/>
  <c r="AL476" i="2"/>
  <c r="AL477" i="2" a="1"/>
  <c r="AL477" i="2"/>
  <c r="AL478" i="2" a="1"/>
  <c r="AL478" i="2"/>
  <c r="AL479" i="2" a="1"/>
  <c r="AL479" i="2"/>
  <c r="AL480" i="2" a="1"/>
  <c r="AL480" i="2"/>
  <c r="AL481" i="2" a="1"/>
  <c r="AL481" i="2"/>
  <c r="AL482" i="2" a="1"/>
  <c r="AL482" i="2"/>
  <c r="AL483" i="2" a="1"/>
  <c r="AL483" i="2"/>
  <c r="AL484" i="2" a="1"/>
  <c r="AL484" i="2"/>
  <c r="AL485" i="2" a="1"/>
  <c r="AL485" i="2"/>
  <c r="AL486" i="2" a="1"/>
  <c r="AL486" i="2"/>
  <c r="AL487" i="2" a="1"/>
  <c r="AL487" i="2"/>
  <c r="AL488" i="2" a="1"/>
  <c r="AL488" i="2"/>
  <c r="AL489" i="2" a="1"/>
  <c r="AL489" i="2"/>
  <c r="AL490" i="2" a="1"/>
  <c r="AL490" i="2"/>
  <c r="AL491" i="2" a="1"/>
  <c r="AL491" i="2"/>
  <c r="AL492" i="2" a="1"/>
  <c r="AL492" i="2"/>
  <c r="AL493" i="2" a="1"/>
  <c r="AL493" i="2"/>
  <c r="AL494" i="2" a="1"/>
  <c r="AL494" i="2"/>
  <c r="AL495" i="2" a="1"/>
  <c r="AL495" i="2"/>
  <c r="AL496" i="2" a="1"/>
  <c r="AL496" i="2"/>
  <c r="AL497" i="2" a="1"/>
  <c r="AL497" i="2"/>
  <c r="AL498" i="2" a="1"/>
  <c r="AL498" i="2"/>
  <c r="AL499" i="2" a="1"/>
  <c r="AL499" i="2"/>
  <c r="AL500" i="2" a="1"/>
  <c r="AL500" i="2"/>
  <c r="AL501" i="2" a="1"/>
  <c r="AL501" i="2"/>
  <c r="AL502" i="2" a="1"/>
  <c r="AL502" i="2"/>
  <c r="AL503" i="2" a="1"/>
  <c r="AL503" i="2"/>
  <c r="AL504" i="2" a="1"/>
  <c r="AL504" i="2"/>
  <c r="AL505" i="2" a="1"/>
  <c r="AL505" i="2"/>
  <c r="AL506" i="2" a="1"/>
  <c r="AL506" i="2"/>
  <c r="AL507" i="2" a="1"/>
  <c r="AL507" i="2"/>
  <c r="AL508" i="2" a="1"/>
  <c r="AL508" i="2"/>
  <c r="AL509" i="2" a="1"/>
  <c r="AL509" i="2"/>
  <c r="AL510" i="2" a="1"/>
  <c r="AL510" i="2"/>
  <c r="AL511" i="2" a="1"/>
  <c r="AL511" i="2"/>
  <c r="AL512" i="2" a="1"/>
  <c r="AL512" i="2"/>
  <c r="AL513" i="2" a="1"/>
  <c r="AL513" i="2"/>
  <c r="AL514" i="2" a="1"/>
  <c r="AL514" i="2"/>
  <c r="AL515" i="2" a="1"/>
  <c r="AL515" i="2"/>
  <c r="AL516" i="2" a="1"/>
  <c r="AL516" i="2"/>
  <c r="AL517" i="2" a="1"/>
  <c r="AL517" i="2"/>
  <c r="AL518" i="2" a="1"/>
  <c r="AL518" i="2"/>
  <c r="AL519" i="2" a="1"/>
  <c r="AL519" i="2"/>
  <c r="AL520" i="2" a="1"/>
  <c r="AL520" i="2"/>
  <c r="AL521" i="2" a="1"/>
  <c r="AL521" i="2"/>
  <c r="AL522" i="2" a="1"/>
  <c r="AL522" i="2"/>
  <c r="AL523" i="2" a="1"/>
  <c r="AL523" i="2"/>
  <c r="AL524" i="2" a="1"/>
  <c r="AL524" i="2"/>
  <c r="AL525" i="2" a="1"/>
  <c r="AL525" i="2"/>
  <c r="AL526" i="2" a="1"/>
  <c r="AL526" i="2"/>
  <c r="AL527" i="2" a="1"/>
  <c r="AL527" i="2"/>
  <c r="AL528" i="2" a="1"/>
  <c r="AL528" i="2"/>
  <c r="AL529" i="2" a="1"/>
  <c r="AL529" i="2"/>
  <c r="AL530" i="2" a="1"/>
  <c r="AL530" i="2"/>
  <c r="AL531" i="2" a="1"/>
  <c r="AL531" i="2"/>
  <c r="AL532" i="2" a="1"/>
  <c r="AL532" i="2"/>
  <c r="AL533" i="2" a="1"/>
  <c r="AL533" i="2"/>
  <c r="AL534" i="2" a="1"/>
  <c r="AL534" i="2"/>
  <c r="AL535" i="2" a="1"/>
  <c r="AL535" i="2"/>
  <c r="AL536" i="2" a="1"/>
  <c r="AL536" i="2"/>
  <c r="AL537" i="2" a="1"/>
  <c r="AL537" i="2"/>
  <c r="AL538" i="2" a="1"/>
  <c r="AL538" i="2"/>
  <c r="AL539" i="2" a="1"/>
  <c r="AL539" i="2"/>
  <c r="AL540" i="2" a="1"/>
  <c r="AL540" i="2"/>
  <c r="AL541" i="2" a="1"/>
  <c r="AL541" i="2"/>
  <c r="AL542" i="2" a="1"/>
  <c r="AL542" i="2"/>
  <c r="AL543" i="2" a="1"/>
  <c r="AL543" i="2"/>
  <c r="AL544" i="2" a="1"/>
  <c r="AL544" i="2"/>
  <c r="AL545" i="2" a="1"/>
  <c r="AL545" i="2"/>
  <c r="AL546" i="2" a="1"/>
  <c r="AL546" i="2"/>
  <c r="AL547" i="2" a="1"/>
  <c r="AL547" i="2"/>
  <c r="AL548" i="2" a="1"/>
  <c r="AL548" i="2"/>
  <c r="AL549" i="2" a="1"/>
  <c r="AL549" i="2"/>
  <c r="AL550" i="2" a="1"/>
  <c r="AL550" i="2"/>
  <c r="AL551" i="2" a="1"/>
  <c r="AL551" i="2"/>
  <c r="AL552" i="2" a="1"/>
  <c r="AL552" i="2"/>
  <c r="AL553" i="2" a="1"/>
  <c r="AL553" i="2"/>
  <c r="AL554" i="2" a="1"/>
  <c r="AL554" i="2"/>
  <c r="AL555" i="2" a="1"/>
  <c r="AL555" i="2"/>
  <c r="AL556" i="2" a="1"/>
  <c r="AL556" i="2"/>
  <c r="AL557" i="2" a="1"/>
  <c r="AL557" i="2"/>
  <c r="AL558" i="2" a="1"/>
  <c r="AL558" i="2"/>
  <c r="AL559" i="2" a="1"/>
  <c r="AL559" i="2"/>
  <c r="AL560" i="2" a="1"/>
  <c r="AL560" i="2"/>
  <c r="AL561" i="2" a="1"/>
  <c r="AL561" i="2"/>
  <c r="AL562" i="2" a="1"/>
  <c r="AL562" i="2"/>
  <c r="AL563" i="2" a="1"/>
  <c r="AL563" i="2"/>
  <c r="AL564" i="2" a="1"/>
  <c r="AL564" i="2"/>
  <c r="AL565" i="2" a="1"/>
  <c r="AL565" i="2"/>
  <c r="AL566" i="2" a="1"/>
  <c r="AL566" i="2"/>
  <c r="AL567" i="2" a="1"/>
  <c r="AL567" i="2"/>
  <c r="AL568" i="2" a="1"/>
  <c r="AL568" i="2"/>
  <c r="AL569" i="2" a="1"/>
  <c r="AL569" i="2"/>
  <c r="AL570" i="2" a="1"/>
  <c r="AL570" i="2"/>
  <c r="AL571" i="2" a="1"/>
  <c r="AL571" i="2"/>
  <c r="AL572" i="2" a="1"/>
  <c r="AL572" i="2"/>
  <c r="AL573" i="2" a="1"/>
  <c r="AL573" i="2"/>
  <c r="AL574" i="2" a="1"/>
  <c r="AL574" i="2"/>
  <c r="AL575" i="2" a="1"/>
  <c r="AL575" i="2"/>
  <c r="AL576" i="2" a="1"/>
  <c r="AL576" i="2"/>
  <c r="AL577" i="2" a="1"/>
  <c r="AL577" i="2"/>
  <c r="AL578" i="2" a="1"/>
  <c r="AL578" i="2"/>
  <c r="AL579" i="2" a="1"/>
  <c r="AL579" i="2"/>
  <c r="AL580" i="2" a="1"/>
  <c r="AL580" i="2"/>
  <c r="AL581" i="2" a="1"/>
  <c r="AL581" i="2"/>
  <c r="AL582" i="2" a="1"/>
  <c r="AL582" i="2"/>
  <c r="AL583" i="2" a="1"/>
  <c r="AL583" i="2"/>
  <c r="AL584" i="2" a="1"/>
  <c r="AL584" i="2"/>
  <c r="AL585" i="2" a="1"/>
  <c r="AL585" i="2"/>
  <c r="AL586" i="2" a="1"/>
  <c r="AL586" i="2"/>
  <c r="AL587" i="2" a="1"/>
  <c r="AL587" i="2"/>
  <c r="AL588" i="2" a="1"/>
  <c r="AL588" i="2"/>
  <c r="AL589" i="2" a="1"/>
  <c r="AL589" i="2"/>
  <c r="AL590" i="2" a="1"/>
  <c r="AL590" i="2"/>
  <c r="AL591" i="2" a="1"/>
  <c r="AL591" i="2"/>
  <c r="AL592" i="2" a="1"/>
  <c r="AL592" i="2"/>
  <c r="AL593" i="2" a="1"/>
  <c r="AL593" i="2"/>
  <c r="AL594" i="2" a="1"/>
  <c r="AL594" i="2"/>
  <c r="AL595" i="2" a="1"/>
  <c r="AL595" i="2"/>
  <c r="AL596" i="2" a="1"/>
  <c r="AL596" i="2"/>
  <c r="AL597" i="2" a="1"/>
  <c r="AL597" i="2"/>
  <c r="AL598" i="2" a="1"/>
  <c r="AL598" i="2"/>
  <c r="AL599" i="2" a="1"/>
  <c r="AL599" i="2"/>
  <c r="AL600" i="2" a="1"/>
  <c r="AL600" i="2"/>
  <c r="AL601" i="2" a="1"/>
  <c r="AL601" i="2"/>
  <c r="AL602" i="2" a="1"/>
  <c r="AL602" i="2"/>
  <c r="AL603" i="2" a="1"/>
  <c r="AL603" i="2"/>
  <c r="AL604" i="2" a="1"/>
  <c r="AL604" i="2"/>
  <c r="AL605" i="2" a="1"/>
  <c r="AL605" i="2"/>
  <c r="AL606" i="2" a="1"/>
  <c r="AL606" i="2"/>
  <c r="AL607" i="2" a="1"/>
  <c r="AL607" i="2"/>
  <c r="AL608" i="2" a="1"/>
  <c r="AL608" i="2"/>
  <c r="AL609" i="2" a="1"/>
  <c r="AL609" i="2"/>
  <c r="AL610" i="2" a="1"/>
  <c r="AL610" i="2"/>
  <c r="AL611" i="2" a="1"/>
  <c r="AL611" i="2"/>
  <c r="AL612" i="2" a="1"/>
  <c r="AL612" i="2"/>
  <c r="AL613" i="2" a="1"/>
  <c r="AL613" i="2"/>
  <c r="AL614" i="2" a="1"/>
  <c r="AL614" i="2"/>
  <c r="AL615" i="2" a="1"/>
  <c r="AL615" i="2"/>
  <c r="AL616" i="2" a="1"/>
  <c r="AL616" i="2"/>
  <c r="AL617" i="2" a="1"/>
  <c r="AL617" i="2"/>
  <c r="AL618" i="2" a="1"/>
  <c r="AL618" i="2"/>
  <c r="AL619" i="2" a="1"/>
  <c r="AL619" i="2"/>
  <c r="AL620" i="2" a="1"/>
  <c r="AL620" i="2"/>
  <c r="AL621" i="2" a="1"/>
  <c r="AL621" i="2"/>
  <c r="AL622" i="2" a="1"/>
  <c r="AL622" i="2"/>
  <c r="AL623" i="2" a="1"/>
  <c r="AL623" i="2"/>
  <c r="AL624" i="2" a="1"/>
  <c r="AL624" i="2"/>
  <c r="AL625" i="2" a="1"/>
  <c r="AL625" i="2"/>
  <c r="AL626" i="2" a="1"/>
  <c r="AL626" i="2"/>
  <c r="AL627" i="2" a="1"/>
  <c r="AL627" i="2"/>
  <c r="AL628" i="2" a="1"/>
  <c r="AL628" i="2"/>
  <c r="AL629" i="2" a="1"/>
  <c r="AL629" i="2"/>
  <c r="AL630" i="2" a="1"/>
  <c r="AL630" i="2"/>
  <c r="AL631" i="2" a="1"/>
  <c r="AL631" i="2"/>
  <c r="AL632" i="2" a="1"/>
  <c r="AL632" i="2"/>
  <c r="AL633" i="2" a="1"/>
  <c r="AL633" i="2"/>
  <c r="AL634" i="2" a="1"/>
  <c r="AL634" i="2"/>
  <c r="AL635" i="2" a="1"/>
  <c r="AL635" i="2"/>
  <c r="AL636" i="2" a="1"/>
  <c r="AL636" i="2"/>
  <c r="AL637" i="2" a="1"/>
  <c r="AL637" i="2"/>
  <c r="AL638" i="2" a="1"/>
  <c r="AL638" i="2"/>
  <c r="AL639" i="2" a="1"/>
  <c r="AL639" i="2"/>
  <c r="AL640" i="2" a="1"/>
  <c r="AL640" i="2"/>
  <c r="AL641" i="2" a="1"/>
  <c r="AL641" i="2"/>
  <c r="AL642" i="2" a="1"/>
  <c r="AL642" i="2"/>
  <c r="AL643" i="2" a="1"/>
  <c r="AL643" i="2"/>
  <c r="AL644" i="2" a="1"/>
  <c r="AL644" i="2"/>
  <c r="AL645" i="2" a="1"/>
  <c r="AL645" i="2"/>
  <c r="AL646" i="2" a="1"/>
  <c r="AL646" i="2"/>
  <c r="AL647" i="2" a="1"/>
  <c r="AL647" i="2"/>
  <c r="AL648" i="2" a="1"/>
  <c r="AL648" i="2"/>
  <c r="AL649" i="2" a="1"/>
  <c r="AL649" i="2"/>
  <c r="AL650" i="2" a="1"/>
  <c r="AL650" i="2"/>
  <c r="AL651" i="2" a="1"/>
  <c r="AL651" i="2"/>
  <c r="AL652" i="2" a="1"/>
  <c r="AL652" i="2"/>
  <c r="AL653" i="2" a="1"/>
  <c r="AL653" i="2"/>
  <c r="AL654" i="2" a="1"/>
  <c r="AL654" i="2"/>
  <c r="AL655" i="2" a="1"/>
  <c r="AL655" i="2"/>
  <c r="AL656" i="2" a="1"/>
  <c r="AL656" i="2"/>
  <c r="AL657" i="2" a="1"/>
  <c r="AL657" i="2"/>
  <c r="AL658" i="2" a="1"/>
  <c r="AL658" i="2"/>
  <c r="AL659" i="2" a="1"/>
  <c r="AL659" i="2"/>
  <c r="AL660" i="2" a="1"/>
  <c r="AL660" i="2"/>
  <c r="AL661" i="2" a="1"/>
  <c r="AL661" i="2"/>
  <c r="AL662" i="2" a="1"/>
  <c r="AL662" i="2"/>
  <c r="AL663" i="2" a="1"/>
  <c r="AL663" i="2"/>
  <c r="AL664" i="2" a="1"/>
  <c r="AL664" i="2"/>
  <c r="AL665" i="2" a="1"/>
  <c r="AL665" i="2"/>
  <c r="AL666" i="2" a="1"/>
  <c r="AL666" i="2"/>
  <c r="AL667" i="2" a="1"/>
  <c r="AL667" i="2"/>
  <c r="AL668" i="2" a="1"/>
  <c r="AL668" i="2"/>
  <c r="AL669" i="2" a="1"/>
  <c r="AL669" i="2"/>
  <c r="AL670" i="2" a="1"/>
  <c r="AL670" i="2"/>
  <c r="AL671" i="2" a="1"/>
  <c r="AL671" i="2"/>
  <c r="AL672" i="2" a="1"/>
  <c r="AL672" i="2"/>
  <c r="AL673" i="2" a="1"/>
  <c r="AL673" i="2"/>
  <c r="AL674" i="2" a="1"/>
  <c r="AL674" i="2"/>
  <c r="AL675" i="2" a="1"/>
  <c r="AL675" i="2"/>
  <c r="AL676" i="2" a="1"/>
  <c r="AL676" i="2"/>
  <c r="AL677" i="2" a="1"/>
  <c r="AL677" i="2"/>
  <c r="AL678" i="2" a="1"/>
  <c r="AL678" i="2"/>
  <c r="AL679" i="2" a="1"/>
  <c r="AL679" i="2"/>
  <c r="AL680" i="2" a="1"/>
  <c r="AL680" i="2"/>
  <c r="AL681" i="2" a="1"/>
  <c r="AL681" i="2"/>
  <c r="AL682" i="2" a="1"/>
  <c r="AL682" i="2"/>
  <c r="AL683" i="2" a="1"/>
  <c r="AL683" i="2"/>
  <c r="AL684" i="2" a="1"/>
  <c r="AL684" i="2"/>
  <c r="AL685" i="2" a="1"/>
  <c r="AL685" i="2"/>
  <c r="AL686" i="2" a="1"/>
  <c r="AL686" i="2"/>
  <c r="AL687" i="2" a="1"/>
  <c r="AL687" i="2"/>
  <c r="AL688" i="2" a="1"/>
  <c r="AL688" i="2"/>
  <c r="AL689" i="2" a="1"/>
  <c r="AL689" i="2"/>
  <c r="AL690" i="2" a="1"/>
  <c r="AL690" i="2"/>
  <c r="AL691" i="2" a="1"/>
  <c r="AL691" i="2"/>
  <c r="AL692" i="2" a="1"/>
  <c r="AL692" i="2"/>
  <c r="AL693" i="2" a="1"/>
  <c r="AL693" i="2"/>
  <c r="AL694" i="2" a="1"/>
  <c r="AL694" i="2"/>
  <c r="AL695" i="2" a="1"/>
  <c r="AL695" i="2"/>
  <c r="AL696" i="2" a="1"/>
  <c r="AL696" i="2"/>
  <c r="AL697" i="2" a="1"/>
  <c r="AL697" i="2"/>
  <c r="AL698" i="2" a="1"/>
  <c r="AL698" i="2"/>
  <c r="AL699" i="2" a="1"/>
  <c r="AL699" i="2"/>
  <c r="AL700" i="2" a="1"/>
  <c r="AL700" i="2"/>
  <c r="AL701" i="2" a="1"/>
  <c r="AL701" i="2"/>
  <c r="AL702" i="2" a="1"/>
  <c r="AL702" i="2"/>
  <c r="AL703" i="2" a="1"/>
  <c r="AL703" i="2"/>
  <c r="AL704" i="2" a="1"/>
  <c r="AL704" i="2"/>
  <c r="AL705" i="2" a="1"/>
  <c r="AL705" i="2"/>
  <c r="AL706" i="2" a="1"/>
  <c r="AL706" i="2"/>
  <c r="AL707" i="2" a="1"/>
  <c r="AL707" i="2"/>
  <c r="AL708" i="2" a="1"/>
  <c r="AL708" i="2"/>
  <c r="AL709" i="2" a="1"/>
  <c r="AL709" i="2"/>
  <c r="AL710" i="2" a="1"/>
  <c r="AL710" i="2"/>
  <c r="AL711" i="2" a="1"/>
  <c r="AL711" i="2"/>
  <c r="AL712" i="2" a="1"/>
  <c r="AL712" i="2"/>
  <c r="AL713" i="2" a="1"/>
  <c r="AL713" i="2"/>
  <c r="AL714" i="2" a="1"/>
  <c r="AL714" i="2"/>
  <c r="AL715" i="2" a="1"/>
  <c r="AL715" i="2"/>
  <c r="AL716" i="2" a="1"/>
  <c r="AL716" i="2"/>
  <c r="AL717" i="2" a="1"/>
  <c r="AL717" i="2"/>
  <c r="AL718" i="2" a="1"/>
  <c r="AL718" i="2"/>
  <c r="AL719" i="2" a="1"/>
  <c r="AL719" i="2"/>
  <c r="AL720" i="2" a="1"/>
  <c r="AL720" i="2"/>
  <c r="AL721" i="2" a="1"/>
  <c r="AL721" i="2"/>
  <c r="AL722" i="2" a="1"/>
  <c r="AL722" i="2"/>
  <c r="AL723" i="2" a="1"/>
  <c r="AL723" i="2"/>
  <c r="AL724" i="2" a="1"/>
  <c r="AL724" i="2"/>
  <c r="AL725" i="2" a="1"/>
  <c r="AL725" i="2"/>
  <c r="AL726" i="2" a="1"/>
  <c r="AL726" i="2"/>
  <c r="AL727" i="2" a="1"/>
  <c r="AL727" i="2"/>
  <c r="AL728" i="2" a="1"/>
  <c r="AL728" i="2"/>
  <c r="AL729" i="2" a="1"/>
  <c r="AL729" i="2"/>
  <c r="AL730" i="2" a="1"/>
  <c r="AL730" i="2"/>
  <c r="AL731" i="2" a="1"/>
  <c r="AL731" i="2"/>
  <c r="AL732" i="2" a="1"/>
  <c r="AL732" i="2"/>
  <c r="AL733" i="2" a="1"/>
  <c r="AL733" i="2"/>
  <c r="AL734" i="2" a="1"/>
  <c r="AL734" i="2"/>
  <c r="AL735" i="2" a="1"/>
  <c r="AL735" i="2"/>
  <c r="AL736" i="2" a="1"/>
  <c r="AL736" i="2"/>
  <c r="AL737" i="2" a="1"/>
  <c r="AL737" i="2"/>
  <c r="AL738" i="2" a="1"/>
  <c r="AL738" i="2"/>
  <c r="AL739" i="2" a="1"/>
  <c r="AL739" i="2"/>
  <c r="AL740" i="2" a="1"/>
  <c r="AL740" i="2"/>
  <c r="AL741" i="2" a="1"/>
  <c r="AL741" i="2"/>
  <c r="AL742" i="2" a="1"/>
  <c r="AL742" i="2"/>
  <c r="AL743" i="2" a="1"/>
  <c r="AL743" i="2"/>
  <c r="AL744" i="2" a="1"/>
  <c r="AL744" i="2"/>
  <c r="AL745" i="2" a="1"/>
  <c r="AL745" i="2"/>
  <c r="AL746" i="2" a="1"/>
  <c r="AL746" i="2"/>
  <c r="AL747" i="2" a="1"/>
  <c r="AL747" i="2"/>
  <c r="AL748" i="2" a="1"/>
  <c r="AL748" i="2"/>
  <c r="AL749" i="2" a="1"/>
  <c r="AL749" i="2"/>
  <c r="AL750" i="2" a="1"/>
  <c r="AL750" i="2"/>
  <c r="AL751" i="2" a="1"/>
  <c r="AL751" i="2"/>
  <c r="AL752" i="2" a="1"/>
  <c r="AL752" i="2"/>
  <c r="AL753" i="2" a="1"/>
  <c r="AL753" i="2"/>
  <c r="AL754" i="2" a="1"/>
  <c r="AL754" i="2"/>
  <c r="AL755" i="2" a="1"/>
  <c r="AL755" i="2"/>
  <c r="AL756" i="2" a="1"/>
  <c r="AL756" i="2"/>
  <c r="AL757" i="2" a="1"/>
  <c r="AL757" i="2"/>
  <c r="AL758" i="2" a="1"/>
  <c r="AL758" i="2"/>
  <c r="AL759" i="2" a="1"/>
  <c r="AL759" i="2"/>
  <c r="AL760" i="2" a="1"/>
  <c r="AL760" i="2"/>
  <c r="AL761" i="2" a="1"/>
  <c r="AL761" i="2"/>
  <c r="AL762" i="2" a="1"/>
  <c r="AL762" i="2"/>
  <c r="AL763" i="2" a="1"/>
  <c r="AL763" i="2"/>
  <c r="AL764" i="2" a="1"/>
  <c r="AL764" i="2"/>
  <c r="AL765" i="2" a="1"/>
  <c r="AL765" i="2"/>
  <c r="AL766" i="2" a="1"/>
  <c r="AL766" i="2"/>
  <c r="AL767" i="2" a="1"/>
  <c r="AL767" i="2"/>
  <c r="AL768" i="2" a="1"/>
  <c r="AL768" i="2"/>
  <c r="AL769" i="2" a="1"/>
  <c r="AL769" i="2"/>
  <c r="AL770" i="2" a="1"/>
  <c r="AL770" i="2"/>
  <c r="AL771" i="2" a="1"/>
  <c r="AL771" i="2"/>
  <c r="AL772" i="2" a="1"/>
  <c r="AL772" i="2"/>
  <c r="AL773" i="2" a="1"/>
  <c r="AL773" i="2"/>
  <c r="AL774" i="2" a="1"/>
  <c r="AL774" i="2"/>
  <c r="AL775" i="2" a="1"/>
  <c r="AL775" i="2"/>
  <c r="AL776" i="2" a="1"/>
  <c r="AL776" i="2"/>
  <c r="AL777" i="2" a="1"/>
  <c r="AL777" i="2"/>
  <c r="AL778" i="2" a="1"/>
  <c r="AL778" i="2"/>
  <c r="AL779" i="2" a="1"/>
  <c r="AL779" i="2"/>
  <c r="AL780" i="2" a="1"/>
  <c r="AL780" i="2"/>
  <c r="AL781" i="2" a="1"/>
  <c r="AL781" i="2"/>
  <c r="AL782" i="2" a="1"/>
  <c r="AL782" i="2"/>
  <c r="AL783" i="2" a="1"/>
  <c r="AL783" i="2"/>
  <c r="AL784" i="2" a="1"/>
  <c r="AL784" i="2"/>
  <c r="AL785" i="2" a="1"/>
  <c r="AL785" i="2"/>
  <c r="AL786" i="2" a="1"/>
  <c r="AL786" i="2"/>
  <c r="AL787" i="2" a="1"/>
  <c r="AL787" i="2"/>
  <c r="AL788" i="2" a="1"/>
  <c r="AL788" i="2"/>
  <c r="AL789" i="2" a="1"/>
  <c r="AL789" i="2"/>
  <c r="AL790" i="2" a="1"/>
  <c r="AL790" i="2"/>
  <c r="AL791" i="2" a="1"/>
  <c r="AL791" i="2"/>
  <c r="AL792" i="2" a="1"/>
  <c r="AL792" i="2"/>
  <c r="AL793" i="2" a="1"/>
  <c r="AL793" i="2"/>
  <c r="AL794" i="2" a="1"/>
  <c r="AL794" i="2"/>
  <c r="AL795" i="2" a="1"/>
  <c r="AL795" i="2"/>
  <c r="AL796" i="2" a="1"/>
  <c r="AL796" i="2"/>
  <c r="AL797" i="2" a="1"/>
  <c r="AL797" i="2"/>
  <c r="AL798" i="2" a="1"/>
  <c r="AL798" i="2"/>
  <c r="AL799" i="2" a="1"/>
  <c r="AL799" i="2"/>
  <c r="AL800" i="2" a="1"/>
  <c r="AL800" i="2"/>
  <c r="AL801" i="2" a="1"/>
  <c r="AL801" i="2"/>
  <c r="AL802" i="2" a="1"/>
  <c r="AL802" i="2"/>
  <c r="AL803" i="2" a="1"/>
  <c r="AL803" i="2"/>
  <c r="AL804" i="2" a="1"/>
  <c r="AL804" i="2"/>
  <c r="AL805" i="2" a="1"/>
  <c r="AL805" i="2"/>
  <c r="AL806" i="2" a="1"/>
  <c r="AL806" i="2"/>
  <c r="AL807" i="2" a="1"/>
  <c r="AL807" i="2"/>
  <c r="AL808" i="2" a="1"/>
  <c r="AL808" i="2"/>
  <c r="AL809" i="2" a="1"/>
  <c r="AL809" i="2"/>
  <c r="AL810" i="2" a="1"/>
  <c r="AL810" i="2"/>
  <c r="AL811" i="2" a="1"/>
  <c r="AL811" i="2"/>
  <c r="AL812" i="2" a="1"/>
  <c r="AL812" i="2"/>
  <c r="AL813" i="2" a="1"/>
  <c r="AL813" i="2"/>
  <c r="AL814" i="2" a="1"/>
  <c r="AL814" i="2"/>
  <c r="AL815" i="2" a="1"/>
  <c r="AL815" i="2"/>
  <c r="AL816" i="2" a="1"/>
  <c r="AL816" i="2"/>
  <c r="AL817" i="2" a="1"/>
  <c r="AL817" i="2"/>
  <c r="AL818" i="2" a="1"/>
  <c r="AL818" i="2"/>
  <c r="AL819" i="2" a="1"/>
  <c r="AL819" i="2"/>
  <c r="AL820" i="2" a="1"/>
  <c r="AL820" i="2"/>
  <c r="AL821" i="2" a="1"/>
  <c r="AL821" i="2"/>
  <c r="AL822" i="2" a="1"/>
  <c r="AL822" i="2"/>
  <c r="AL823" i="2" a="1"/>
  <c r="AL823" i="2"/>
  <c r="AL824" i="2" a="1"/>
  <c r="AL824" i="2"/>
  <c r="AL825" i="2" a="1"/>
  <c r="AL825" i="2"/>
  <c r="AL826" i="2" a="1"/>
  <c r="AL826" i="2"/>
  <c r="AL827" i="2" a="1"/>
  <c r="AL827" i="2"/>
  <c r="AL828" i="2" a="1"/>
  <c r="AL828" i="2"/>
  <c r="AL829" i="2" a="1"/>
  <c r="AL829" i="2"/>
  <c r="AL830" i="2" a="1"/>
  <c r="AL830" i="2"/>
  <c r="AL831" i="2" a="1"/>
  <c r="AL831" i="2"/>
  <c r="AL832" i="2" a="1"/>
  <c r="AL832" i="2"/>
  <c r="AL833" i="2" a="1"/>
  <c r="AL833" i="2"/>
  <c r="AL834" i="2" a="1"/>
  <c r="AL834" i="2"/>
  <c r="AL835" i="2" a="1"/>
  <c r="AL835" i="2"/>
  <c r="AL836" i="2" a="1"/>
  <c r="AL836" i="2"/>
  <c r="AL837" i="2" a="1"/>
  <c r="AL837" i="2"/>
  <c r="AL838" i="2" a="1"/>
  <c r="AL838" i="2"/>
  <c r="AL839" i="2" a="1"/>
  <c r="AL839" i="2"/>
  <c r="AL840" i="2" a="1"/>
  <c r="AL840" i="2"/>
  <c r="AL841" i="2" a="1"/>
  <c r="AL841" i="2"/>
  <c r="AL842" i="2" a="1"/>
  <c r="AL842" i="2"/>
  <c r="AL843" i="2" a="1"/>
  <c r="AL843" i="2"/>
  <c r="AL844" i="2" a="1"/>
  <c r="AL844" i="2"/>
  <c r="AL845" i="2" a="1"/>
  <c r="AL845" i="2"/>
  <c r="AL846" i="2" a="1"/>
  <c r="AL846" i="2"/>
  <c r="AL847" i="2" a="1"/>
  <c r="AL847" i="2"/>
  <c r="AL848" i="2" a="1"/>
  <c r="AL848" i="2"/>
  <c r="AL849" i="2" a="1"/>
  <c r="AL849" i="2"/>
  <c r="AL850" i="2" a="1"/>
  <c r="AL850" i="2"/>
  <c r="AL851" i="2" a="1"/>
  <c r="AL851" i="2"/>
  <c r="AL852" i="2" a="1"/>
  <c r="AL852" i="2"/>
  <c r="AL853" i="2" a="1"/>
  <c r="AL853" i="2"/>
  <c r="AL854" i="2" a="1"/>
  <c r="AL854" i="2"/>
  <c r="AL855" i="2" a="1"/>
  <c r="AL855" i="2"/>
  <c r="AL856" i="2" a="1"/>
  <c r="AL856" i="2"/>
  <c r="AL857" i="2" a="1"/>
  <c r="AL857" i="2"/>
  <c r="AL858" i="2" a="1"/>
  <c r="AL858" i="2"/>
  <c r="AL859" i="2" a="1"/>
  <c r="AL859" i="2"/>
  <c r="AL860" i="2" a="1"/>
  <c r="AL860" i="2"/>
  <c r="AL861" i="2" a="1"/>
  <c r="AL861" i="2"/>
  <c r="AL862" i="2" a="1"/>
  <c r="AL862" i="2"/>
  <c r="AL863" i="2" a="1"/>
  <c r="AL863" i="2"/>
  <c r="AL864" i="2" a="1"/>
  <c r="AL864" i="2"/>
  <c r="AL865" i="2" a="1"/>
  <c r="AL865" i="2"/>
  <c r="AL866" i="2" a="1"/>
  <c r="AL866" i="2"/>
  <c r="AL867" i="2" a="1"/>
  <c r="AL867" i="2"/>
  <c r="AL868" i="2" a="1"/>
  <c r="AL868" i="2"/>
  <c r="AL869" i="2" a="1"/>
  <c r="AL869" i="2"/>
  <c r="AL870" i="2" a="1"/>
  <c r="AL870" i="2"/>
  <c r="AL871" i="2" a="1"/>
  <c r="AL871" i="2"/>
  <c r="AL872" i="2" a="1"/>
  <c r="AL872" i="2"/>
  <c r="AL873" i="2" a="1"/>
  <c r="AL873" i="2"/>
  <c r="AL874" i="2" a="1"/>
  <c r="AL874" i="2"/>
  <c r="AL875" i="2" a="1"/>
  <c r="AL875" i="2"/>
  <c r="AL876" i="2" a="1"/>
  <c r="AL876" i="2"/>
  <c r="AL877" i="2" a="1"/>
  <c r="AL877" i="2"/>
  <c r="AL878" i="2" a="1"/>
  <c r="AL878" i="2"/>
  <c r="AL879" i="2" a="1"/>
  <c r="AL879" i="2"/>
  <c r="AL880" i="2" a="1"/>
  <c r="AL880" i="2"/>
  <c r="AL881" i="2" a="1"/>
  <c r="AL881" i="2"/>
  <c r="AL882" i="2" a="1"/>
  <c r="AL882" i="2"/>
  <c r="AL883" i="2" a="1"/>
  <c r="AL883" i="2"/>
  <c r="AL884" i="2" a="1"/>
  <c r="AL884" i="2"/>
  <c r="AL885" i="2" a="1"/>
  <c r="AL885" i="2"/>
  <c r="AL886" i="2" a="1"/>
  <c r="AL886" i="2"/>
  <c r="AL887" i="2" a="1"/>
  <c r="AL887" i="2"/>
  <c r="AL888" i="2" a="1"/>
  <c r="AL888" i="2"/>
  <c r="AL889" i="2" a="1"/>
  <c r="AL889" i="2"/>
  <c r="AL890" i="2" a="1"/>
  <c r="AL890" i="2"/>
  <c r="AL891" i="2" a="1"/>
  <c r="AL891" i="2"/>
  <c r="AL892" i="2" a="1"/>
  <c r="AL892" i="2"/>
  <c r="AL893" i="2" a="1"/>
  <c r="AL893" i="2"/>
  <c r="AL894" i="2" a="1"/>
  <c r="AL894" i="2"/>
  <c r="AL895" i="2" a="1"/>
  <c r="AL895" i="2"/>
  <c r="AL896" i="2" a="1"/>
  <c r="AL896" i="2"/>
  <c r="AL897" i="2" a="1"/>
  <c r="AL897" i="2"/>
  <c r="AL898" i="2" a="1"/>
  <c r="AL898" i="2"/>
  <c r="AL899" i="2" a="1"/>
  <c r="AL899" i="2"/>
  <c r="AL900" i="2" a="1"/>
  <c r="AL900" i="2"/>
  <c r="AL901" i="2" a="1"/>
  <c r="AL901" i="2"/>
  <c r="AL902" i="2" a="1"/>
  <c r="AL902" i="2"/>
  <c r="AL903" i="2" a="1"/>
  <c r="AL903" i="2"/>
  <c r="AL904" i="2" a="1"/>
  <c r="AL904" i="2"/>
  <c r="AL905" i="2" a="1"/>
  <c r="AL905" i="2"/>
  <c r="AL906" i="2" a="1"/>
  <c r="AL906" i="2"/>
  <c r="AL907" i="2" a="1"/>
  <c r="AL907" i="2"/>
  <c r="AL908" i="2" a="1"/>
  <c r="AL908" i="2"/>
  <c r="AL909" i="2" a="1"/>
  <c r="AL909" i="2"/>
  <c r="AL910" i="2" a="1"/>
  <c r="AL910" i="2"/>
  <c r="AL911" i="2" a="1"/>
  <c r="AL911" i="2"/>
  <c r="AL912" i="2" a="1"/>
  <c r="AL912" i="2"/>
  <c r="AL913" i="2" a="1"/>
  <c r="AL913" i="2"/>
  <c r="AL914" i="2" a="1"/>
  <c r="AL914" i="2"/>
  <c r="AL915" i="2" a="1"/>
  <c r="AL915" i="2"/>
  <c r="AL916" i="2" a="1"/>
  <c r="AL916" i="2"/>
  <c r="AL917" i="2" a="1"/>
  <c r="AL917" i="2"/>
  <c r="AL918" i="2" a="1"/>
  <c r="AL918" i="2"/>
  <c r="AL919" i="2" a="1"/>
  <c r="AL919" i="2"/>
  <c r="AL920" i="2" a="1"/>
  <c r="AL920" i="2"/>
  <c r="AL921" i="2" a="1"/>
  <c r="AL921" i="2"/>
  <c r="AL922" i="2" a="1"/>
  <c r="AL922" i="2"/>
  <c r="AL923" i="2" a="1"/>
  <c r="AL923" i="2"/>
  <c r="AL924" i="2" a="1"/>
  <c r="AL924" i="2"/>
  <c r="AL925" i="2" a="1"/>
  <c r="AL925" i="2"/>
  <c r="AL926" i="2" a="1"/>
  <c r="AL926" i="2"/>
  <c r="AL927" i="2" a="1"/>
  <c r="AL927" i="2"/>
  <c r="AL928" i="2" a="1"/>
  <c r="AL928" i="2"/>
  <c r="AL929" i="2" a="1"/>
  <c r="AL929" i="2"/>
  <c r="AL930" i="2" a="1"/>
  <c r="AL930" i="2"/>
  <c r="AL931" i="2" a="1"/>
  <c r="AL931" i="2"/>
  <c r="AL932" i="2" a="1"/>
  <c r="AL932" i="2"/>
  <c r="AL933" i="2" a="1"/>
  <c r="AL933" i="2"/>
  <c r="AL934" i="2" a="1"/>
  <c r="AL934" i="2"/>
  <c r="AL935" i="2" a="1"/>
  <c r="AL935" i="2"/>
  <c r="AL936" i="2" a="1"/>
  <c r="AL936" i="2"/>
  <c r="AL937" i="2" a="1"/>
  <c r="AL937" i="2"/>
  <c r="AL938" i="2" a="1"/>
  <c r="AL938" i="2"/>
  <c r="AL939" i="2" a="1"/>
  <c r="AL939" i="2"/>
  <c r="AL940" i="2" a="1"/>
  <c r="AL940" i="2"/>
  <c r="AL941" i="2" a="1"/>
  <c r="AL941" i="2"/>
  <c r="AL942" i="2" a="1"/>
  <c r="AL942" i="2"/>
  <c r="AL943" i="2" a="1"/>
  <c r="AL943" i="2"/>
  <c r="AL944" i="2" a="1"/>
  <c r="AL944" i="2"/>
  <c r="AL945" i="2" a="1"/>
  <c r="AL945" i="2"/>
  <c r="AL946" i="2" a="1"/>
  <c r="AL946" i="2"/>
  <c r="AL947" i="2" a="1"/>
  <c r="AL947" i="2"/>
  <c r="AL948" i="2" a="1"/>
  <c r="AL948" i="2"/>
  <c r="AL949" i="2" a="1"/>
  <c r="AL949" i="2"/>
  <c r="AL950" i="2" a="1"/>
  <c r="AL950" i="2"/>
  <c r="AL951" i="2" a="1"/>
  <c r="AL951" i="2"/>
  <c r="AL952" i="2" a="1"/>
  <c r="AL952" i="2"/>
  <c r="AL953" i="2" a="1"/>
  <c r="AL953" i="2"/>
  <c r="AL954" i="2" a="1"/>
  <c r="AL954" i="2"/>
  <c r="AL955" i="2" a="1"/>
  <c r="AL955" i="2"/>
  <c r="AL956" i="2" a="1"/>
  <c r="AL956" i="2"/>
  <c r="AL957" i="2" a="1"/>
  <c r="AL957" i="2"/>
  <c r="AL958" i="2" a="1"/>
  <c r="AL958" i="2"/>
  <c r="AL959" i="2" a="1"/>
  <c r="AL959" i="2"/>
  <c r="AL960" i="2" a="1"/>
  <c r="AL960" i="2"/>
  <c r="AL961" i="2" a="1"/>
  <c r="AL961" i="2"/>
  <c r="AL962" i="2" a="1"/>
  <c r="AL962" i="2"/>
  <c r="AL963" i="2" a="1"/>
  <c r="AL963" i="2"/>
  <c r="AL964" i="2" a="1"/>
  <c r="AL964" i="2"/>
  <c r="AL965" i="2" a="1"/>
  <c r="AL965" i="2"/>
  <c r="AL966" i="2" a="1"/>
  <c r="AL966" i="2"/>
  <c r="AL967" i="2" a="1"/>
  <c r="AL967" i="2"/>
  <c r="AL968" i="2" a="1"/>
  <c r="AL968" i="2"/>
  <c r="AL969" i="2" a="1"/>
  <c r="AL969" i="2"/>
  <c r="AL970" i="2" a="1"/>
  <c r="AL970" i="2"/>
  <c r="AL971" i="2" a="1"/>
  <c r="AL971" i="2"/>
  <c r="AL972" i="2" a="1"/>
  <c r="AL972" i="2"/>
  <c r="AL973" i="2" a="1"/>
  <c r="AL973" i="2"/>
  <c r="AL974" i="2" a="1"/>
  <c r="AL974" i="2"/>
  <c r="AL975" i="2" a="1"/>
  <c r="AL975" i="2"/>
  <c r="AL976" i="2" a="1"/>
  <c r="AL976" i="2"/>
  <c r="AL977" i="2" a="1"/>
  <c r="AL977" i="2"/>
  <c r="AL978" i="2" a="1"/>
  <c r="AL978" i="2"/>
  <c r="AL979" i="2" a="1"/>
  <c r="AL979" i="2"/>
  <c r="AL980" i="2" a="1"/>
  <c r="AL980" i="2"/>
  <c r="AL981" i="2" a="1"/>
  <c r="AL981" i="2"/>
  <c r="AL982" i="2" a="1"/>
  <c r="AL982" i="2"/>
  <c r="AL983" i="2" a="1"/>
  <c r="AL983" i="2"/>
  <c r="AL984" i="2" a="1"/>
  <c r="AL984" i="2"/>
  <c r="AL985" i="2" a="1"/>
  <c r="AL985" i="2"/>
  <c r="AL986" i="2" a="1"/>
  <c r="AL986" i="2"/>
  <c r="AL987" i="2" a="1"/>
  <c r="AL987" i="2"/>
  <c r="AL988" i="2" a="1"/>
  <c r="AL988" i="2"/>
  <c r="AL989" i="2" a="1"/>
  <c r="AL989" i="2"/>
  <c r="AL990" i="2" a="1"/>
  <c r="AL990" i="2"/>
  <c r="AL991" i="2" a="1"/>
  <c r="AL991" i="2"/>
  <c r="AL992" i="2" a="1"/>
  <c r="AL992" i="2"/>
  <c r="AL993" i="2" a="1"/>
  <c r="AL993" i="2"/>
  <c r="AL994" i="2" a="1"/>
  <c r="AL994" i="2"/>
  <c r="AL995" i="2" a="1"/>
  <c r="AL995" i="2"/>
  <c r="AL996" i="2" a="1"/>
  <c r="AL996" i="2"/>
  <c r="AL997" i="2" a="1"/>
  <c r="AL997" i="2"/>
  <c r="AL998" i="2" a="1"/>
  <c r="AL998" i="2"/>
  <c r="AL999" i="2" a="1"/>
  <c r="AL999" i="2"/>
  <c r="AL1000" i="2" a="1"/>
  <c r="AL1000" i="2"/>
  <c r="AL1001" i="2" a="1"/>
  <c r="AL1001" i="2"/>
  <c r="AL1002" i="2" a="1"/>
  <c r="AL1002" i="2"/>
  <c r="AL1003" i="2" a="1"/>
  <c r="AL1003" i="2"/>
  <c r="AL1004" i="2" a="1"/>
  <c r="AL1004" i="2"/>
  <c r="AL1005" i="2" a="1"/>
  <c r="AL1005" i="2"/>
  <c r="AL1006" i="2" a="1"/>
  <c r="AL1006" i="2"/>
  <c r="AL1007" i="2" a="1"/>
  <c r="AL1007" i="2"/>
  <c r="AL1008" i="2" a="1"/>
  <c r="AL1008" i="2"/>
  <c r="AL1009" i="2" a="1"/>
  <c r="AL1009" i="2"/>
  <c r="AL1010" i="2" a="1"/>
  <c r="AL1010" i="2"/>
  <c r="AL1011" i="2" a="1"/>
  <c r="AL1011" i="2"/>
  <c r="AL1012" i="2" a="1"/>
  <c r="AL1012" i="2"/>
  <c r="AL1013" i="2" a="1"/>
  <c r="AL1013" i="2"/>
  <c r="AL1014" i="2" a="1"/>
  <c r="AL1014" i="2"/>
  <c r="AL1015" i="2" a="1"/>
  <c r="AL1015" i="2"/>
  <c r="AL1016" i="2" a="1"/>
  <c r="AL1016" i="2"/>
  <c r="AL1017" i="2" a="1"/>
  <c r="AL1017" i="2"/>
  <c r="AL1018" i="2" a="1"/>
  <c r="AL1018" i="2"/>
  <c r="AL1019" i="2" a="1"/>
  <c r="AL1019" i="2"/>
  <c r="AL1020" i="2" a="1"/>
  <c r="AL1020" i="2"/>
  <c r="AL1021" i="2" a="1"/>
  <c r="AL1021" i="2"/>
  <c r="AL1022" i="2" a="1"/>
  <c r="AL1022" i="2"/>
  <c r="AL1023" i="2" a="1"/>
  <c r="AL1023" i="2"/>
  <c r="AL1024" i="2" a="1"/>
  <c r="AL1024" i="2"/>
  <c r="AL1025" i="2" a="1"/>
  <c r="AL1025" i="2"/>
  <c r="AL1026" i="2" a="1"/>
  <c r="AL1026" i="2"/>
  <c r="AL1027" i="2" a="1"/>
  <c r="AL1027" i="2"/>
  <c r="AL1028" i="2" a="1"/>
  <c r="AL1028" i="2"/>
  <c r="AL1029" i="2" a="1"/>
  <c r="AL1029" i="2"/>
  <c r="AL1030" i="2" a="1"/>
  <c r="AL1030" i="2"/>
  <c r="AL1031" i="2" a="1"/>
  <c r="AL1031" i="2"/>
  <c r="AL1032" i="2" a="1"/>
  <c r="AL1032" i="2"/>
  <c r="AL1033" i="2" a="1"/>
  <c r="AL1033" i="2"/>
  <c r="AL1034" i="2" a="1"/>
  <c r="AL1034" i="2"/>
  <c r="AL1035" i="2" a="1"/>
  <c r="AL1035" i="2"/>
  <c r="AL1036" i="2" a="1"/>
  <c r="AL1036" i="2"/>
  <c r="AL1037" i="2" a="1"/>
  <c r="AL1037" i="2"/>
  <c r="AL1038" i="2" a="1"/>
  <c r="AL1038" i="2"/>
  <c r="AL1039" i="2" a="1"/>
  <c r="AL1039" i="2"/>
  <c r="AL1040" i="2" a="1"/>
  <c r="AL1040" i="2"/>
  <c r="AL1041" i="2" a="1"/>
  <c r="AL1041" i="2"/>
  <c r="AL1042" i="2" a="1"/>
  <c r="AL1042" i="2"/>
  <c r="AL1043" i="2" a="1"/>
  <c r="AL1043" i="2"/>
  <c r="AL1044" i="2" a="1"/>
  <c r="AL1044" i="2"/>
  <c r="AL1045" i="2" a="1"/>
  <c r="AL1045" i="2"/>
  <c r="AL1046" i="2" a="1"/>
  <c r="AL1046" i="2"/>
  <c r="AL1047" i="2" a="1"/>
  <c r="AL1047" i="2"/>
  <c r="AL1048" i="2" a="1"/>
  <c r="AL1048" i="2"/>
  <c r="AL1049" i="2" a="1"/>
  <c r="AL1049" i="2"/>
  <c r="AL1050" i="2" a="1"/>
  <c r="AL1050" i="2"/>
  <c r="AL1051" i="2" a="1"/>
  <c r="AL1051" i="2"/>
  <c r="AL1052" i="2" a="1"/>
  <c r="AL1052" i="2"/>
  <c r="AL1053" i="2" a="1"/>
  <c r="AL1053" i="2"/>
  <c r="AL1054" i="2" a="1"/>
  <c r="AL1054" i="2"/>
  <c r="AL1055" i="2" a="1"/>
  <c r="AL1055" i="2"/>
  <c r="AL1056" i="2" a="1"/>
  <c r="AL1056" i="2"/>
  <c r="AL1057" i="2" a="1"/>
  <c r="AL1057" i="2"/>
  <c r="AL1058" i="2" a="1"/>
  <c r="AL1058" i="2"/>
  <c r="AL1059" i="2" a="1"/>
  <c r="AL1059" i="2"/>
  <c r="AL1060" i="2" a="1"/>
  <c r="AL1060" i="2"/>
  <c r="AL1061" i="2" a="1"/>
  <c r="AL1061" i="2"/>
  <c r="AL1062" i="2" a="1"/>
  <c r="AL1062" i="2"/>
  <c r="AL1063" i="2" a="1"/>
  <c r="AL1063" i="2"/>
  <c r="AL1064" i="2" a="1"/>
  <c r="AL1064" i="2"/>
  <c r="AL1065" i="2" a="1"/>
  <c r="AL1065" i="2"/>
  <c r="AL1066" i="2" a="1"/>
  <c r="AL1066" i="2"/>
  <c r="AL1067" i="2" a="1"/>
  <c r="AL1067" i="2"/>
  <c r="AL1068" i="2" a="1"/>
  <c r="AL1068" i="2"/>
  <c r="AL1069" i="2" a="1"/>
  <c r="AL1069" i="2"/>
  <c r="AL1070" i="2" a="1"/>
  <c r="AL1070" i="2"/>
  <c r="AL1071" i="2" a="1"/>
  <c r="AL1071" i="2"/>
  <c r="AL1072" i="2" a="1"/>
  <c r="AL1072" i="2"/>
  <c r="AL1073" i="2" a="1"/>
  <c r="AL1073" i="2"/>
  <c r="AL1074" i="2" a="1"/>
  <c r="AL1074" i="2"/>
  <c r="AL1075" i="2" a="1"/>
  <c r="AL1075" i="2"/>
  <c r="AL1076" i="2" a="1"/>
  <c r="AL1076" i="2"/>
  <c r="AL1077" i="2" a="1"/>
  <c r="AL1077" i="2"/>
  <c r="AL1078" i="2" a="1"/>
  <c r="AL1078" i="2"/>
  <c r="AL1079" i="2" a="1"/>
  <c r="AL1079" i="2"/>
  <c r="AL1080" i="2" a="1"/>
  <c r="AL1080" i="2"/>
  <c r="AL1081" i="2" a="1"/>
  <c r="AL1081" i="2"/>
  <c r="AL1082" i="2" a="1"/>
  <c r="AL1082" i="2"/>
  <c r="AL1083" i="2" a="1"/>
  <c r="AL1083" i="2"/>
  <c r="AL1084" i="2" a="1"/>
  <c r="AL1084" i="2"/>
  <c r="AL1085" i="2" a="1"/>
  <c r="AL1085" i="2"/>
  <c r="AL1086" i="2" a="1"/>
  <c r="AL1086" i="2"/>
  <c r="AL1087" i="2" a="1"/>
  <c r="AL1087" i="2"/>
  <c r="AL1088" i="2" a="1"/>
  <c r="AL1088" i="2"/>
  <c r="AL1089" i="2" a="1"/>
  <c r="AL1089" i="2"/>
  <c r="AL1090" i="2" a="1"/>
  <c r="AL1090" i="2"/>
  <c r="AL1091" i="2" a="1"/>
  <c r="AL1091" i="2"/>
  <c r="AL1092" i="2" a="1"/>
  <c r="AL1092" i="2"/>
  <c r="AL1093" i="2" a="1"/>
  <c r="AL1093" i="2"/>
  <c r="AL1094" i="2" a="1"/>
  <c r="AL1094" i="2"/>
  <c r="AL1095" i="2" a="1"/>
  <c r="AL1095" i="2"/>
  <c r="AL1096" i="2" a="1"/>
  <c r="AL1096" i="2"/>
  <c r="AL1097" i="2" a="1"/>
  <c r="AL1097" i="2"/>
  <c r="AL1098" i="2" a="1"/>
  <c r="AL1098" i="2"/>
  <c r="AL1099" i="2" a="1"/>
  <c r="AL1099" i="2"/>
  <c r="AL1100" i="2" a="1"/>
  <c r="AL1100" i="2"/>
  <c r="AL1101" i="2" a="1"/>
  <c r="AL1101" i="2"/>
  <c r="AL1102" i="2" a="1"/>
  <c r="AL1102" i="2"/>
  <c r="AL1103" i="2" a="1"/>
  <c r="AL1103" i="2"/>
  <c r="AL1104" i="2" a="1"/>
  <c r="AL1104" i="2"/>
  <c r="AL1105" i="2" a="1"/>
  <c r="AL1105" i="2"/>
  <c r="AL1106" i="2" a="1"/>
  <c r="AL1106" i="2"/>
  <c r="AL1107" i="2" a="1"/>
  <c r="AL1107" i="2"/>
  <c r="AL1108" i="2" a="1"/>
  <c r="AL1108" i="2"/>
  <c r="AL1109" i="2" a="1"/>
  <c r="AL1109" i="2"/>
  <c r="AL1110" i="2" a="1"/>
  <c r="AL1110" i="2"/>
  <c r="AL1111" i="2" a="1"/>
  <c r="AL1111" i="2"/>
  <c r="AL1112" i="2" a="1"/>
  <c r="AL1112" i="2"/>
  <c r="AL1113" i="2" a="1"/>
  <c r="AL1113" i="2"/>
  <c r="AL1114" i="2" a="1"/>
  <c r="AL1114" i="2"/>
  <c r="AL1115" i="2" a="1"/>
  <c r="AL1115" i="2"/>
  <c r="AL1116" i="2" a="1"/>
  <c r="AL1116" i="2"/>
  <c r="AL1117" i="2" a="1"/>
  <c r="AL1117" i="2"/>
  <c r="AL1118" i="2" a="1"/>
  <c r="AL1118" i="2"/>
  <c r="AL1119" i="2" a="1"/>
  <c r="AL1119" i="2"/>
  <c r="AL1120" i="2" a="1"/>
  <c r="AL1120" i="2"/>
  <c r="AL1121" i="2" a="1"/>
  <c r="AL1121" i="2"/>
  <c r="AL1122" i="2" a="1"/>
  <c r="AL1122" i="2"/>
  <c r="AL1123" i="2" a="1"/>
  <c r="AL1123" i="2"/>
  <c r="AL1124" i="2" a="1"/>
  <c r="AL1124" i="2"/>
  <c r="AL1125" i="2" a="1"/>
  <c r="AL1125" i="2"/>
  <c r="AL1126" i="2" a="1"/>
  <c r="AL1126" i="2"/>
  <c r="AL1127" i="2" a="1"/>
  <c r="AL1127" i="2"/>
  <c r="AL1128" i="2" a="1"/>
  <c r="AL1128" i="2"/>
  <c r="AL1129" i="2" a="1"/>
  <c r="AL1129" i="2"/>
  <c r="AL1130" i="2" a="1"/>
  <c r="AL1130" i="2"/>
  <c r="AL1131" i="2" a="1"/>
  <c r="AL1131" i="2"/>
  <c r="AL1132" i="2" a="1"/>
  <c r="AL1132" i="2"/>
  <c r="AL1133" i="2" a="1"/>
  <c r="AL1133" i="2"/>
  <c r="AL1134" i="2" a="1"/>
  <c r="AL1134" i="2"/>
  <c r="AL1135" i="2" a="1"/>
  <c r="AL1135" i="2"/>
  <c r="AL1136" i="2" a="1"/>
  <c r="AL1136" i="2"/>
  <c r="AL1137" i="2" a="1"/>
  <c r="AL1137" i="2"/>
  <c r="AL1138" i="2" a="1"/>
  <c r="AL1138" i="2"/>
  <c r="AL1139" i="2" a="1"/>
  <c r="AL1139" i="2"/>
  <c r="AL1140" i="2" a="1"/>
  <c r="AL1140" i="2"/>
  <c r="AL1141" i="2" a="1"/>
  <c r="AL1141" i="2"/>
  <c r="AL1142" i="2" a="1"/>
  <c r="AL1142" i="2"/>
  <c r="AL1143" i="2" a="1"/>
  <c r="AL1143" i="2"/>
  <c r="AL1144" i="2" a="1"/>
  <c r="AL1144" i="2"/>
  <c r="AL1145" i="2" a="1"/>
  <c r="AL1145" i="2"/>
  <c r="AL1146" i="2" a="1"/>
  <c r="AL1146" i="2"/>
  <c r="AL1147" i="2" a="1"/>
  <c r="AL1147" i="2"/>
  <c r="AL1148" i="2" a="1"/>
  <c r="AL1148" i="2"/>
  <c r="AL1149" i="2" a="1"/>
  <c r="AL1149" i="2"/>
  <c r="AL1150" i="2" a="1"/>
  <c r="AL1150" i="2"/>
  <c r="AL1151" i="2" a="1"/>
  <c r="AL1151" i="2"/>
  <c r="AL1152" i="2" a="1"/>
  <c r="AL1152" i="2"/>
  <c r="AL1153" i="2" a="1"/>
  <c r="AL1153" i="2"/>
  <c r="AL1154" i="2" a="1"/>
  <c r="AL1154" i="2"/>
  <c r="AL1155" i="2" a="1"/>
  <c r="AL1155" i="2"/>
  <c r="AL1156" i="2" a="1"/>
  <c r="AL1156" i="2"/>
  <c r="AL1157" i="2" a="1"/>
  <c r="AL1157" i="2"/>
  <c r="AL1158" i="2" a="1"/>
  <c r="AL1158" i="2"/>
  <c r="AL1159" i="2" a="1"/>
  <c r="AL1159" i="2"/>
  <c r="AL1160" i="2" a="1"/>
  <c r="AL1160" i="2"/>
  <c r="AL1161" i="2" a="1"/>
  <c r="AL1161" i="2"/>
  <c r="AL1162" i="2" a="1"/>
  <c r="AL1162" i="2"/>
  <c r="AL1163" i="2" a="1"/>
  <c r="AL1163" i="2"/>
  <c r="AL1164" i="2" a="1"/>
  <c r="AL1164" i="2"/>
  <c r="AL1165" i="2" a="1"/>
  <c r="AL1165" i="2"/>
  <c r="AL1166" i="2" a="1"/>
  <c r="AL1166" i="2"/>
  <c r="AL1167" i="2" a="1"/>
  <c r="AL1167" i="2"/>
  <c r="AL1168" i="2" a="1"/>
  <c r="AL1168" i="2"/>
  <c r="AL1169" i="2" a="1"/>
  <c r="AL1169" i="2"/>
  <c r="AL1170" i="2" a="1"/>
  <c r="AL1170" i="2"/>
  <c r="AL1171" i="2" a="1"/>
  <c r="AL1171" i="2"/>
  <c r="AL1172" i="2" a="1"/>
  <c r="AL1172" i="2"/>
  <c r="AL1173" i="2" a="1"/>
  <c r="AL1173" i="2"/>
  <c r="AL1174" i="2" a="1"/>
  <c r="AL1174" i="2"/>
  <c r="AL1175" i="2" a="1"/>
  <c r="AL1175" i="2"/>
  <c r="AL1176" i="2" a="1"/>
  <c r="AL1176" i="2"/>
  <c r="AL1177" i="2" a="1"/>
  <c r="AL1177" i="2"/>
  <c r="AL1178" i="2" a="1"/>
  <c r="AL1178" i="2"/>
  <c r="AL1179" i="2" a="1"/>
  <c r="AL1179" i="2"/>
  <c r="AL1180" i="2" a="1"/>
  <c r="AL1180" i="2"/>
  <c r="AL1181" i="2" a="1"/>
  <c r="AL1181" i="2"/>
  <c r="AL1182" i="2" a="1"/>
  <c r="AL1182" i="2"/>
  <c r="AL1183" i="2" a="1"/>
  <c r="AL1183" i="2"/>
  <c r="AL1184" i="2" a="1"/>
  <c r="AL1184" i="2"/>
  <c r="AL1185" i="2" a="1"/>
  <c r="AL1185" i="2"/>
  <c r="AL1186" i="2" a="1"/>
  <c r="AL1186" i="2"/>
  <c r="AL1187" i="2" a="1"/>
  <c r="AL1187" i="2"/>
  <c r="AL1188" i="2" a="1"/>
  <c r="AL1188" i="2"/>
  <c r="AL1189" i="2" a="1"/>
  <c r="AL1189" i="2"/>
  <c r="AL1190" i="2" a="1"/>
  <c r="AL1190" i="2"/>
  <c r="AL1191" i="2" a="1"/>
  <c r="AL1191" i="2"/>
  <c r="AL1192" i="2" a="1"/>
  <c r="AL1192" i="2"/>
  <c r="AL1193" i="2" a="1"/>
  <c r="AL1193" i="2"/>
  <c r="AL1194" i="2" a="1"/>
  <c r="AL1194" i="2"/>
  <c r="AL1195" i="2" a="1"/>
  <c r="AL1195" i="2"/>
  <c r="AL1196" i="2" a="1"/>
  <c r="AL1196" i="2"/>
  <c r="AL1197" i="2" a="1"/>
  <c r="AL1197" i="2"/>
  <c r="AL1198" i="2" a="1"/>
  <c r="AL1198" i="2"/>
  <c r="AL1199" i="2" a="1"/>
  <c r="AL1199" i="2"/>
  <c r="AL1200" i="2" a="1"/>
  <c r="AL1200" i="2"/>
  <c r="AL1201" i="2" a="1"/>
  <c r="AL1201" i="2"/>
  <c r="AL1202" i="2" a="1"/>
  <c r="AL1202" i="2"/>
  <c r="AL1203" i="2" a="1"/>
  <c r="AL1203" i="2"/>
  <c r="AL1204" i="2" a="1"/>
  <c r="AL1204" i="2"/>
  <c r="AL1205" i="2" a="1"/>
  <c r="AL1205" i="2"/>
  <c r="AL1206" i="2" a="1"/>
  <c r="AL1206" i="2"/>
  <c r="AL1207" i="2" a="1"/>
  <c r="AL1207" i="2"/>
  <c r="AL1208" i="2" a="1"/>
  <c r="AL1208" i="2"/>
  <c r="AL1209" i="2" a="1"/>
  <c r="AL1209" i="2"/>
  <c r="AL1210" i="2" a="1"/>
  <c r="AL1210" i="2"/>
  <c r="AL1211" i="2" a="1"/>
  <c r="AL1211" i="2"/>
  <c r="AL1212" i="2" a="1"/>
  <c r="AL1212" i="2"/>
  <c r="AL1213" i="2" a="1"/>
  <c r="AL1213" i="2"/>
  <c r="AL1214" i="2" a="1"/>
  <c r="AL1214" i="2"/>
  <c r="AL1215" i="2" a="1"/>
  <c r="AL1215" i="2"/>
  <c r="AL1216" i="2" a="1"/>
  <c r="AL1216" i="2"/>
  <c r="AL1217" i="2" a="1"/>
  <c r="AL1217" i="2"/>
  <c r="AL1218" i="2" a="1"/>
  <c r="AL1218" i="2"/>
  <c r="AL1219" i="2" a="1"/>
  <c r="AL1219" i="2"/>
  <c r="AL1220" i="2" a="1"/>
  <c r="AL1220" i="2"/>
  <c r="AL1221" i="2" a="1"/>
  <c r="AL1221" i="2"/>
  <c r="AL1222" i="2" a="1"/>
  <c r="AL1222" i="2"/>
  <c r="AL1223" i="2" a="1"/>
  <c r="AL1223" i="2"/>
  <c r="AL1224" i="2" a="1"/>
  <c r="AL1224" i="2"/>
  <c r="AL1225" i="2" a="1"/>
  <c r="AL1225" i="2"/>
  <c r="AL1226" i="2" a="1"/>
  <c r="AL1226" i="2"/>
  <c r="AL1227" i="2" a="1"/>
  <c r="AL1227" i="2"/>
  <c r="AL1228" i="2" a="1"/>
  <c r="AL1228" i="2"/>
  <c r="AL1229" i="2" a="1"/>
  <c r="AL1229" i="2"/>
  <c r="AL1230" i="2" a="1"/>
  <c r="AL1230" i="2"/>
  <c r="AL1231" i="2" a="1"/>
  <c r="AL1231" i="2"/>
  <c r="AL1232" i="2" a="1"/>
  <c r="AL1232" i="2"/>
  <c r="AL1233" i="2" a="1"/>
  <c r="AL1233" i="2"/>
  <c r="AL1234" i="2" a="1"/>
  <c r="AL1234" i="2"/>
  <c r="AL1235" i="2" a="1"/>
  <c r="AL1235" i="2"/>
  <c r="AL1236" i="2" a="1"/>
  <c r="AL1236" i="2"/>
  <c r="AL1237" i="2" a="1"/>
  <c r="AL1237" i="2"/>
  <c r="AL1238" i="2" a="1"/>
  <c r="AL1238" i="2"/>
  <c r="AL1239" i="2" a="1"/>
  <c r="AL1239" i="2"/>
  <c r="AL1240" i="2" a="1"/>
  <c r="AL1240" i="2"/>
  <c r="AL1241" i="2" a="1"/>
  <c r="AL1241" i="2"/>
  <c r="AL1242" i="2" a="1"/>
  <c r="AL1242" i="2"/>
  <c r="AL1243" i="2" a="1"/>
  <c r="AL1243" i="2"/>
  <c r="AL1244" i="2" a="1"/>
  <c r="AL1244" i="2"/>
  <c r="AL1245" i="2" a="1"/>
  <c r="AL1245" i="2"/>
  <c r="AL1246" i="2" a="1"/>
  <c r="AL1246" i="2"/>
  <c r="AL1247" i="2" a="1"/>
  <c r="AL1247" i="2"/>
  <c r="AL1248" i="2" a="1"/>
  <c r="AL1248" i="2"/>
  <c r="AL1249" i="2" a="1"/>
  <c r="AL1249" i="2"/>
  <c r="AL1250" i="2" a="1"/>
  <c r="AL1250" i="2"/>
  <c r="AL1251" i="2" a="1"/>
  <c r="AL1251" i="2"/>
  <c r="AL1252" i="2" a="1"/>
  <c r="AL1252" i="2"/>
  <c r="AL1253" i="2" a="1"/>
  <c r="AL1253" i="2"/>
  <c r="AL1254" i="2" a="1"/>
  <c r="AL1254" i="2"/>
  <c r="AL1255" i="2" a="1"/>
  <c r="AL1255" i="2"/>
  <c r="AL1256" i="2" a="1"/>
  <c r="AL1256" i="2"/>
  <c r="AL1257" i="2" a="1"/>
  <c r="AL1257" i="2"/>
  <c r="AL1258" i="2" a="1"/>
  <c r="AL1258" i="2"/>
  <c r="AL1259" i="2" a="1"/>
  <c r="AL1259" i="2"/>
  <c r="AL1260" i="2" a="1"/>
  <c r="AL1260" i="2"/>
  <c r="AL1261" i="2" a="1"/>
  <c r="AL1261" i="2"/>
  <c r="AL1262" i="2" a="1"/>
  <c r="AL1262" i="2"/>
  <c r="AL1263" i="2" a="1"/>
  <c r="AL1263" i="2"/>
  <c r="AL1264" i="2" a="1"/>
  <c r="AL1264" i="2"/>
  <c r="AL1265" i="2" a="1"/>
  <c r="AL1265" i="2"/>
  <c r="AL1266" i="2" a="1"/>
  <c r="AL1266" i="2"/>
  <c r="AL1267" i="2" a="1"/>
  <c r="AL1267" i="2"/>
  <c r="AL1268" i="2" a="1"/>
  <c r="AL1268" i="2"/>
  <c r="AL1269" i="2" a="1"/>
  <c r="AL1269" i="2"/>
  <c r="AL1270" i="2" a="1"/>
  <c r="AL1270" i="2"/>
  <c r="AL1271" i="2" a="1"/>
  <c r="AL1271" i="2"/>
  <c r="AL1272" i="2" a="1"/>
  <c r="AL1272" i="2"/>
  <c r="AL1273" i="2" a="1"/>
  <c r="AL1273" i="2"/>
  <c r="AL1274" i="2" a="1"/>
  <c r="AL1274" i="2"/>
  <c r="AL1275" i="2" a="1"/>
  <c r="AL1275" i="2"/>
  <c r="AL1276" i="2" a="1"/>
  <c r="AL1276" i="2"/>
  <c r="AL1277" i="2" a="1"/>
  <c r="AL1277" i="2"/>
  <c r="AL1278" i="2" a="1"/>
  <c r="AL1278" i="2"/>
  <c r="AL1279" i="2" a="1"/>
  <c r="AL1279" i="2"/>
  <c r="AL1280" i="2" a="1"/>
  <c r="AL1280" i="2"/>
  <c r="AL1281" i="2" a="1"/>
  <c r="AL1281" i="2"/>
  <c r="AL1282" i="2" a="1"/>
  <c r="AL1282" i="2"/>
  <c r="AL1283" i="2" a="1"/>
  <c r="AL1283" i="2"/>
  <c r="AL1284" i="2" a="1"/>
  <c r="AL1284" i="2"/>
  <c r="AL1285" i="2" a="1"/>
  <c r="AL1285" i="2"/>
  <c r="AL1286" i="2" a="1"/>
  <c r="AL1286" i="2"/>
  <c r="AL1287" i="2" a="1"/>
  <c r="AL1287" i="2"/>
  <c r="AL1288" i="2" a="1"/>
  <c r="AL1288" i="2"/>
  <c r="AL1289" i="2" a="1"/>
  <c r="AL1289" i="2"/>
  <c r="AL1290" i="2" a="1"/>
  <c r="AL1290" i="2"/>
  <c r="AL1291" i="2" a="1"/>
  <c r="AL1291" i="2"/>
  <c r="AL1292" i="2" a="1"/>
  <c r="AL1292" i="2"/>
  <c r="AL1293" i="2" a="1"/>
  <c r="AL1293" i="2"/>
  <c r="AL1294" i="2" a="1"/>
  <c r="AL1294" i="2"/>
  <c r="AL1295" i="2" a="1"/>
  <c r="AL1295" i="2"/>
  <c r="AL1296" i="2" a="1"/>
  <c r="AL1296" i="2"/>
  <c r="AL1297" i="2" a="1"/>
  <c r="AL1297" i="2"/>
  <c r="AL1298" i="2" a="1"/>
  <c r="AL1298" i="2"/>
  <c r="AL1299" i="2" a="1"/>
  <c r="AL1299" i="2"/>
  <c r="AL1300" i="2" a="1"/>
  <c r="AL1300" i="2"/>
  <c r="AL1301" i="2" a="1"/>
  <c r="AL1301" i="2"/>
  <c r="AL1302" i="2" a="1"/>
  <c r="AL1302" i="2"/>
  <c r="AL1303" i="2" a="1"/>
  <c r="AL1303" i="2"/>
  <c r="AL1304" i="2" a="1"/>
  <c r="AL1304" i="2"/>
  <c r="AL1305" i="2" a="1"/>
  <c r="AL1305" i="2"/>
  <c r="AL1306" i="2" a="1"/>
  <c r="AL1306" i="2"/>
  <c r="AL1307" i="2" a="1"/>
  <c r="AL1307" i="2"/>
  <c r="AL1308" i="2" a="1"/>
  <c r="AL1308" i="2"/>
  <c r="AL1309" i="2" a="1"/>
  <c r="AL1309" i="2"/>
  <c r="AL1310" i="2" a="1"/>
  <c r="AL1310" i="2"/>
  <c r="AL1311" i="2" a="1"/>
  <c r="AL1311" i="2"/>
  <c r="AL1312" i="2" a="1"/>
  <c r="AL1312" i="2"/>
  <c r="AL1313" i="2" a="1"/>
  <c r="AL1313" i="2"/>
  <c r="AL1314" i="2" a="1"/>
  <c r="AL1314" i="2"/>
  <c r="AL1315" i="2" a="1"/>
  <c r="AL1315" i="2"/>
  <c r="AL1316" i="2" a="1"/>
  <c r="AL1316" i="2"/>
  <c r="AL1317" i="2" a="1"/>
  <c r="AL1317" i="2"/>
  <c r="AL1318" i="2" a="1"/>
  <c r="AL1318" i="2"/>
  <c r="AL1319" i="2" a="1"/>
  <c r="AL1319" i="2"/>
  <c r="AL1320" i="2" a="1"/>
  <c r="AL1320" i="2"/>
  <c r="AL1321" i="2" a="1"/>
  <c r="AL1321" i="2"/>
  <c r="AL1322" i="2" a="1"/>
  <c r="AL1322" i="2"/>
  <c r="AL1323" i="2" a="1"/>
  <c r="AL1323" i="2"/>
  <c r="AL1324" i="2" a="1"/>
  <c r="AL1324" i="2"/>
  <c r="AL1325" i="2" a="1"/>
  <c r="AL1325" i="2"/>
  <c r="AL1326" i="2" a="1"/>
  <c r="AL1326" i="2"/>
  <c r="AL1327" i="2" a="1"/>
  <c r="AL1327" i="2"/>
  <c r="AL1328" i="2" a="1"/>
  <c r="AL1328" i="2"/>
  <c r="AL1329" i="2" a="1"/>
  <c r="AL1329" i="2"/>
  <c r="AL1330" i="2" a="1"/>
  <c r="AL1330" i="2"/>
  <c r="AL1331" i="2" a="1"/>
  <c r="AL1331" i="2"/>
  <c r="AL1332" i="2" a="1"/>
  <c r="AL1332" i="2"/>
  <c r="AL1333" i="2" a="1"/>
  <c r="AL1333" i="2"/>
  <c r="AL1334" i="2" a="1"/>
  <c r="AL1334" i="2"/>
  <c r="AL1335" i="2" a="1"/>
  <c r="AL1335" i="2"/>
  <c r="AL1336" i="2" a="1"/>
  <c r="AL1336" i="2"/>
  <c r="AL1337" i="2" a="1"/>
  <c r="AL1337" i="2"/>
  <c r="AL1338" i="2" a="1"/>
  <c r="AL1338" i="2"/>
  <c r="AL1339" i="2" a="1"/>
  <c r="AL1339" i="2"/>
  <c r="AL1340" i="2" a="1"/>
  <c r="AL1340" i="2"/>
  <c r="AL1341" i="2" a="1"/>
  <c r="AL1341" i="2"/>
  <c r="AL1342" i="2" a="1"/>
  <c r="AL1342" i="2"/>
  <c r="AL1343" i="2" a="1"/>
  <c r="AL1343" i="2"/>
  <c r="AL1344" i="2" a="1"/>
  <c r="AL1344" i="2"/>
  <c r="AL1345" i="2" a="1"/>
  <c r="AL1345" i="2"/>
  <c r="AL1346" i="2" a="1"/>
  <c r="AL1346" i="2"/>
  <c r="AL1347" i="2" a="1"/>
  <c r="AL1347" i="2"/>
  <c r="AL1348" i="2" a="1"/>
  <c r="AL1348" i="2"/>
  <c r="AL1349" i="2" a="1"/>
  <c r="AL1349" i="2"/>
  <c r="AL1350" i="2" a="1"/>
  <c r="AL1350" i="2"/>
  <c r="AL1351" i="2" a="1"/>
  <c r="AL1351" i="2"/>
  <c r="AL1352" i="2" a="1"/>
  <c r="AL1352" i="2"/>
  <c r="AL1353" i="2" a="1"/>
  <c r="AL1353" i="2"/>
  <c r="AL1354" i="2" a="1"/>
  <c r="AL1354" i="2"/>
  <c r="AL1355" i="2" a="1"/>
  <c r="AL1355" i="2"/>
  <c r="AL1356" i="2" a="1"/>
  <c r="AL1356" i="2"/>
  <c r="AL1357" i="2" a="1"/>
  <c r="AL1357" i="2"/>
  <c r="AL1358" i="2" a="1"/>
  <c r="AL1358" i="2"/>
  <c r="AL1359" i="2" a="1"/>
  <c r="AL1359" i="2"/>
  <c r="AL1360" i="2" a="1"/>
  <c r="AL1360" i="2"/>
  <c r="AL1361" i="2" a="1"/>
  <c r="AL1361" i="2"/>
  <c r="AL1362" i="2" a="1"/>
  <c r="AL1362" i="2"/>
  <c r="AL1363" i="2" a="1"/>
  <c r="AL1363" i="2"/>
  <c r="AL1364" i="2" a="1"/>
  <c r="AL1364" i="2"/>
  <c r="AL1365" i="2" a="1"/>
  <c r="AL1365" i="2"/>
  <c r="AL1366" i="2" a="1"/>
  <c r="AL1366" i="2"/>
  <c r="AL1367" i="2" a="1"/>
  <c r="AL1367" i="2"/>
  <c r="AL1368" i="2" a="1"/>
  <c r="AL1368" i="2"/>
  <c r="AL1369" i="2" a="1"/>
  <c r="AL1369" i="2"/>
  <c r="AL1370" i="2" a="1"/>
  <c r="AL1370" i="2"/>
  <c r="AL1371" i="2" a="1"/>
  <c r="AL1371" i="2"/>
  <c r="AL1372" i="2" a="1"/>
  <c r="AL1372" i="2"/>
  <c r="AL1373" i="2" a="1"/>
  <c r="AL1373" i="2"/>
  <c r="AL1374" i="2" a="1"/>
  <c r="AL1374" i="2"/>
  <c r="AL1375" i="2" a="1"/>
  <c r="AL1375" i="2"/>
  <c r="AL1376" i="2" a="1"/>
  <c r="AL1376" i="2"/>
  <c r="AL1377" i="2" a="1"/>
  <c r="AL1377" i="2"/>
  <c r="AL1378" i="2" a="1"/>
  <c r="AL1378" i="2"/>
  <c r="AL1379" i="2" a="1"/>
  <c r="AL1379" i="2"/>
  <c r="AL1380" i="2" a="1"/>
  <c r="AL1380" i="2"/>
  <c r="AL1381" i="2" a="1"/>
  <c r="AL1381" i="2"/>
  <c r="AL1382" i="2" a="1"/>
  <c r="AL1382" i="2"/>
  <c r="AL1383" i="2" a="1"/>
  <c r="AL1383" i="2"/>
  <c r="AL1384" i="2" a="1"/>
  <c r="AL1384" i="2"/>
  <c r="AL1385" i="2" a="1"/>
  <c r="AL1385" i="2"/>
  <c r="AL1386" i="2" a="1"/>
  <c r="AL1386" i="2"/>
  <c r="AL1387" i="2" a="1"/>
  <c r="AL1387" i="2"/>
  <c r="AL1388" i="2" a="1"/>
  <c r="AL1388" i="2"/>
  <c r="AL1389" i="2" a="1"/>
  <c r="AL1389" i="2"/>
  <c r="AL1390" i="2" a="1"/>
  <c r="AL1390" i="2"/>
  <c r="AL1391" i="2" a="1"/>
  <c r="AL1391" i="2"/>
  <c r="AL1392" i="2" a="1"/>
  <c r="AL1392" i="2"/>
  <c r="AL1393" i="2" a="1"/>
  <c r="AL1393" i="2"/>
  <c r="AL1394" i="2" a="1"/>
  <c r="AL1394" i="2"/>
  <c r="AL1395" i="2" a="1"/>
  <c r="AL1395" i="2"/>
  <c r="AL1396" i="2" a="1"/>
  <c r="AL1396" i="2"/>
  <c r="AL1397" i="2" a="1"/>
  <c r="AL1397" i="2"/>
  <c r="AL1398" i="2" a="1"/>
  <c r="AL1398" i="2"/>
  <c r="AL1399" i="2" a="1"/>
  <c r="AL1399" i="2"/>
  <c r="AL1400" i="2" a="1"/>
  <c r="AL1400" i="2"/>
  <c r="AL1401" i="2" a="1"/>
  <c r="AL1401" i="2"/>
  <c r="AL1402" i="2" a="1"/>
  <c r="AL1402" i="2"/>
  <c r="AL1403" i="2" a="1"/>
  <c r="AL1403" i="2"/>
  <c r="AL1404" i="2" a="1"/>
  <c r="AL1404" i="2"/>
  <c r="AL1405" i="2" a="1"/>
  <c r="AL1405" i="2"/>
  <c r="AL1406" i="2" a="1"/>
  <c r="AL1406" i="2"/>
  <c r="AL1407" i="2" a="1"/>
  <c r="AL1407" i="2"/>
  <c r="AL1408" i="2" a="1"/>
  <c r="AL1408" i="2"/>
  <c r="AL1409" i="2" a="1"/>
  <c r="AL1409" i="2"/>
  <c r="AL1410" i="2" a="1"/>
  <c r="AL1410" i="2"/>
  <c r="AL1411" i="2" a="1"/>
  <c r="AL1411" i="2"/>
  <c r="AL1412" i="2" a="1"/>
  <c r="AL1412" i="2"/>
  <c r="AL1413" i="2" a="1"/>
  <c r="AL1413" i="2"/>
  <c r="AL1414" i="2" a="1"/>
  <c r="AL1414" i="2"/>
  <c r="AL1415" i="2" a="1"/>
  <c r="AL1415" i="2"/>
  <c r="AL1416" i="2" a="1"/>
  <c r="AL1416" i="2"/>
  <c r="AL1417" i="2" a="1"/>
  <c r="AL1417" i="2"/>
  <c r="AL1418" i="2" a="1"/>
  <c r="AL1418" i="2"/>
  <c r="AL1419" i="2" a="1"/>
  <c r="AL1419" i="2"/>
  <c r="AL1420" i="2" a="1"/>
  <c r="AL1420" i="2"/>
  <c r="AL1421" i="2" a="1"/>
  <c r="AL1421" i="2"/>
  <c r="AL1422" i="2" a="1"/>
  <c r="AL1422" i="2"/>
  <c r="AL1423" i="2" a="1"/>
  <c r="AL1423" i="2"/>
  <c r="AL1424" i="2" a="1"/>
  <c r="AL1424" i="2"/>
  <c r="AL1425" i="2" a="1"/>
  <c r="AL1425" i="2"/>
  <c r="AL1426" i="2" a="1"/>
  <c r="AL1426" i="2"/>
  <c r="AL1427" i="2" a="1"/>
  <c r="AL1427" i="2"/>
  <c r="AL1428" i="2" a="1"/>
  <c r="AL1428" i="2"/>
  <c r="AL1429" i="2" a="1"/>
  <c r="AL1429" i="2"/>
  <c r="AL1430" i="2" a="1"/>
  <c r="AL1430" i="2"/>
  <c r="AL1431" i="2" a="1"/>
  <c r="AL1431" i="2"/>
  <c r="AL1432" i="2" a="1"/>
  <c r="AL1432" i="2"/>
  <c r="AL1433" i="2" a="1"/>
  <c r="AL1433" i="2"/>
  <c r="AL1434" i="2" a="1"/>
  <c r="AL1434" i="2"/>
  <c r="AL1435" i="2" a="1"/>
  <c r="AL1435" i="2"/>
  <c r="AL1436" i="2" a="1"/>
  <c r="AL1436" i="2"/>
  <c r="AL1437" i="2" a="1"/>
  <c r="AL1437" i="2"/>
  <c r="AL1438" i="2" a="1"/>
  <c r="AL1438" i="2"/>
  <c r="AL1439" i="2" a="1"/>
  <c r="AL1439" i="2"/>
  <c r="AL1440" i="2" a="1"/>
  <c r="AL1440" i="2"/>
  <c r="AL1441" i="2" a="1"/>
  <c r="AL1441" i="2"/>
  <c r="AL1442" i="2" a="1"/>
  <c r="AL1442" i="2"/>
  <c r="AL1443" i="2" a="1"/>
  <c r="AL1443" i="2"/>
  <c r="AL1444" i="2" a="1"/>
  <c r="AL1444" i="2"/>
  <c r="AL1445" i="2" a="1"/>
  <c r="AL1445" i="2"/>
  <c r="AL1446" i="2" a="1"/>
  <c r="AL1446" i="2"/>
  <c r="AL1447" i="2" a="1"/>
  <c r="AL1447" i="2"/>
  <c r="AL1448" i="2" a="1"/>
  <c r="AL1448" i="2"/>
  <c r="AL1449" i="2" a="1"/>
  <c r="AL1449" i="2"/>
  <c r="AL1450" i="2" a="1"/>
  <c r="AL1450" i="2"/>
  <c r="AL1451" i="2" a="1"/>
  <c r="AL1451" i="2"/>
  <c r="AL1452" i="2" a="1"/>
  <c r="AL1452" i="2"/>
  <c r="AL1453" i="2" a="1"/>
  <c r="AL1453" i="2"/>
  <c r="AL1454" i="2" a="1"/>
  <c r="AL1454" i="2"/>
  <c r="AL1455" i="2" a="1"/>
  <c r="AL1455" i="2"/>
  <c r="AL1456" i="2" a="1"/>
  <c r="AL1456" i="2"/>
  <c r="AL1457" i="2" a="1"/>
  <c r="AL1457" i="2"/>
  <c r="AL1458" i="2" a="1"/>
  <c r="AL1458" i="2"/>
  <c r="AL1459" i="2" a="1"/>
  <c r="AL1459" i="2"/>
  <c r="AL1460" i="2" a="1"/>
  <c r="AL1460" i="2"/>
  <c r="AL1461" i="2" a="1"/>
  <c r="AL1461" i="2"/>
  <c r="AL1462" i="2" a="1"/>
  <c r="AL1462" i="2"/>
  <c r="AL1463" i="2" a="1"/>
  <c r="AL1463" i="2"/>
  <c r="AL1464" i="2" a="1"/>
  <c r="AL1464" i="2"/>
  <c r="AL1465" i="2" a="1"/>
  <c r="AL1465" i="2"/>
  <c r="AL1466" i="2" a="1"/>
  <c r="AL1466" i="2"/>
  <c r="AL1467" i="2" a="1"/>
  <c r="AL1467" i="2"/>
  <c r="AL1468" i="2" a="1"/>
  <c r="AL1468" i="2"/>
  <c r="AL1469" i="2" a="1"/>
  <c r="AL1469" i="2"/>
  <c r="AL1470" i="2" a="1"/>
  <c r="AL1470" i="2"/>
  <c r="AL1471" i="2" a="1"/>
  <c r="AL1471" i="2"/>
  <c r="B24" i="3" a="1"/>
  <c r="B24" i="3" s="1"/>
  <c r="AK2" i="2" a="1"/>
  <c r="AK2" i="2"/>
  <c r="AK1471" i="2" a="1"/>
  <c r="AK1471" i="2" s="1"/>
  <c r="AK1470" i="2" a="1"/>
  <c r="AK1470" i="2" s="1"/>
  <c r="AK1469" i="2" a="1"/>
  <c r="AK1469" i="2" s="1"/>
  <c r="AK1468" i="2" a="1"/>
  <c r="AK1468" i="2" s="1"/>
  <c r="AK1467" i="2" a="1"/>
  <c r="AK1467" i="2" s="1"/>
  <c r="AK1466" i="2" a="1"/>
  <c r="AK1466" i="2" s="1"/>
  <c r="AK1465" i="2" a="1"/>
  <c r="AK1465" i="2" s="1"/>
  <c r="AK1464" i="2" a="1"/>
  <c r="AK1464" i="2" s="1"/>
  <c r="AK1463" i="2" a="1"/>
  <c r="AK1463" i="2" s="1"/>
  <c r="AK1462" i="2" a="1"/>
  <c r="AK1462" i="2" s="1"/>
  <c r="AK1461" i="2" a="1"/>
  <c r="AK1461" i="2" s="1"/>
  <c r="AK1460" i="2" a="1"/>
  <c r="AK1460" i="2" s="1"/>
  <c r="AK1459" i="2" a="1"/>
  <c r="AK1459" i="2" s="1"/>
  <c r="AK1458" i="2" a="1"/>
  <c r="AK1458" i="2" s="1"/>
  <c r="AK1457" i="2" a="1"/>
  <c r="AK1457" i="2" s="1"/>
  <c r="AK1456" i="2" a="1"/>
  <c r="AK1456" i="2" s="1"/>
  <c r="AK1455" i="2" a="1"/>
  <c r="AK1455" i="2" s="1"/>
  <c r="AK1454" i="2" a="1"/>
  <c r="AK1454" i="2" s="1"/>
  <c r="AK1453" i="2" a="1"/>
  <c r="AK1453" i="2" s="1"/>
  <c r="AK1452" i="2" a="1"/>
  <c r="AK1452" i="2" s="1"/>
  <c r="AK1451" i="2" a="1"/>
  <c r="AK1451" i="2" s="1"/>
  <c r="AK1450" i="2" a="1"/>
  <c r="AK1450" i="2" s="1"/>
  <c r="AK1449" i="2" a="1"/>
  <c r="AK1449" i="2" s="1"/>
  <c r="AK1448" i="2" a="1"/>
  <c r="AK1448" i="2" s="1"/>
  <c r="AK1447" i="2" a="1"/>
  <c r="AK1447" i="2" s="1"/>
  <c r="AK1446" i="2" a="1"/>
  <c r="AK1446" i="2" s="1"/>
  <c r="AK1445" i="2" a="1"/>
  <c r="AK1445" i="2" s="1"/>
  <c r="AK1444" i="2" a="1"/>
  <c r="AK1444" i="2" s="1"/>
  <c r="AK1443" i="2" a="1"/>
  <c r="AK1443" i="2" s="1"/>
  <c r="AK1442" i="2" a="1"/>
  <c r="AK1442" i="2" s="1"/>
  <c r="AK1441" i="2" a="1"/>
  <c r="AK1441" i="2" s="1"/>
  <c r="AK1440" i="2" a="1"/>
  <c r="AK1440" i="2" s="1"/>
  <c r="AK1439" i="2" a="1"/>
  <c r="AK1439" i="2" s="1"/>
  <c r="AK1438" i="2" a="1"/>
  <c r="AK1438" i="2" s="1"/>
  <c r="AK1437" i="2" a="1"/>
  <c r="AK1437" i="2" s="1"/>
  <c r="AK1436" i="2" a="1"/>
  <c r="AK1436" i="2" s="1"/>
  <c r="AK1435" i="2" a="1"/>
  <c r="AK1435" i="2" s="1"/>
  <c r="AK1434" i="2" a="1"/>
  <c r="AK1434" i="2" s="1"/>
  <c r="AK1433" i="2" a="1"/>
  <c r="AK1433" i="2" s="1"/>
  <c r="AK1432" i="2" a="1"/>
  <c r="AK1432" i="2" s="1"/>
  <c r="AK1431" i="2" a="1"/>
  <c r="AK1431" i="2" s="1"/>
  <c r="AK1430" i="2" a="1"/>
  <c r="AK1430" i="2" s="1"/>
  <c r="AK1429" i="2" a="1"/>
  <c r="AK1429" i="2" s="1"/>
  <c r="AK1428" i="2" a="1"/>
  <c r="AK1428" i="2" s="1"/>
  <c r="AK1427" i="2" a="1"/>
  <c r="AK1427" i="2" s="1"/>
  <c r="AK1426" i="2" a="1"/>
  <c r="AK1426" i="2" s="1"/>
  <c r="AK1425" i="2" a="1"/>
  <c r="AK1425" i="2" s="1"/>
  <c r="AK1424" i="2" a="1"/>
  <c r="AK1424" i="2" s="1"/>
  <c r="AK1423" i="2" a="1"/>
  <c r="AK1423" i="2" s="1"/>
  <c r="AK1422" i="2" a="1"/>
  <c r="AK1422" i="2" s="1"/>
  <c r="AK1421" i="2" a="1"/>
  <c r="AK1421" i="2" s="1"/>
  <c r="AK1420" i="2" a="1"/>
  <c r="AK1420" i="2" s="1"/>
  <c r="AK1419" i="2" a="1"/>
  <c r="AK1419" i="2" s="1"/>
  <c r="AK1418" i="2" a="1"/>
  <c r="AK1418" i="2" s="1"/>
  <c r="AK1417" i="2" a="1"/>
  <c r="AK1417" i="2" s="1"/>
  <c r="AK1416" i="2" a="1"/>
  <c r="AK1416" i="2" s="1"/>
  <c r="AK1415" i="2" a="1"/>
  <c r="AK1415" i="2" s="1"/>
  <c r="AK1414" i="2" a="1"/>
  <c r="AK1414" i="2" s="1"/>
  <c r="AK1413" i="2" a="1"/>
  <c r="AK1413" i="2" s="1"/>
  <c r="AK1412" i="2" a="1"/>
  <c r="AK1412" i="2" s="1"/>
  <c r="AK1411" i="2" a="1"/>
  <c r="AK1411" i="2" s="1"/>
  <c r="AK1410" i="2" a="1"/>
  <c r="AK1410" i="2" s="1"/>
  <c r="AK1409" i="2" a="1"/>
  <c r="AK1409" i="2" s="1"/>
  <c r="AK1408" i="2" a="1"/>
  <c r="AK1408" i="2" s="1"/>
  <c r="AK1407" i="2" a="1"/>
  <c r="AK1407" i="2" s="1"/>
  <c r="AK1406" i="2" a="1"/>
  <c r="AK1406" i="2" s="1"/>
  <c r="AK1405" i="2" a="1"/>
  <c r="AK1405" i="2" s="1"/>
  <c r="AK1404" i="2" a="1"/>
  <c r="AK1404" i="2" s="1"/>
  <c r="AK1403" i="2" a="1"/>
  <c r="AK1403" i="2" s="1"/>
  <c r="AK1402" i="2" a="1"/>
  <c r="AK1402" i="2" s="1"/>
  <c r="AK1401" i="2" a="1"/>
  <c r="AK1401" i="2" s="1"/>
  <c r="AK1400" i="2" a="1"/>
  <c r="AK1400" i="2" s="1"/>
  <c r="AK1399" i="2" a="1"/>
  <c r="AK1399" i="2" s="1"/>
  <c r="AK1398" i="2" a="1"/>
  <c r="AK1398" i="2" s="1"/>
  <c r="AK1397" i="2" a="1"/>
  <c r="AK1397" i="2" s="1"/>
  <c r="AK1396" i="2" a="1"/>
  <c r="AK1396" i="2" s="1"/>
  <c r="AK1395" i="2" a="1"/>
  <c r="AK1395" i="2" s="1"/>
  <c r="AK1394" i="2" a="1"/>
  <c r="AK1394" i="2" s="1"/>
  <c r="AK1393" i="2" a="1"/>
  <c r="AK1393" i="2" s="1"/>
  <c r="AK1392" i="2" a="1"/>
  <c r="AK1392" i="2" s="1"/>
  <c r="AK1391" i="2" a="1"/>
  <c r="AK1391" i="2" s="1"/>
  <c r="AK1390" i="2" a="1"/>
  <c r="AK1390" i="2" s="1"/>
  <c r="AK1389" i="2" a="1"/>
  <c r="AK1389" i="2" s="1"/>
  <c r="AK1388" i="2" a="1"/>
  <c r="AK1388" i="2" s="1"/>
  <c r="AK1387" i="2" a="1"/>
  <c r="AK1387" i="2" s="1"/>
  <c r="AK1386" i="2" a="1"/>
  <c r="AK1386" i="2" s="1"/>
  <c r="AK1385" i="2" a="1"/>
  <c r="AK1385" i="2" s="1"/>
  <c r="AK1384" i="2" a="1"/>
  <c r="AK1384" i="2" s="1"/>
  <c r="AK1383" i="2" a="1"/>
  <c r="AK1383" i="2" s="1"/>
  <c r="AK1382" i="2" a="1"/>
  <c r="AK1382" i="2" s="1"/>
  <c r="AK1381" i="2" a="1"/>
  <c r="AK1381" i="2" s="1"/>
  <c r="AK1380" i="2" a="1"/>
  <c r="AK1380" i="2" s="1"/>
  <c r="AK1379" i="2" a="1"/>
  <c r="AK1379" i="2" s="1"/>
  <c r="AK1378" i="2" a="1"/>
  <c r="AK1378" i="2" s="1"/>
  <c r="AK1377" i="2" a="1"/>
  <c r="AK1377" i="2" s="1"/>
  <c r="AK1376" i="2" a="1"/>
  <c r="AK1376" i="2" s="1"/>
  <c r="AK1375" i="2" a="1"/>
  <c r="AK1375" i="2" s="1"/>
  <c r="AK1374" i="2" a="1"/>
  <c r="AK1374" i="2" s="1"/>
  <c r="AK1373" i="2" a="1"/>
  <c r="AK1373" i="2" s="1"/>
  <c r="AK1372" i="2" a="1"/>
  <c r="AK1372" i="2" s="1"/>
  <c r="AK1371" i="2" a="1"/>
  <c r="AK1371" i="2" s="1"/>
  <c r="AK1370" i="2" a="1"/>
  <c r="AK1370" i="2" s="1"/>
  <c r="AK1369" i="2" a="1"/>
  <c r="AK1369" i="2" s="1"/>
  <c r="AK1368" i="2" a="1"/>
  <c r="AK1368" i="2" s="1"/>
  <c r="AK1367" i="2" a="1"/>
  <c r="AK1367" i="2" s="1"/>
  <c r="AK1366" i="2" a="1"/>
  <c r="AK1366" i="2" s="1"/>
  <c r="AK1365" i="2" a="1"/>
  <c r="AK1365" i="2" s="1"/>
  <c r="AK1364" i="2" a="1"/>
  <c r="AK1364" i="2" s="1"/>
  <c r="AK1363" i="2" a="1"/>
  <c r="AK1363" i="2" s="1"/>
  <c r="AK1362" i="2" a="1"/>
  <c r="AK1362" i="2" s="1"/>
  <c r="AK1361" i="2" a="1"/>
  <c r="AK1361" i="2" s="1"/>
  <c r="AK1360" i="2" a="1"/>
  <c r="AK1360" i="2" s="1"/>
  <c r="AK1359" i="2" a="1"/>
  <c r="AK1359" i="2" s="1"/>
  <c r="AK1358" i="2" a="1"/>
  <c r="AK1358" i="2" s="1"/>
  <c r="AK1357" i="2" a="1"/>
  <c r="AK1357" i="2" s="1"/>
  <c r="AK1356" i="2" a="1"/>
  <c r="AK1356" i="2" s="1"/>
  <c r="AK1355" i="2" a="1"/>
  <c r="AK1355" i="2" s="1"/>
  <c r="AK1354" i="2" a="1"/>
  <c r="AK1354" i="2" s="1"/>
  <c r="AK1353" i="2" a="1"/>
  <c r="AK1353" i="2" s="1"/>
  <c r="AK1352" i="2" a="1"/>
  <c r="AK1352" i="2" s="1"/>
  <c r="AK1351" i="2" a="1"/>
  <c r="AK1351" i="2" s="1"/>
  <c r="AK1350" i="2" a="1"/>
  <c r="AK1350" i="2" s="1"/>
  <c r="AK1349" i="2" a="1"/>
  <c r="AK1349" i="2" s="1"/>
  <c r="AK1348" i="2" a="1"/>
  <c r="AK1348" i="2" s="1"/>
  <c r="AK1347" i="2" a="1"/>
  <c r="AK1347" i="2" s="1"/>
  <c r="AK1346" i="2" a="1"/>
  <c r="AK1346" i="2" s="1"/>
  <c r="AK1345" i="2" a="1"/>
  <c r="AK1345" i="2" s="1"/>
  <c r="AK1344" i="2" a="1"/>
  <c r="AK1344" i="2" s="1"/>
  <c r="AK1343" i="2" a="1"/>
  <c r="AK1343" i="2" s="1"/>
  <c r="AK1342" i="2" a="1"/>
  <c r="AK1342" i="2" s="1"/>
  <c r="AK1341" i="2" a="1"/>
  <c r="AK1341" i="2" s="1"/>
  <c r="AK1340" i="2" a="1"/>
  <c r="AK1340" i="2" s="1"/>
  <c r="AK1339" i="2" a="1"/>
  <c r="AK1339" i="2" s="1"/>
  <c r="AK1338" i="2" a="1"/>
  <c r="AK1338" i="2" s="1"/>
  <c r="AK1337" i="2" a="1"/>
  <c r="AK1337" i="2" s="1"/>
  <c r="AK1336" i="2" a="1"/>
  <c r="AK1336" i="2" s="1"/>
  <c r="AK1335" i="2" a="1"/>
  <c r="AK1335" i="2" s="1"/>
  <c r="AK1334" i="2" a="1"/>
  <c r="AK1334" i="2" s="1"/>
  <c r="AK1333" i="2" a="1"/>
  <c r="AK1333" i="2" s="1"/>
  <c r="AK1332" i="2" a="1"/>
  <c r="AK1332" i="2" s="1"/>
  <c r="AK1331" i="2" a="1"/>
  <c r="AK1331" i="2" s="1"/>
  <c r="AK1330" i="2" a="1"/>
  <c r="AK1330" i="2" s="1"/>
  <c r="AK1329" i="2" a="1"/>
  <c r="AK1329" i="2" s="1"/>
  <c r="AK1328" i="2" a="1"/>
  <c r="AK1328" i="2" s="1"/>
  <c r="AK1327" i="2" a="1"/>
  <c r="AK1327" i="2" s="1"/>
  <c r="AK1326" i="2" a="1"/>
  <c r="AK1326" i="2" s="1"/>
  <c r="AK1325" i="2" a="1"/>
  <c r="AK1325" i="2" s="1"/>
  <c r="AK1324" i="2" a="1"/>
  <c r="AK1324" i="2" s="1"/>
  <c r="AK1323" i="2" a="1"/>
  <c r="AK1323" i="2" s="1"/>
  <c r="AK1322" i="2" a="1"/>
  <c r="AK1322" i="2" s="1"/>
  <c r="AK1321" i="2" a="1"/>
  <c r="AK1321" i="2" s="1"/>
  <c r="AK1320" i="2" a="1"/>
  <c r="AK1320" i="2" s="1"/>
  <c r="AK1319" i="2" a="1"/>
  <c r="AK1319" i="2" s="1"/>
  <c r="AK1318" i="2" a="1"/>
  <c r="AK1318" i="2" s="1"/>
  <c r="AK1317" i="2" a="1"/>
  <c r="AK1317" i="2" s="1"/>
  <c r="AK1316" i="2" a="1"/>
  <c r="AK1316" i="2" s="1"/>
  <c r="AK1315" i="2" a="1"/>
  <c r="AK1315" i="2" s="1"/>
  <c r="AK1314" i="2" a="1"/>
  <c r="AK1314" i="2" s="1"/>
  <c r="AK1313" i="2" a="1"/>
  <c r="AK1313" i="2" s="1"/>
  <c r="AK1312" i="2" a="1"/>
  <c r="AK1312" i="2" s="1"/>
  <c r="AK1311" i="2" a="1"/>
  <c r="AK1311" i="2" s="1"/>
  <c r="AK1310" i="2" a="1"/>
  <c r="AK1310" i="2" s="1"/>
  <c r="AK1309" i="2" a="1"/>
  <c r="AK1309" i="2" s="1"/>
  <c r="AK1308" i="2" a="1"/>
  <c r="AK1308" i="2" s="1"/>
  <c r="AK1307" i="2" a="1"/>
  <c r="AK1307" i="2" s="1"/>
  <c r="AK1306" i="2" a="1"/>
  <c r="AK1306" i="2" s="1"/>
  <c r="AK1305" i="2" a="1"/>
  <c r="AK1305" i="2" s="1"/>
  <c r="AK1304" i="2" a="1"/>
  <c r="AK1304" i="2" s="1"/>
  <c r="AK1303" i="2" a="1"/>
  <c r="AK1303" i="2" s="1"/>
  <c r="AK1302" i="2" a="1"/>
  <c r="AK1302" i="2" s="1"/>
  <c r="AK1301" i="2" a="1"/>
  <c r="AK1301" i="2" s="1"/>
  <c r="AK1300" i="2" a="1"/>
  <c r="AK1300" i="2" s="1"/>
  <c r="AK1299" i="2" a="1"/>
  <c r="AK1299" i="2" s="1"/>
  <c r="AK1298" i="2" a="1"/>
  <c r="AK1298" i="2" s="1"/>
  <c r="AK1297" i="2" a="1"/>
  <c r="AK1297" i="2" s="1"/>
  <c r="AK1296" i="2" a="1"/>
  <c r="AK1296" i="2" s="1"/>
  <c r="AK1295" i="2" a="1"/>
  <c r="AK1295" i="2" s="1"/>
  <c r="AK1294" i="2" a="1"/>
  <c r="AK1294" i="2" s="1"/>
  <c r="AK1293" i="2" a="1"/>
  <c r="AK1293" i="2" s="1"/>
  <c r="AK1292" i="2" a="1"/>
  <c r="AK1292" i="2" s="1"/>
  <c r="AK1291" i="2" a="1"/>
  <c r="AK1291" i="2" s="1"/>
  <c r="AK1290" i="2" a="1"/>
  <c r="AK1290" i="2" s="1"/>
  <c r="AK1289" i="2" a="1"/>
  <c r="AK1289" i="2" s="1"/>
  <c r="AK1288" i="2" a="1"/>
  <c r="AK1288" i="2" s="1"/>
  <c r="AK1287" i="2" a="1"/>
  <c r="AK1287" i="2" s="1"/>
  <c r="AK1286" i="2" a="1"/>
  <c r="AK1286" i="2" s="1"/>
  <c r="AK1285" i="2" a="1"/>
  <c r="AK1285" i="2" s="1"/>
  <c r="AK1284" i="2" a="1"/>
  <c r="AK1284" i="2" s="1"/>
  <c r="AK1283" i="2" a="1"/>
  <c r="AK1283" i="2" s="1"/>
  <c r="AK1282" i="2" a="1"/>
  <c r="AK1282" i="2" s="1"/>
  <c r="AK1281" i="2" a="1"/>
  <c r="AK1281" i="2" s="1"/>
  <c r="AK1280" i="2" a="1"/>
  <c r="AK1280" i="2" s="1"/>
  <c r="AK1279" i="2" a="1"/>
  <c r="AK1279" i="2" s="1"/>
  <c r="AK1278" i="2" a="1"/>
  <c r="AK1278" i="2" s="1"/>
  <c r="AK1277" i="2" a="1"/>
  <c r="AK1277" i="2" s="1"/>
  <c r="AK1276" i="2" a="1"/>
  <c r="AK1276" i="2" s="1"/>
  <c r="AK1275" i="2" a="1"/>
  <c r="AK1275" i="2" s="1"/>
  <c r="AK1274" i="2" a="1"/>
  <c r="AK1274" i="2" s="1"/>
  <c r="AK1273" i="2" a="1"/>
  <c r="AK1273" i="2" s="1"/>
  <c r="AK1272" i="2" a="1"/>
  <c r="AK1272" i="2" s="1"/>
  <c r="AK1271" i="2" a="1"/>
  <c r="AK1271" i="2" s="1"/>
  <c r="AK1270" i="2" a="1"/>
  <c r="AK1270" i="2" s="1"/>
  <c r="AK1269" i="2" a="1"/>
  <c r="AK1269" i="2" s="1"/>
  <c r="AK1268" i="2" a="1"/>
  <c r="AK1268" i="2" s="1"/>
  <c r="AK1267" i="2" a="1"/>
  <c r="AK1267" i="2" s="1"/>
  <c r="AK1266" i="2" a="1"/>
  <c r="AK1266" i="2" s="1"/>
  <c r="AK1265" i="2" a="1"/>
  <c r="AK1265" i="2" s="1"/>
  <c r="AK1264" i="2" a="1"/>
  <c r="AK1264" i="2" s="1"/>
  <c r="AK1263" i="2" a="1"/>
  <c r="AK1263" i="2" s="1"/>
  <c r="AK1262" i="2" a="1"/>
  <c r="AK1262" i="2" s="1"/>
  <c r="AK1261" i="2" a="1"/>
  <c r="AK1261" i="2" s="1"/>
  <c r="AK1260" i="2" a="1"/>
  <c r="AK1260" i="2" s="1"/>
  <c r="AK1259" i="2" a="1"/>
  <c r="AK1259" i="2" s="1"/>
  <c r="AK1258" i="2" a="1"/>
  <c r="AK1258" i="2" s="1"/>
  <c r="AK1257" i="2" a="1"/>
  <c r="AK1257" i="2" s="1"/>
  <c r="AK1256" i="2" a="1"/>
  <c r="AK1256" i="2" s="1"/>
  <c r="AK1255" i="2" a="1"/>
  <c r="AK1255" i="2" s="1"/>
  <c r="AK1254" i="2" a="1"/>
  <c r="AK1254" i="2" s="1"/>
  <c r="AK1253" i="2" a="1"/>
  <c r="AK1253" i="2" s="1"/>
  <c r="AK1252" i="2" a="1"/>
  <c r="AK1252" i="2" s="1"/>
  <c r="AK1251" i="2" a="1"/>
  <c r="AK1251" i="2" s="1"/>
  <c r="AK1250" i="2" a="1"/>
  <c r="AK1250" i="2" s="1"/>
  <c r="AK1249" i="2" a="1"/>
  <c r="AK1249" i="2" s="1"/>
  <c r="AK1248" i="2" a="1"/>
  <c r="AK1248" i="2" s="1"/>
  <c r="AK1247" i="2" a="1"/>
  <c r="AK1247" i="2" s="1"/>
  <c r="AK1246" i="2" a="1"/>
  <c r="AK1246" i="2" s="1"/>
  <c r="AK1245" i="2" a="1"/>
  <c r="AK1245" i="2" s="1"/>
  <c r="AK1244" i="2" a="1"/>
  <c r="AK1244" i="2" s="1"/>
  <c r="AK1243" i="2" a="1"/>
  <c r="AK1243" i="2" s="1"/>
  <c r="AK1242" i="2" a="1"/>
  <c r="AK1242" i="2" s="1"/>
  <c r="AK1241" i="2" a="1"/>
  <c r="AK1241" i="2" s="1"/>
  <c r="AK1240" i="2" a="1"/>
  <c r="AK1240" i="2" s="1"/>
  <c r="AK1239" i="2" a="1"/>
  <c r="AK1239" i="2" s="1"/>
  <c r="AK1238" i="2" a="1"/>
  <c r="AK1238" i="2" s="1"/>
  <c r="AK1237" i="2" a="1"/>
  <c r="AK1237" i="2" s="1"/>
  <c r="AK1236" i="2" a="1"/>
  <c r="AK1236" i="2" s="1"/>
  <c r="AK1235" i="2" a="1"/>
  <c r="AK1235" i="2" s="1"/>
  <c r="AK1234" i="2" a="1"/>
  <c r="AK1234" i="2" s="1"/>
  <c r="AK1233" i="2" a="1"/>
  <c r="AK1233" i="2" s="1"/>
  <c r="AK1232" i="2" a="1"/>
  <c r="AK1232" i="2" s="1"/>
  <c r="AK1231" i="2" a="1"/>
  <c r="AK1231" i="2" s="1"/>
  <c r="AK1230" i="2" a="1"/>
  <c r="AK1230" i="2" s="1"/>
  <c r="AK1229" i="2" a="1"/>
  <c r="AK1229" i="2" s="1"/>
  <c r="AK1228" i="2" a="1"/>
  <c r="AK1228" i="2" s="1"/>
  <c r="AK1227" i="2" a="1"/>
  <c r="AK1227" i="2" s="1"/>
  <c r="AK1226" i="2" a="1"/>
  <c r="AK1226" i="2" s="1"/>
  <c r="AK1225" i="2" a="1"/>
  <c r="AK1225" i="2" s="1"/>
  <c r="AK1224" i="2" a="1"/>
  <c r="AK1224" i="2" s="1"/>
  <c r="AK1223" i="2" a="1"/>
  <c r="AK1223" i="2" s="1"/>
  <c r="AK1222" i="2" a="1"/>
  <c r="AK1222" i="2" s="1"/>
  <c r="AK1221" i="2" a="1"/>
  <c r="AK1221" i="2" s="1"/>
  <c r="AK1220" i="2" a="1"/>
  <c r="AK1220" i="2" s="1"/>
  <c r="AK1219" i="2" a="1"/>
  <c r="AK1219" i="2" s="1"/>
  <c r="AK1218" i="2" a="1"/>
  <c r="AK1218" i="2" s="1"/>
  <c r="AK1217" i="2" a="1"/>
  <c r="AK1217" i="2" s="1"/>
  <c r="AK1216" i="2" a="1"/>
  <c r="AK1216" i="2" s="1"/>
  <c r="AK1215" i="2" a="1"/>
  <c r="AK1215" i="2" s="1"/>
  <c r="AK1214" i="2" a="1"/>
  <c r="AK1214" i="2" s="1"/>
  <c r="AK1213" i="2" a="1"/>
  <c r="AK1213" i="2" s="1"/>
  <c r="AK1212" i="2" a="1"/>
  <c r="AK1212" i="2" s="1"/>
  <c r="AK1211" i="2" a="1"/>
  <c r="AK1211" i="2" s="1"/>
  <c r="AK1210" i="2" a="1"/>
  <c r="AK1210" i="2" s="1"/>
  <c r="AK1209" i="2" a="1"/>
  <c r="AK1209" i="2" s="1"/>
  <c r="AK1208" i="2" a="1"/>
  <c r="AK1208" i="2" s="1"/>
  <c r="AK1207" i="2" a="1"/>
  <c r="AK1207" i="2" s="1"/>
  <c r="AK1206" i="2" a="1"/>
  <c r="AK1206" i="2" s="1"/>
  <c r="AK1205" i="2" a="1"/>
  <c r="AK1205" i="2" s="1"/>
  <c r="AK1204" i="2" a="1"/>
  <c r="AK1204" i="2" s="1"/>
  <c r="AK1203" i="2" a="1"/>
  <c r="AK1203" i="2" s="1"/>
  <c r="AK1202" i="2" a="1"/>
  <c r="AK1202" i="2" s="1"/>
  <c r="AK1201" i="2" a="1"/>
  <c r="AK1201" i="2" s="1"/>
  <c r="AK1200" i="2" a="1"/>
  <c r="AK1200" i="2" s="1"/>
  <c r="AK1199" i="2" a="1"/>
  <c r="AK1199" i="2" s="1"/>
  <c r="AK1198" i="2" a="1"/>
  <c r="AK1198" i="2" s="1"/>
  <c r="AK1197" i="2" a="1"/>
  <c r="AK1197" i="2" s="1"/>
  <c r="AK1196" i="2" a="1"/>
  <c r="AK1196" i="2" s="1"/>
  <c r="AK1195" i="2" a="1"/>
  <c r="AK1195" i="2" s="1"/>
  <c r="AK1194" i="2" a="1"/>
  <c r="AK1194" i="2" s="1"/>
  <c r="AK1193" i="2" a="1"/>
  <c r="AK1193" i="2" s="1"/>
  <c r="AK1192" i="2" a="1"/>
  <c r="AK1192" i="2" s="1"/>
  <c r="AK1191" i="2" a="1"/>
  <c r="AK1191" i="2" s="1"/>
  <c r="AK1190" i="2" a="1"/>
  <c r="AK1190" i="2" s="1"/>
  <c r="AK1189" i="2" a="1"/>
  <c r="AK1189" i="2" s="1"/>
  <c r="AK1188" i="2" a="1"/>
  <c r="AK1188" i="2" s="1"/>
  <c r="AK1187" i="2" a="1"/>
  <c r="AK1187" i="2" s="1"/>
  <c r="AK1186" i="2" a="1"/>
  <c r="AK1186" i="2" s="1"/>
  <c r="AK1185" i="2" a="1"/>
  <c r="AK1185" i="2" s="1"/>
  <c r="AK1184" i="2" a="1"/>
  <c r="AK1184" i="2" s="1"/>
  <c r="AK1183" i="2" a="1"/>
  <c r="AK1183" i="2" s="1"/>
  <c r="AK1182" i="2" a="1"/>
  <c r="AK1182" i="2" s="1"/>
  <c r="AK1181" i="2" a="1"/>
  <c r="AK1181" i="2" s="1"/>
  <c r="AK1180" i="2" a="1"/>
  <c r="AK1180" i="2" s="1"/>
  <c r="AK1179" i="2" a="1"/>
  <c r="AK1179" i="2" s="1"/>
  <c r="AK1178" i="2" a="1"/>
  <c r="AK1178" i="2" s="1"/>
  <c r="AK1177" i="2" a="1"/>
  <c r="AK1177" i="2" s="1"/>
  <c r="AK1176" i="2" a="1"/>
  <c r="AK1176" i="2" s="1"/>
  <c r="AK1175" i="2" a="1"/>
  <c r="AK1175" i="2" s="1"/>
  <c r="AK1174" i="2" a="1"/>
  <c r="AK1174" i="2" s="1"/>
  <c r="AK1173" i="2" a="1"/>
  <c r="AK1173" i="2" s="1"/>
  <c r="AK1172" i="2" a="1"/>
  <c r="AK1172" i="2" s="1"/>
  <c r="AK1171" i="2" a="1"/>
  <c r="AK1171" i="2" s="1"/>
  <c r="AK1170" i="2" a="1"/>
  <c r="AK1170" i="2" s="1"/>
  <c r="AK1169" i="2" a="1"/>
  <c r="AK1169" i="2" s="1"/>
  <c r="AK1168" i="2" a="1"/>
  <c r="AK1168" i="2" s="1"/>
  <c r="AK1167" i="2" a="1"/>
  <c r="AK1167" i="2" s="1"/>
  <c r="AK1166" i="2" a="1"/>
  <c r="AK1166" i="2" s="1"/>
  <c r="AK1165" i="2" a="1"/>
  <c r="AK1165" i="2" s="1"/>
  <c r="AK1164" i="2" a="1"/>
  <c r="AK1164" i="2" s="1"/>
  <c r="AK1163" i="2" a="1"/>
  <c r="AK1163" i="2" s="1"/>
  <c r="AK1162" i="2" a="1"/>
  <c r="AK1162" i="2" s="1"/>
  <c r="AK1161" i="2" a="1"/>
  <c r="AK1161" i="2" s="1"/>
  <c r="AK1160" i="2" a="1"/>
  <c r="AK1160" i="2" s="1"/>
  <c r="AK1159" i="2" a="1"/>
  <c r="AK1159" i="2" s="1"/>
  <c r="AK1158" i="2" a="1"/>
  <c r="AK1158" i="2" s="1"/>
  <c r="AK1157" i="2" a="1"/>
  <c r="AK1157" i="2" s="1"/>
  <c r="AK1156" i="2" a="1"/>
  <c r="AK1156" i="2" s="1"/>
  <c r="AK1155" i="2" a="1"/>
  <c r="AK1155" i="2" s="1"/>
  <c r="AK1154" i="2" a="1"/>
  <c r="AK1154" i="2" s="1"/>
  <c r="AK1153" i="2" a="1"/>
  <c r="AK1153" i="2" s="1"/>
  <c r="AK1152" i="2" a="1"/>
  <c r="AK1152" i="2" s="1"/>
  <c r="AK1151" i="2" a="1"/>
  <c r="AK1151" i="2" s="1"/>
  <c r="AK1150" i="2" a="1"/>
  <c r="AK1150" i="2" s="1"/>
  <c r="AK1149" i="2" a="1"/>
  <c r="AK1149" i="2" s="1"/>
  <c r="AK1148" i="2" a="1"/>
  <c r="AK1148" i="2" s="1"/>
  <c r="AK1147" i="2" a="1"/>
  <c r="AK1147" i="2" s="1"/>
  <c r="AK1146" i="2" a="1"/>
  <c r="AK1146" i="2" s="1"/>
  <c r="AK1145" i="2" a="1"/>
  <c r="AK1145" i="2" s="1"/>
  <c r="AK1144" i="2" a="1"/>
  <c r="AK1144" i="2" s="1"/>
  <c r="AK1143" i="2" a="1"/>
  <c r="AK1143" i="2" s="1"/>
  <c r="AK1142" i="2" a="1"/>
  <c r="AK1142" i="2" s="1"/>
  <c r="AK1141" i="2" a="1"/>
  <c r="AK1141" i="2" s="1"/>
  <c r="AK1140" i="2" a="1"/>
  <c r="AK1140" i="2" s="1"/>
  <c r="AK1139" i="2" a="1"/>
  <c r="AK1139" i="2" s="1"/>
  <c r="AK1138" i="2" a="1"/>
  <c r="AK1138" i="2" s="1"/>
  <c r="AK1137" i="2" a="1"/>
  <c r="AK1137" i="2" s="1"/>
  <c r="AK1136" i="2" a="1"/>
  <c r="AK1136" i="2" s="1"/>
  <c r="AK1135" i="2" a="1"/>
  <c r="AK1135" i="2" s="1"/>
  <c r="AK1134" i="2" a="1"/>
  <c r="AK1134" i="2" s="1"/>
  <c r="AK1133" i="2" a="1"/>
  <c r="AK1133" i="2" s="1"/>
  <c r="AK1132" i="2" a="1"/>
  <c r="AK1132" i="2" s="1"/>
  <c r="AK1131" i="2" a="1"/>
  <c r="AK1131" i="2" s="1"/>
  <c r="AK1130" i="2" a="1"/>
  <c r="AK1130" i="2" s="1"/>
  <c r="AK1129" i="2" a="1"/>
  <c r="AK1129" i="2" s="1"/>
  <c r="AK1128" i="2" a="1"/>
  <c r="AK1128" i="2" s="1"/>
  <c r="AK1127" i="2" a="1"/>
  <c r="AK1127" i="2" s="1"/>
  <c r="AK1126" i="2" a="1"/>
  <c r="AK1126" i="2" s="1"/>
  <c r="AK1125" i="2" a="1"/>
  <c r="AK1125" i="2" s="1"/>
  <c r="AK1124" i="2" a="1"/>
  <c r="AK1124" i="2" s="1"/>
  <c r="AK1123" i="2" a="1"/>
  <c r="AK1123" i="2" s="1"/>
  <c r="AK1122" i="2" a="1"/>
  <c r="AK1122" i="2" s="1"/>
  <c r="AK1121" i="2" a="1"/>
  <c r="AK1121" i="2" s="1"/>
  <c r="AK1120" i="2" a="1"/>
  <c r="AK1120" i="2" s="1"/>
  <c r="AK1119" i="2" a="1"/>
  <c r="AK1119" i="2" s="1"/>
  <c r="AK1118" i="2" a="1"/>
  <c r="AK1118" i="2" s="1"/>
  <c r="AK1117" i="2" a="1"/>
  <c r="AK1117" i="2" s="1"/>
  <c r="AK1116" i="2" a="1"/>
  <c r="AK1116" i="2" s="1"/>
  <c r="AK1115" i="2" a="1"/>
  <c r="AK1115" i="2" s="1"/>
  <c r="AK1114" i="2" a="1"/>
  <c r="AK1114" i="2" s="1"/>
  <c r="AK1113" i="2" a="1"/>
  <c r="AK1113" i="2" s="1"/>
  <c r="AK1112" i="2" a="1"/>
  <c r="AK1112" i="2" s="1"/>
  <c r="AK1111" i="2" a="1"/>
  <c r="AK1111" i="2" s="1"/>
  <c r="AK1110" i="2" a="1"/>
  <c r="AK1110" i="2" s="1"/>
  <c r="AK1109" i="2" a="1"/>
  <c r="AK1109" i="2" s="1"/>
  <c r="AK1108" i="2" a="1"/>
  <c r="AK1108" i="2" s="1"/>
  <c r="AK1107" i="2" a="1"/>
  <c r="AK1107" i="2" s="1"/>
  <c r="AK1106" i="2" a="1"/>
  <c r="AK1106" i="2" s="1"/>
  <c r="AK1105" i="2" a="1"/>
  <c r="AK1105" i="2" s="1"/>
  <c r="AK1104" i="2" a="1"/>
  <c r="AK1104" i="2" s="1"/>
  <c r="AK1103" i="2" a="1"/>
  <c r="AK1103" i="2" s="1"/>
  <c r="AK1102" i="2" a="1"/>
  <c r="AK1102" i="2" s="1"/>
  <c r="AK1101" i="2" a="1"/>
  <c r="AK1101" i="2" s="1"/>
  <c r="AK1100" i="2" a="1"/>
  <c r="AK1100" i="2" s="1"/>
  <c r="AK1099" i="2" a="1"/>
  <c r="AK1099" i="2" s="1"/>
  <c r="AK1098" i="2" a="1"/>
  <c r="AK1098" i="2" s="1"/>
  <c r="AK1097" i="2" a="1"/>
  <c r="AK1097" i="2" s="1"/>
  <c r="AK1096" i="2" a="1"/>
  <c r="AK1096" i="2" s="1"/>
  <c r="AK1095" i="2" a="1"/>
  <c r="AK1095" i="2" s="1"/>
  <c r="AK1094" i="2" a="1"/>
  <c r="AK1094" i="2" s="1"/>
  <c r="AK1093" i="2" a="1"/>
  <c r="AK1093" i="2" s="1"/>
  <c r="AK1092" i="2" a="1"/>
  <c r="AK1092" i="2" s="1"/>
  <c r="AK1091" i="2" a="1"/>
  <c r="AK1091" i="2" s="1"/>
  <c r="AK1090" i="2" a="1"/>
  <c r="AK1090" i="2" s="1"/>
  <c r="AK1089" i="2" a="1"/>
  <c r="AK1089" i="2" s="1"/>
  <c r="AK1088" i="2" a="1"/>
  <c r="AK1088" i="2" s="1"/>
  <c r="AK1087" i="2" a="1"/>
  <c r="AK1087" i="2" s="1"/>
  <c r="AK1086" i="2" a="1"/>
  <c r="AK1086" i="2" s="1"/>
  <c r="AK1085" i="2" a="1"/>
  <c r="AK1085" i="2" s="1"/>
  <c r="AK1084" i="2" a="1"/>
  <c r="AK1084" i="2" s="1"/>
  <c r="AK1083" i="2" a="1"/>
  <c r="AK1083" i="2" s="1"/>
  <c r="AK1082" i="2" a="1"/>
  <c r="AK1082" i="2" s="1"/>
  <c r="AK1081" i="2" a="1"/>
  <c r="AK1081" i="2" s="1"/>
  <c r="AK1080" i="2" a="1"/>
  <c r="AK1080" i="2" s="1"/>
  <c r="AK1079" i="2" a="1"/>
  <c r="AK1079" i="2" s="1"/>
  <c r="AK1078" i="2" a="1"/>
  <c r="AK1078" i="2" s="1"/>
  <c r="AK1077" i="2" a="1"/>
  <c r="AK1077" i="2" s="1"/>
  <c r="AK1076" i="2" a="1"/>
  <c r="AK1076" i="2" s="1"/>
  <c r="AK1075" i="2" a="1"/>
  <c r="AK1075" i="2" s="1"/>
  <c r="AK1074" i="2" a="1"/>
  <c r="AK1074" i="2" s="1"/>
  <c r="AK1073" i="2" a="1"/>
  <c r="AK1073" i="2" s="1"/>
  <c r="AK1072" i="2" a="1"/>
  <c r="AK1072" i="2" s="1"/>
  <c r="AK1071" i="2" a="1"/>
  <c r="AK1071" i="2" s="1"/>
  <c r="AK1070" i="2" a="1"/>
  <c r="AK1070" i="2" s="1"/>
  <c r="AK1069" i="2" a="1"/>
  <c r="AK1069" i="2" s="1"/>
  <c r="AK1068" i="2" a="1"/>
  <c r="AK1068" i="2" s="1"/>
  <c r="AK1067" i="2" a="1"/>
  <c r="AK1067" i="2" s="1"/>
  <c r="AK1066" i="2" a="1"/>
  <c r="AK1066" i="2" s="1"/>
  <c r="AK1065" i="2" a="1"/>
  <c r="AK1065" i="2" s="1"/>
  <c r="AK1064" i="2" a="1"/>
  <c r="AK1064" i="2" s="1"/>
  <c r="AK1063" i="2" a="1"/>
  <c r="AK1063" i="2" s="1"/>
  <c r="AK1062" i="2" a="1"/>
  <c r="AK1062" i="2" s="1"/>
  <c r="AK1061" i="2" a="1"/>
  <c r="AK1061" i="2" s="1"/>
  <c r="AK1060" i="2" a="1"/>
  <c r="AK1060" i="2" s="1"/>
  <c r="AK1059" i="2" a="1"/>
  <c r="AK1059" i="2" s="1"/>
  <c r="AK1058" i="2" a="1"/>
  <c r="AK1058" i="2" s="1"/>
  <c r="AK1057" i="2" a="1"/>
  <c r="AK1057" i="2" s="1"/>
  <c r="AK1056" i="2" a="1"/>
  <c r="AK1056" i="2" s="1"/>
  <c r="AK1055" i="2" a="1"/>
  <c r="AK1055" i="2" s="1"/>
  <c r="AK1054" i="2" a="1"/>
  <c r="AK1054" i="2" s="1"/>
  <c r="AK1053" i="2" a="1"/>
  <c r="AK1053" i="2" s="1"/>
  <c r="AK1052" i="2" a="1"/>
  <c r="AK1052" i="2" s="1"/>
  <c r="AK1051" i="2" a="1"/>
  <c r="AK1051" i="2" s="1"/>
  <c r="AK1050" i="2" a="1"/>
  <c r="AK1050" i="2" s="1"/>
  <c r="AK1049" i="2" a="1"/>
  <c r="AK1049" i="2" s="1"/>
  <c r="AK1048" i="2" a="1"/>
  <c r="AK1048" i="2" s="1"/>
  <c r="AK1047" i="2" a="1"/>
  <c r="AK1047" i="2" s="1"/>
  <c r="AK1046" i="2" a="1"/>
  <c r="AK1046" i="2" s="1"/>
  <c r="AK1045" i="2" a="1"/>
  <c r="AK1045" i="2" s="1"/>
  <c r="AK1044" i="2" a="1"/>
  <c r="AK1044" i="2" s="1"/>
  <c r="AK1043" i="2" a="1"/>
  <c r="AK1043" i="2" s="1"/>
  <c r="AK1042" i="2" a="1"/>
  <c r="AK1042" i="2" s="1"/>
  <c r="AK1041" i="2" a="1"/>
  <c r="AK1041" i="2" s="1"/>
  <c r="AK1040" i="2" a="1"/>
  <c r="AK1040" i="2" s="1"/>
  <c r="AK1039" i="2" a="1"/>
  <c r="AK1039" i="2" s="1"/>
  <c r="AK1038" i="2" a="1"/>
  <c r="AK1038" i="2" s="1"/>
  <c r="AK1037" i="2" a="1"/>
  <c r="AK1037" i="2" s="1"/>
  <c r="AK1036" i="2" a="1"/>
  <c r="AK1036" i="2" s="1"/>
  <c r="AK1035" i="2" a="1"/>
  <c r="AK1035" i="2" s="1"/>
  <c r="AK1034" i="2" a="1"/>
  <c r="AK1034" i="2" s="1"/>
  <c r="AK1033" i="2" a="1"/>
  <c r="AK1033" i="2" s="1"/>
  <c r="AK1032" i="2" a="1"/>
  <c r="AK1032" i="2" s="1"/>
  <c r="AK1031" i="2" a="1"/>
  <c r="AK1031" i="2" s="1"/>
  <c r="AK1030" i="2" a="1"/>
  <c r="AK1030" i="2" s="1"/>
  <c r="AK1029" i="2" a="1"/>
  <c r="AK1029" i="2" s="1"/>
  <c r="AK1028" i="2" a="1"/>
  <c r="AK1028" i="2" s="1"/>
  <c r="AK1027" i="2" a="1"/>
  <c r="AK1027" i="2" s="1"/>
  <c r="AK1026" i="2" a="1"/>
  <c r="AK1026" i="2" s="1"/>
  <c r="AK1025" i="2" a="1"/>
  <c r="AK1025" i="2" s="1"/>
  <c r="AK1024" i="2" a="1"/>
  <c r="AK1024" i="2" s="1"/>
  <c r="AK1023" i="2" a="1"/>
  <c r="AK1023" i="2" s="1"/>
  <c r="AK1022" i="2" a="1"/>
  <c r="AK1022" i="2" s="1"/>
  <c r="AK1021" i="2" a="1"/>
  <c r="AK1021" i="2" s="1"/>
  <c r="AK1020" i="2" a="1"/>
  <c r="AK1020" i="2" s="1"/>
  <c r="AK1019" i="2" a="1"/>
  <c r="AK1019" i="2" s="1"/>
  <c r="AK1018" i="2" a="1"/>
  <c r="AK1018" i="2" s="1"/>
  <c r="AK1017" i="2" a="1"/>
  <c r="AK1017" i="2" s="1"/>
  <c r="AK1016" i="2" a="1"/>
  <c r="AK1016" i="2" s="1"/>
  <c r="AK1015" i="2" a="1"/>
  <c r="AK1015" i="2" s="1"/>
  <c r="AK1014" i="2" a="1"/>
  <c r="AK1014" i="2" s="1"/>
  <c r="AK1013" i="2" a="1"/>
  <c r="AK1013" i="2" s="1"/>
  <c r="AK1012" i="2" a="1"/>
  <c r="AK1012" i="2" s="1"/>
  <c r="AK1011" i="2" a="1"/>
  <c r="AK1011" i="2" s="1"/>
  <c r="AK1010" i="2" a="1"/>
  <c r="AK1010" i="2" s="1"/>
  <c r="AK1009" i="2" a="1"/>
  <c r="AK1009" i="2" s="1"/>
  <c r="AK1008" i="2" a="1"/>
  <c r="AK1008" i="2" s="1"/>
  <c r="AK1007" i="2" a="1"/>
  <c r="AK1007" i="2" s="1"/>
  <c r="AK1006" i="2" a="1"/>
  <c r="AK1006" i="2" s="1"/>
  <c r="AK1005" i="2" a="1"/>
  <c r="AK1005" i="2" s="1"/>
  <c r="AK1004" i="2" a="1"/>
  <c r="AK1004" i="2" s="1"/>
  <c r="AK1003" i="2" a="1"/>
  <c r="AK1003" i="2" s="1"/>
  <c r="AK1002" i="2" a="1"/>
  <c r="AK1002" i="2" s="1"/>
  <c r="AK1001" i="2" a="1"/>
  <c r="AK1001" i="2" s="1"/>
  <c r="AK1000" i="2" a="1"/>
  <c r="AK1000" i="2" s="1"/>
  <c r="AK999" i="2" a="1"/>
  <c r="AK999" i="2" s="1"/>
  <c r="AK998" i="2" a="1"/>
  <c r="AK998" i="2" s="1"/>
  <c r="AK997" i="2" a="1"/>
  <c r="AK997" i="2" s="1"/>
  <c r="AK996" i="2" a="1"/>
  <c r="AK996" i="2" s="1"/>
  <c r="AK995" i="2" a="1"/>
  <c r="AK995" i="2" s="1"/>
  <c r="AK994" i="2" a="1"/>
  <c r="AK994" i="2" s="1"/>
  <c r="AK993" i="2" a="1"/>
  <c r="AK993" i="2" s="1"/>
  <c r="AK992" i="2" a="1"/>
  <c r="AK992" i="2" s="1"/>
  <c r="AK991" i="2" a="1"/>
  <c r="AK991" i="2" s="1"/>
  <c r="AK990" i="2" a="1"/>
  <c r="AK990" i="2" s="1"/>
  <c r="AK989" i="2" a="1"/>
  <c r="AK989" i="2" s="1"/>
  <c r="AK988" i="2" a="1"/>
  <c r="AK988" i="2" s="1"/>
  <c r="AK987" i="2" a="1"/>
  <c r="AK987" i="2" s="1"/>
  <c r="AK986" i="2" a="1"/>
  <c r="AK986" i="2" s="1"/>
  <c r="AK985" i="2" a="1"/>
  <c r="AK985" i="2" s="1"/>
  <c r="AK984" i="2" a="1"/>
  <c r="AK984" i="2" s="1"/>
  <c r="AK983" i="2" a="1"/>
  <c r="AK983" i="2" s="1"/>
  <c r="AK982" i="2" a="1"/>
  <c r="AK982" i="2" s="1"/>
  <c r="AK981" i="2" a="1"/>
  <c r="AK981" i="2" s="1"/>
  <c r="AK980" i="2" a="1"/>
  <c r="AK980" i="2" s="1"/>
  <c r="AK979" i="2" a="1"/>
  <c r="AK979" i="2" s="1"/>
  <c r="AK978" i="2" a="1"/>
  <c r="AK978" i="2" s="1"/>
  <c r="AK977" i="2" a="1"/>
  <c r="AK977" i="2" s="1"/>
  <c r="AK976" i="2" a="1"/>
  <c r="AK976" i="2" s="1"/>
  <c r="AK975" i="2" a="1"/>
  <c r="AK975" i="2" s="1"/>
  <c r="AK974" i="2" a="1"/>
  <c r="AK974" i="2" s="1"/>
  <c r="AK973" i="2" a="1"/>
  <c r="AK973" i="2" s="1"/>
  <c r="AK972" i="2" a="1"/>
  <c r="AK972" i="2" s="1"/>
  <c r="AK971" i="2" a="1"/>
  <c r="AK971" i="2" s="1"/>
  <c r="AK970" i="2" a="1"/>
  <c r="AK970" i="2" s="1"/>
  <c r="AK969" i="2" a="1"/>
  <c r="AK969" i="2" s="1"/>
  <c r="AK968" i="2" a="1"/>
  <c r="AK968" i="2" s="1"/>
  <c r="AK967" i="2" a="1"/>
  <c r="AK967" i="2" s="1"/>
  <c r="AK966" i="2" a="1"/>
  <c r="AK966" i="2" s="1"/>
  <c r="AK965" i="2" a="1"/>
  <c r="AK965" i="2" s="1"/>
  <c r="AK964" i="2" a="1"/>
  <c r="AK964" i="2" s="1"/>
  <c r="AK963" i="2" a="1"/>
  <c r="AK963" i="2" s="1"/>
  <c r="AK962" i="2" a="1"/>
  <c r="AK962" i="2" s="1"/>
  <c r="AK961" i="2" a="1"/>
  <c r="AK961" i="2" s="1"/>
  <c r="AK960" i="2" a="1"/>
  <c r="AK960" i="2" s="1"/>
  <c r="AK959" i="2" a="1"/>
  <c r="AK959" i="2" s="1"/>
  <c r="AK958" i="2" a="1"/>
  <c r="AK958" i="2" s="1"/>
  <c r="AK957" i="2" a="1"/>
  <c r="AK957" i="2" s="1"/>
  <c r="AK956" i="2" a="1"/>
  <c r="AK956" i="2" s="1"/>
  <c r="AK955" i="2" a="1"/>
  <c r="AK955" i="2" s="1"/>
  <c r="AK954" i="2" a="1"/>
  <c r="AK954" i="2" s="1"/>
  <c r="AK953" i="2" a="1"/>
  <c r="AK953" i="2" s="1"/>
  <c r="AK952" i="2" a="1"/>
  <c r="AK952" i="2" s="1"/>
  <c r="AK951" i="2" a="1"/>
  <c r="AK951" i="2" s="1"/>
  <c r="AK950" i="2" a="1"/>
  <c r="AK950" i="2" s="1"/>
  <c r="AK949" i="2" a="1"/>
  <c r="AK949" i="2" s="1"/>
  <c r="AK948" i="2" a="1"/>
  <c r="AK948" i="2" s="1"/>
  <c r="AK947" i="2" a="1"/>
  <c r="AK947" i="2" s="1"/>
  <c r="AK946" i="2" a="1"/>
  <c r="AK946" i="2" s="1"/>
  <c r="AK945" i="2" a="1"/>
  <c r="AK945" i="2" s="1"/>
  <c r="AK944" i="2" a="1"/>
  <c r="AK944" i="2" s="1"/>
  <c r="AK943" i="2" a="1"/>
  <c r="AK943" i="2" s="1"/>
  <c r="AK942" i="2" a="1"/>
  <c r="AK942" i="2" s="1"/>
  <c r="AK941" i="2" a="1"/>
  <c r="AK941" i="2" s="1"/>
  <c r="AK940" i="2" a="1"/>
  <c r="AK940" i="2" s="1"/>
  <c r="AK939" i="2" a="1"/>
  <c r="AK939" i="2" s="1"/>
  <c r="AK938" i="2" a="1"/>
  <c r="AK938" i="2" s="1"/>
  <c r="AK937" i="2" a="1"/>
  <c r="AK937" i="2" s="1"/>
  <c r="AK936" i="2" a="1"/>
  <c r="AK936" i="2" s="1"/>
  <c r="AK935" i="2" a="1"/>
  <c r="AK935" i="2" s="1"/>
  <c r="AK934" i="2" a="1"/>
  <c r="AK934" i="2" s="1"/>
  <c r="AK933" i="2" a="1"/>
  <c r="AK933" i="2" s="1"/>
  <c r="AK932" i="2" a="1"/>
  <c r="AK932" i="2" s="1"/>
  <c r="AK931" i="2" a="1"/>
  <c r="AK931" i="2" s="1"/>
  <c r="AK930" i="2" a="1"/>
  <c r="AK930" i="2" s="1"/>
  <c r="AK929" i="2" a="1"/>
  <c r="AK929" i="2" s="1"/>
  <c r="AK928" i="2" a="1"/>
  <c r="AK928" i="2" s="1"/>
  <c r="AK927" i="2" a="1"/>
  <c r="AK927" i="2" s="1"/>
  <c r="AK926" i="2" a="1"/>
  <c r="AK926" i="2" s="1"/>
  <c r="AK925" i="2" a="1"/>
  <c r="AK925" i="2" s="1"/>
  <c r="AK924" i="2" a="1"/>
  <c r="AK924" i="2" s="1"/>
  <c r="AK923" i="2" a="1"/>
  <c r="AK923" i="2" s="1"/>
  <c r="AK922" i="2" a="1"/>
  <c r="AK922" i="2" s="1"/>
  <c r="AK921" i="2" a="1"/>
  <c r="AK921" i="2" s="1"/>
  <c r="AK920" i="2" a="1"/>
  <c r="AK920" i="2" s="1"/>
  <c r="AK919" i="2" a="1"/>
  <c r="AK919" i="2" s="1"/>
  <c r="AK918" i="2" a="1"/>
  <c r="AK918" i="2" s="1"/>
  <c r="AK917" i="2" a="1"/>
  <c r="AK917" i="2" s="1"/>
  <c r="AK916" i="2" a="1"/>
  <c r="AK916" i="2" s="1"/>
  <c r="AK915" i="2" a="1"/>
  <c r="AK915" i="2" s="1"/>
  <c r="AK914" i="2" a="1"/>
  <c r="AK914" i="2" s="1"/>
  <c r="AK913" i="2" a="1"/>
  <c r="AK913" i="2" s="1"/>
  <c r="AK912" i="2" a="1"/>
  <c r="AK912" i="2" s="1"/>
  <c r="AK911" i="2" a="1"/>
  <c r="AK911" i="2" s="1"/>
  <c r="AK910" i="2" a="1"/>
  <c r="AK910" i="2" s="1"/>
  <c r="AK909" i="2" a="1"/>
  <c r="AK909" i="2" s="1"/>
  <c r="AK908" i="2" a="1"/>
  <c r="AK908" i="2" s="1"/>
  <c r="AK907" i="2" a="1"/>
  <c r="AK907" i="2" s="1"/>
  <c r="AK906" i="2" a="1"/>
  <c r="AK906" i="2" s="1"/>
  <c r="AK905" i="2" a="1"/>
  <c r="AK905" i="2" s="1"/>
  <c r="AK904" i="2" a="1"/>
  <c r="AK904" i="2" s="1"/>
  <c r="AK903" i="2" a="1"/>
  <c r="AK903" i="2" s="1"/>
  <c r="AK902" i="2" a="1"/>
  <c r="AK902" i="2" s="1"/>
  <c r="AK901" i="2" a="1"/>
  <c r="AK901" i="2" s="1"/>
  <c r="AK900" i="2" a="1"/>
  <c r="AK900" i="2" s="1"/>
  <c r="AK899" i="2" a="1"/>
  <c r="AK899" i="2" s="1"/>
  <c r="AK898" i="2" a="1"/>
  <c r="AK898" i="2" s="1"/>
  <c r="AK897" i="2" a="1"/>
  <c r="AK897" i="2" s="1"/>
  <c r="AK896" i="2" a="1"/>
  <c r="AK896" i="2" s="1"/>
  <c r="AK895" i="2" a="1"/>
  <c r="AK895" i="2" s="1"/>
  <c r="AK894" i="2" a="1"/>
  <c r="AK894" i="2" s="1"/>
  <c r="AK893" i="2" a="1"/>
  <c r="AK893" i="2" s="1"/>
  <c r="AK892" i="2" a="1"/>
  <c r="AK892" i="2" s="1"/>
  <c r="AK891" i="2" a="1"/>
  <c r="AK891" i="2" s="1"/>
  <c r="AK890" i="2" a="1"/>
  <c r="AK890" i="2" s="1"/>
  <c r="AK889" i="2" a="1"/>
  <c r="AK889" i="2" s="1"/>
  <c r="AK888" i="2" a="1"/>
  <c r="AK888" i="2" s="1"/>
  <c r="AK887" i="2" a="1"/>
  <c r="AK887" i="2" s="1"/>
  <c r="AK886" i="2" a="1"/>
  <c r="AK886" i="2" s="1"/>
  <c r="AK885" i="2" a="1"/>
  <c r="AK885" i="2" s="1"/>
  <c r="AK884" i="2" a="1"/>
  <c r="AK884" i="2" s="1"/>
  <c r="AK883" i="2" a="1"/>
  <c r="AK883" i="2" s="1"/>
  <c r="AK882" i="2" a="1"/>
  <c r="AK882" i="2" s="1"/>
  <c r="AK881" i="2" a="1"/>
  <c r="AK881" i="2" s="1"/>
  <c r="AK880" i="2" a="1"/>
  <c r="AK880" i="2" s="1"/>
  <c r="AK879" i="2" a="1"/>
  <c r="AK879" i="2" s="1"/>
  <c r="AK878" i="2" a="1"/>
  <c r="AK878" i="2" s="1"/>
  <c r="AK877" i="2" a="1"/>
  <c r="AK877" i="2" s="1"/>
  <c r="AK876" i="2" a="1"/>
  <c r="AK876" i="2" s="1"/>
  <c r="AK875" i="2" a="1"/>
  <c r="AK875" i="2" s="1"/>
  <c r="AK874" i="2" a="1"/>
  <c r="AK874" i="2" s="1"/>
  <c r="AK873" i="2" a="1"/>
  <c r="AK873" i="2" s="1"/>
  <c r="AK872" i="2" a="1"/>
  <c r="AK872" i="2" s="1"/>
  <c r="AK871" i="2" a="1"/>
  <c r="AK871" i="2" s="1"/>
  <c r="AK870" i="2" a="1"/>
  <c r="AK870" i="2" s="1"/>
  <c r="AK869" i="2" a="1"/>
  <c r="AK869" i="2" s="1"/>
  <c r="AK868" i="2" a="1"/>
  <c r="AK868" i="2" s="1"/>
  <c r="AK867" i="2" a="1"/>
  <c r="AK867" i="2" s="1"/>
  <c r="AK866" i="2" a="1"/>
  <c r="AK866" i="2" s="1"/>
  <c r="AK865" i="2" a="1"/>
  <c r="AK865" i="2" s="1"/>
  <c r="AK864" i="2" a="1"/>
  <c r="AK864" i="2" s="1"/>
  <c r="AK863" i="2" a="1"/>
  <c r="AK863" i="2" s="1"/>
  <c r="AK862" i="2" a="1"/>
  <c r="AK862" i="2" s="1"/>
  <c r="AK861" i="2" a="1"/>
  <c r="AK861" i="2" s="1"/>
  <c r="AK860" i="2" a="1"/>
  <c r="AK860" i="2" s="1"/>
  <c r="AK859" i="2" a="1"/>
  <c r="AK859" i="2" s="1"/>
  <c r="AK858" i="2" a="1"/>
  <c r="AK858" i="2" s="1"/>
  <c r="AK857" i="2" a="1"/>
  <c r="AK857" i="2" s="1"/>
  <c r="AK856" i="2" a="1"/>
  <c r="AK856" i="2" s="1"/>
  <c r="AK855" i="2" a="1"/>
  <c r="AK855" i="2" s="1"/>
  <c r="AK854" i="2" a="1"/>
  <c r="AK854" i="2" s="1"/>
  <c r="AK853" i="2" a="1"/>
  <c r="AK853" i="2" s="1"/>
  <c r="AK852" i="2" a="1"/>
  <c r="AK852" i="2" s="1"/>
  <c r="AK851" i="2" a="1"/>
  <c r="AK851" i="2" s="1"/>
  <c r="AK850" i="2" a="1"/>
  <c r="AK850" i="2" s="1"/>
  <c r="AK849" i="2" a="1"/>
  <c r="AK849" i="2" s="1"/>
  <c r="AK848" i="2" a="1"/>
  <c r="AK848" i="2" s="1"/>
  <c r="AK847" i="2" a="1"/>
  <c r="AK847" i="2" s="1"/>
  <c r="AK846" i="2" a="1"/>
  <c r="AK846" i="2" s="1"/>
  <c r="AK845" i="2" a="1"/>
  <c r="AK845" i="2" s="1"/>
  <c r="AK844" i="2" a="1"/>
  <c r="AK844" i="2" s="1"/>
  <c r="AK843" i="2" a="1"/>
  <c r="AK843" i="2" s="1"/>
  <c r="AK842" i="2" a="1"/>
  <c r="AK842" i="2" s="1"/>
  <c r="AK841" i="2" a="1"/>
  <c r="AK841" i="2" s="1"/>
  <c r="AK840" i="2" a="1"/>
  <c r="AK840" i="2" s="1"/>
  <c r="AK839" i="2" a="1"/>
  <c r="AK839" i="2" s="1"/>
  <c r="AK838" i="2" a="1"/>
  <c r="AK838" i="2" s="1"/>
  <c r="AK837" i="2" a="1"/>
  <c r="AK837" i="2" s="1"/>
  <c r="AK836" i="2" a="1"/>
  <c r="AK836" i="2" s="1"/>
  <c r="AK835" i="2" a="1"/>
  <c r="AK835" i="2" s="1"/>
  <c r="AK834" i="2" a="1"/>
  <c r="AK834" i="2" s="1"/>
  <c r="AK833" i="2" a="1"/>
  <c r="AK833" i="2" s="1"/>
  <c r="AK832" i="2" a="1"/>
  <c r="AK832" i="2" s="1"/>
  <c r="AK831" i="2" a="1"/>
  <c r="AK831" i="2" s="1"/>
  <c r="AK830" i="2" a="1"/>
  <c r="AK830" i="2" s="1"/>
  <c r="AK829" i="2" a="1"/>
  <c r="AK829" i="2" s="1"/>
  <c r="AK828" i="2" a="1"/>
  <c r="AK828" i="2" s="1"/>
  <c r="AK827" i="2" a="1"/>
  <c r="AK827" i="2" s="1"/>
  <c r="AK826" i="2" a="1"/>
  <c r="AK826" i="2" s="1"/>
  <c r="AK825" i="2" a="1"/>
  <c r="AK825" i="2" s="1"/>
  <c r="AK824" i="2" a="1"/>
  <c r="AK824" i="2" s="1"/>
  <c r="AK823" i="2" a="1"/>
  <c r="AK823" i="2" s="1"/>
  <c r="AK822" i="2" a="1"/>
  <c r="AK822" i="2" s="1"/>
  <c r="AK821" i="2" a="1"/>
  <c r="AK821" i="2" s="1"/>
  <c r="AK820" i="2" a="1"/>
  <c r="AK820" i="2" s="1"/>
  <c r="AK819" i="2" a="1"/>
  <c r="AK819" i="2" s="1"/>
  <c r="AK818" i="2" a="1"/>
  <c r="AK818" i="2" s="1"/>
  <c r="AK817" i="2" a="1"/>
  <c r="AK817" i="2" s="1"/>
  <c r="AK816" i="2" a="1"/>
  <c r="AK816" i="2" s="1"/>
  <c r="AK815" i="2" a="1"/>
  <c r="AK815" i="2" s="1"/>
  <c r="AK814" i="2" a="1"/>
  <c r="AK814" i="2" s="1"/>
  <c r="AK813" i="2" a="1"/>
  <c r="AK813" i="2" s="1"/>
  <c r="AK812" i="2" a="1"/>
  <c r="AK812" i="2" s="1"/>
  <c r="AK811" i="2" a="1"/>
  <c r="AK811" i="2" s="1"/>
  <c r="AK810" i="2" a="1"/>
  <c r="AK810" i="2" s="1"/>
  <c r="AK809" i="2" a="1"/>
  <c r="AK809" i="2" s="1"/>
  <c r="AK808" i="2" a="1"/>
  <c r="AK808" i="2" s="1"/>
  <c r="AK807" i="2" a="1"/>
  <c r="AK807" i="2" s="1"/>
  <c r="AK806" i="2" a="1"/>
  <c r="AK806" i="2" s="1"/>
  <c r="AK805" i="2" a="1"/>
  <c r="AK805" i="2" s="1"/>
  <c r="AK804" i="2" a="1"/>
  <c r="AK804" i="2" s="1"/>
  <c r="AK803" i="2" a="1"/>
  <c r="AK803" i="2" s="1"/>
  <c r="AK802" i="2" a="1"/>
  <c r="AK802" i="2" s="1"/>
  <c r="AK801" i="2" a="1"/>
  <c r="AK801" i="2" s="1"/>
  <c r="AK800" i="2" a="1"/>
  <c r="AK800" i="2" s="1"/>
  <c r="AK799" i="2" a="1"/>
  <c r="AK799" i="2" s="1"/>
  <c r="AK798" i="2" a="1"/>
  <c r="AK798" i="2" s="1"/>
  <c r="AK797" i="2" a="1"/>
  <c r="AK797" i="2" s="1"/>
  <c r="AK796" i="2" a="1"/>
  <c r="AK796" i="2" s="1"/>
  <c r="AK795" i="2" a="1"/>
  <c r="AK795" i="2" s="1"/>
  <c r="AK794" i="2" a="1"/>
  <c r="AK794" i="2" s="1"/>
  <c r="AK793" i="2" a="1"/>
  <c r="AK793" i="2" s="1"/>
  <c r="AK792" i="2" a="1"/>
  <c r="AK792" i="2" s="1"/>
  <c r="AK791" i="2" a="1"/>
  <c r="AK791" i="2" s="1"/>
  <c r="AK790" i="2" a="1"/>
  <c r="AK790" i="2" s="1"/>
  <c r="AK789" i="2" a="1"/>
  <c r="AK789" i="2" s="1"/>
  <c r="AK788" i="2" a="1"/>
  <c r="AK788" i="2" s="1"/>
  <c r="AK787" i="2" a="1"/>
  <c r="AK787" i="2" s="1"/>
  <c r="AK786" i="2" a="1"/>
  <c r="AK786" i="2" s="1"/>
  <c r="AK785" i="2" a="1"/>
  <c r="AK785" i="2" s="1"/>
  <c r="AK784" i="2" a="1"/>
  <c r="AK784" i="2" s="1"/>
  <c r="AK783" i="2" a="1"/>
  <c r="AK783" i="2" s="1"/>
  <c r="AK782" i="2" a="1"/>
  <c r="AK782" i="2" s="1"/>
  <c r="AK781" i="2" a="1"/>
  <c r="AK781" i="2" s="1"/>
  <c r="AK780" i="2" a="1"/>
  <c r="AK780" i="2" s="1"/>
  <c r="AK779" i="2" a="1"/>
  <c r="AK779" i="2" s="1"/>
  <c r="AK778" i="2" a="1"/>
  <c r="AK778" i="2" s="1"/>
  <c r="AK777" i="2" a="1"/>
  <c r="AK777" i="2" s="1"/>
  <c r="AK776" i="2" a="1"/>
  <c r="AK776" i="2" s="1"/>
  <c r="AK775" i="2" a="1"/>
  <c r="AK775" i="2" s="1"/>
  <c r="AK774" i="2" a="1"/>
  <c r="AK774" i="2" s="1"/>
  <c r="AK773" i="2" a="1"/>
  <c r="AK773" i="2" s="1"/>
  <c r="AK772" i="2" a="1"/>
  <c r="AK772" i="2" s="1"/>
  <c r="AK771" i="2" a="1"/>
  <c r="AK771" i="2" s="1"/>
  <c r="AK770" i="2" a="1"/>
  <c r="AK770" i="2" s="1"/>
  <c r="AK769" i="2" a="1"/>
  <c r="AK769" i="2" s="1"/>
  <c r="AK768" i="2" a="1"/>
  <c r="AK768" i="2" s="1"/>
  <c r="AK767" i="2" a="1"/>
  <c r="AK767" i="2" s="1"/>
  <c r="AK766" i="2" a="1"/>
  <c r="AK766" i="2" s="1"/>
  <c r="AK765" i="2" a="1"/>
  <c r="AK765" i="2" s="1"/>
  <c r="AK764" i="2" a="1"/>
  <c r="AK764" i="2" s="1"/>
  <c r="AK763" i="2" a="1"/>
  <c r="AK763" i="2" s="1"/>
  <c r="AK762" i="2" a="1"/>
  <c r="AK762" i="2" s="1"/>
  <c r="AK761" i="2" a="1"/>
  <c r="AK761" i="2" s="1"/>
  <c r="AK760" i="2" a="1"/>
  <c r="AK760" i="2" s="1"/>
  <c r="AK759" i="2" a="1"/>
  <c r="AK759" i="2" s="1"/>
  <c r="AK758" i="2" a="1"/>
  <c r="AK758" i="2" s="1"/>
  <c r="AK757" i="2" a="1"/>
  <c r="AK757" i="2" s="1"/>
  <c r="AK756" i="2" a="1"/>
  <c r="AK756" i="2" s="1"/>
  <c r="AK755" i="2" a="1"/>
  <c r="AK755" i="2" s="1"/>
  <c r="AK754" i="2" a="1"/>
  <c r="AK754" i="2" s="1"/>
  <c r="AK753" i="2" a="1"/>
  <c r="AK753" i="2" s="1"/>
  <c r="AK752" i="2" a="1"/>
  <c r="AK752" i="2" s="1"/>
  <c r="AK751" i="2" a="1"/>
  <c r="AK751" i="2" s="1"/>
  <c r="AK750" i="2" a="1"/>
  <c r="AK750" i="2" s="1"/>
  <c r="AK749" i="2" a="1"/>
  <c r="AK749" i="2" s="1"/>
  <c r="AK748" i="2" a="1"/>
  <c r="AK748" i="2" s="1"/>
  <c r="AK747" i="2" a="1"/>
  <c r="AK747" i="2" s="1"/>
  <c r="AK746" i="2" a="1"/>
  <c r="AK746" i="2" s="1"/>
  <c r="AK745" i="2" a="1"/>
  <c r="AK745" i="2" s="1"/>
  <c r="AK744" i="2" a="1"/>
  <c r="AK744" i="2" s="1"/>
  <c r="AK743" i="2" a="1"/>
  <c r="AK743" i="2" s="1"/>
  <c r="AK742" i="2" a="1"/>
  <c r="AK742" i="2" s="1"/>
  <c r="AK741" i="2" a="1"/>
  <c r="AK741" i="2" s="1"/>
  <c r="AK740" i="2" a="1"/>
  <c r="AK740" i="2" s="1"/>
  <c r="AK739" i="2" a="1"/>
  <c r="AK739" i="2" s="1"/>
  <c r="AK738" i="2" a="1"/>
  <c r="AK738" i="2" s="1"/>
  <c r="AK737" i="2" a="1"/>
  <c r="AK737" i="2" s="1"/>
  <c r="AK736" i="2" a="1"/>
  <c r="AK736" i="2" s="1"/>
  <c r="AK735" i="2" a="1"/>
  <c r="AK735" i="2" s="1"/>
  <c r="AK734" i="2" a="1"/>
  <c r="AK734" i="2" s="1"/>
  <c r="AK733" i="2" a="1"/>
  <c r="AK733" i="2" s="1"/>
  <c r="AK732" i="2" a="1"/>
  <c r="AK732" i="2" s="1"/>
  <c r="AK731" i="2" a="1"/>
  <c r="AK731" i="2" s="1"/>
  <c r="AK730" i="2" a="1"/>
  <c r="AK730" i="2" s="1"/>
  <c r="AK729" i="2" a="1"/>
  <c r="AK729" i="2" s="1"/>
  <c r="AK728" i="2" a="1"/>
  <c r="AK728" i="2" s="1"/>
  <c r="AK727" i="2" a="1"/>
  <c r="AK727" i="2" s="1"/>
  <c r="AK726" i="2" a="1"/>
  <c r="AK726" i="2" s="1"/>
  <c r="AK725" i="2" a="1"/>
  <c r="AK725" i="2" s="1"/>
  <c r="AK724" i="2" a="1"/>
  <c r="AK724" i="2" s="1"/>
  <c r="AK723" i="2" a="1"/>
  <c r="AK723" i="2" s="1"/>
  <c r="AK722" i="2" a="1"/>
  <c r="AK722" i="2" s="1"/>
  <c r="AK721" i="2" a="1"/>
  <c r="AK721" i="2" s="1"/>
  <c r="AK720" i="2" a="1"/>
  <c r="AK720" i="2" s="1"/>
  <c r="AK719" i="2" a="1"/>
  <c r="AK719" i="2" s="1"/>
  <c r="AK718" i="2" a="1"/>
  <c r="AK718" i="2" s="1"/>
  <c r="AK717" i="2" a="1"/>
  <c r="AK717" i="2" s="1"/>
  <c r="AK716" i="2" a="1"/>
  <c r="AK716" i="2" s="1"/>
  <c r="AK715" i="2" a="1"/>
  <c r="AK715" i="2" s="1"/>
  <c r="AK714" i="2" a="1"/>
  <c r="AK714" i="2" s="1"/>
  <c r="AK713" i="2" a="1"/>
  <c r="AK713" i="2" s="1"/>
  <c r="AK712" i="2" a="1"/>
  <c r="AK712" i="2" s="1"/>
  <c r="AK711" i="2" a="1"/>
  <c r="AK711" i="2" s="1"/>
  <c r="AK710" i="2" a="1"/>
  <c r="AK710" i="2" s="1"/>
  <c r="AK709" i="2" a="1"/>
  <c r="AK709" i="2" s="1"/>
  <c r="AK708" i="2" a="1"/>
  <c r="AK708" i="2" s="1"/>
  <c r="AK707" i="2" a="1"/>
  <c r="AK707" i="2" s="1"/>
  <c r="AK706" i="2" a="1"/>
  <c r="AK706" i="2" s="1"/>
  <c r="AK705" i="2" a="1"/>
  <c r="AK705" i="2" s="1"/>
  <c r="AK704" i="2" a="1"/>
  <c r="AK704" i="2" s="1"/>
  <c r="AK703" i="2" a="1"/>
  <c r="AK703" i="2" s="1"/>
  <c r="AK702" i="2" a="1"/>
  <c r="AK702" i="2" s="1"/>
  <c r="AK701" i="2" a="1"/>
  <c r="AK701" i="2" s="1"/>
  <c r="AK700" i="2" a="1"/>
  <c r="AK700" i="2" s="1"/>
  <c r="AK699" i="2" a="1"/>
  <c r="AK699" i="2" s="1"/>
  <c r="AK698" i="2" a="1"/>
  <c r="AK698" i="2" s="1"/>
  <c r="AK697" i="2" a="1"/>
  <c r="AK697" i="2" s="1"/>
  <c r="AK696" i="2" a="1"/>
  <c r="AK696" i="2" s="1"/>
  <c r="AK695" i="2" a="1"/>
  <c r="AK695" i="2" s="1"/>
  <c r="AK694" i="2" a="1"/>
  <c r="AK694" i="2" s="1"/>
  <c r="AK693" i="2" a="1"/>
  <c r="AK693" i="2" s="1"/>
  <c r="AK692" i="2" a="1"/>
  <c r="AK692" i="2" s="1"/>
  <c r="AK691" i="2" a="1"/>
  <c r="AK691" i="2" s="1"/>
  <c r="AK690" i="2" a="1"/>
  <c r="AK690" i="2" s="1"/>
  <c r="AK689" i="2" a="1"/>
  <c r="AK689" i="2" s="1"/>
  <c r="AK688" i="2" a="1"/>
  <c r="AK688" i="2" s="1"/>
  <c r="AK687" i="2" a="1"/>
  <c r="AK687" i="2" s="1"/>
  <c r="AK686" i="2" a="1"/>
  <c r="AK686" i="2" s="1"/>
  <c r="AK685" i="2" a="1"/>
  <c r="AK685" i="2" s="1"/>
  <c r="AK684" i="2" a="1"/>
  <c r="AK684" i="2" s="1"/>
  <c r="AK683" i="2" a="1"/>
  <c r="AK683" i="2" s="1"/>
  <c r="AK682" i="2" a="1"/>
  <c r="AK682" i="2" s="1"/>
  <c r="AK681" i="2" a="1"/>
  <c r="AK681" i="2" s="1"/>
  <c r="AK680" i="2" a="1"/>
  <c r="AK680" i="2" s="1"/>
  <c r="AK679" i="2" a="1"/>
  <c r="AK679" i="2" s="1"/>
  <c r="AK678" i="2" a="1"/>
  <c r="AK678" i="2" s="1"/>
  <c r="AK677" i="2" a="1"/>
  <c r="AK677" i="2" s="1"/>
  <c r="AK676" i="2" a="1"/>
  <c r="AK676" i="2" s="1"/>
  <c r="AK675" i="2" a="1"/>
  <c r="AK675" i="2" s="1"/>
  <c r="AK674" i="2" a="1"/>
  <c r="AK674" i="2" s="1"/>
  <c r="AK673" i="2" a="1"/>
  <c r="AK673" i="2" s="1"/>
  <c r="AK672" i="2" a="1"/>
  <c r="AK672" i="2" s="1"/>
  <c r="AK671" i="2" a="1"/>
  <c r="AK671" i="2" s="1"/>
  <c r="AK670" i="2" a="1"/>
  <c r="AK670" i="2" s="1"/>
  <c r="AK669" i="2" a="1"/>
  <c r="AK669" i="2" s="1"/>
  <c r="AK668" i="2" a="1"/>
  <c r="AK668" i="2" s="1"/>
  <c r="AK667" i="2" a="1"/>
  <c r="AK667" i="2" s="1"/>
  <c r="AK666" i="2" a="1"/>
  <c r="AK666" i="2" s="1"/>
  <c r="AK665" i="2" a="1"/>
  <c r="AK665" i="2" s="1"/>
  <c r="AK664" i="2" a="1"/>
  <c r="AK664" i="2" s="1"/>
  <c r="AK663" i="2" a="1"/>
  <c r="AK663" i="2" s="1"/>
  <c r="AK662" i="2" a="1"/>
  <c r="AK662" i="2" s="1"/>
  <c r="AK661" i="2" a="1"/>
  <c r="AK661" i="2" s="1"/>
  <c r="AK660" i="2" a="1"/>
  <c r="AK660" i="2" s="1"/>
  <c r="AK659" i="2" a="1"/>
  <c r="AK659" i="2" s="1"/>
  <c r="AK658" i="2" a="1"/>
  <c r="AK658" i="2" s="1"/>
  <c r="AK657" i="2" a="1"/>
  <c r="AK657" i="2" s="1"/>
  <c r="AK656" i="2" a="1"/>
  <c r="AK656" i="2" s="1"/>
  <c r="AK655" i="2" a="1"/>
  <c r="AK655" i="2" s="1"/>
  <c r="AK654" i="2" a="1"/>
  <c r="AK654" i="2" s="1"/>
  <c r="AK653" i="2" a="1"/>
  <c r="AK653" i="2" s="1"/>
  <c r="AK652" i="2" a="1"/>
  <c r="AK652" i="2" s="1"/>
  <c r="AK651" i="2" a="1"/>
  <c r="AK651" i="2" s="1"/>
  <c r="AK650" i="2" a="1"/>
  <c r="AK650" i="2" s="1"/>
  <c r="AK649" i="2" a="1"/>
  <c r="AK649" i="2" s="1"/>
  <c r="AK648" i="2" a="1"/>
  <c r="AK648" i="2" s="1"/>
  <c r="AK647" i="2" a="1"/>
  <c r="AK647" i="2" s="1"/>
  <c r="AK646" i="2" a="1"/>
  <c r="AK646" i="2" s="1"/>
  <c r="AK645" i="2" a="1"/>
  <c r="AK645" i="2" s="1"/>
  <c r="AK644" i="2" a="1"/>
  <c r="AK644" i="2" s="1"/>
  <c r="AK643" i="2" a="1"/>
  <c r="AK643" i="2" s="1"/>
  <c r="AK642" i="2" a="1"/>
  <c r="AK642" i="2" s="1"/>
  <c r="AK641" i="2" a="1"/>
  <c r="AK641" i="2" s="1"/>
  <c r="AK640" i="2" a="1"/>
  <c r="AK640" i="2" s="1"/>
  <c r="AK639" i="2" a="1"/>
  <c r="AK639" i="2" s="1"/>
  <c r="AK638" i="2" a="1"/>
  <c r="AK638" i="2" s="1"/>
  <c r="AK637" i="2" a="1"/>
  <c r="AK637" i="2" s="1"/>
  <c r="AK636" i="2" a="1"/>
  <c r="AK636" i="2" s="1"/>
  <c r="AK635" i="2" a="1"/>
  <c r="AK635" i="2" s="1"/>
  <c r="AK634" i="2" a="1"/>
  <c r="AK634" i="2" s="1"/>
  <c r="AK633" i="2" a="1"/>
  <c r="AK633" i="2" s="1"/>
  <c r="AK632" i="2" a="1"/>
  <c r="AK632" i="2" s="1"/>
  <c r="AK631" i="2" a="1"/>
  <c r="AK631" i="2" s="1"/>
  <c r="AK630" i="2" a="1"/>
  <c r="AK630" i="2" s="1"/>
  <c r="AK629" i="2" a="1"/>
  <c r="AK629" i="2" s="1"/>
  <c r="AK628" i="2" a="1"/>
  <c r="AK628" i="2" s="1"/>
  <c r="AK627" i="2" a="1"/>
  <c r="AK627" i="2" s="1"/>
  <c r="AK626" i="2" a="1"/>
  <c r="AK626" i="2" s="1"/>
  <c r="AK625" i="2" a="1"/>
  <c r="AK625" i="2" s="1"/>
  <c r="AK624" i="2" a="1"/>
  <c r="AK624" i="2" s="1"/>
  <c r="AK623" i="2" a="1"/>
  <c r="AK623" i="2" s="1"/>
  <c r="AK622" i="2" a="1"/>
  <c r="AK622" i="2" s="1"/>
  <c r="AK621" i="2" a="1"/>
  <c r="AK621" i="2" s="1"/>
  <c r="AK620" i="2" a="1"/>
  <c r="AK620" i="2" s="1"/>
  <c r="AK619" i="2" a="1"/>
  <c r="AK619" i="2" s="1"/>
  <c r="AK618" i="2" a="1"/>
  <c r="AK618" i="2" s="1"/>
  <c r="AK617" i="2" a="1"/>
  <c r="AK617" i="2" s="1"/>
  <c r="AK616" i="2" a="1"/>
  <c r="AK616" i="2" s="1"/>
  <c r="AK615" i="2" a="1"/>
  <c r="AK615" i="2" s="1"/>
  <c r="AK614" i="2" a="1"/>
  <c r="AK614" i="2" s="1"/>
  <c r="AK613" i="2" a="1"/>
  <c r="AK613" i="2" s="1"/>
  <c r="AK612" i="2" a="1"/>
  <c r="AK612" i="2" s="1"/>
  <c r="AK611" i="2" a="1"/>
  <c r="AK611" i="2" s="1"/>
  <c r="AK610" i="2" a="1"/>
  <c r="AK610" i="2" s="1"/>
  <c r="AK609" i="2" a="1"/>
  <c r="AK609" i="2" s="1"/>
  <c r="AK608" i="2" a="1"/>
  <c r="AK608" i="2" s="1"/>
  <c r="AK607" i="2" a="1"/>
  <c r="AK607" i="2" s="1"/>
  <c r="AK606" i="2" a="1"/>
  <c r="AK606" i="2" s="1"/>
  <c r="AK605" i="2" a="1"/>
  <c r="AK605" i="2" s="1"/>
  <c r="AK604" i="2" a="1"/>
  <c r="AK604" i="2" s="1"/>
  <c r="AK603" i="2" a="1"/>
  <c r="AK603" i="2" s="1"/>
  <c r="AK602" i="2" a="1"/>
  <c r="AK602" i="2" s="1"/>
  <c r="AK601" i="2" a="1"/>
  <c r="AK601" i="2" s="1"/>
  <c r="AK600" i="2" a="1"/>
  <c r="AK600" i="2" s="1"/>
  <c r="AK599" i="2" a="1"/>
  <c r="AK599" i="2" s="1"/>
  <c r="AK598" i="2" a="1"/>
  <c r="AK598" i="2" s="1"/>
  <c r="AK597" i="2" a="1"/>
  <c r="AK597" i="2" s="1"/>
  <c r="AK596" i="2" a="1"/>
  <c r="AK596" i="2" s="1"/>
  <c r="AK595" i="2" a="1"/>
  <c r="AK595" i="2" s="1"/>
  <c r="AK594" i="2" a="1"/>
  <c r="AK594" i="2" s="1"/>
  <c r="AK593" i="2" a="1"/>
  <c r="AK593" i="2" s="1"/>
  <c r="AK592" i="2" a="1"/>
  <c r="AK592" i="2" s="1"/>
  <c r="AK591" i="2" a="1"/>
  <c r="AK591" i="2" s="1"/>
  <c r="AK590" i="2" a="1"/>
  <c r="AK590" i="2" s="1"/>
  <c r="AK589" i="2" a="1"/>
  <c r="AK589" i="2" s="1"/>
  <c r="AK588" i="2" a="1"/>
  <c r="AK588" i="2" s="1"/>
  <c r="AK587" i="2" a="1"/>
  <c r="AK587" i="2" s="1"/>
  <c r="AK586" i="2" a="1"/>
  <c r="AK586" i="2" s="1"/>
  <c r="AK585" i="2" a="1"/>
  <c r="AK585" i="2" s="1"/>
  <c r="AK584" i="2" a="1"/>
  <c r="AK584" i="2" s="1"/>
  <c r="AK583" i="2" a="1"/>
  <c r="AK583" i="2" s="1"/>
  <c r="AK582" i="2" a="1"/>
  <c r="AK582" i="2" s="1"/>
  <c r="AK581" i="2" a="1"/>
  <c r="AK581" i="2" s="1"/>
  <c r="AK580" i="2" a="1"/>
  <c r="AK580" i="2" s="1"/>
  <c r="AK579" i="2" a="1"/>
  <c r="AK579" i="2" s="1"/>
  <c r="AK578" i="2" a="1"/>
  <c r="AK578" i="2" s="1"/>
  <c r="AK577" i="2" a="1"/>
  <c r="AK577" i="2" s="1"/>
  <c r="AK576" i="2" a="1"/>
  <c r="AK576" i="2" s="1"/>
  <c r="AK575" i="2" a="1"/>
  <c r="AK575" i="2" s="1"/>
  <c r="AK574" i="2" a="1"/>
  <c r="AK574" i="2" s="1"/>
  <c r="AK573" i="2" a="1"/>
  <c r="AK573" i="2" s="1"/>
  <c r="AK572" i="2" a="1"/>
  <c r="AK572" i="2" s="1"/>
  <c r="AK571" i="2" a="1"/>
  <c r="AK571" i="2" s="1"/>
  <c r="AK570" i="2" a="1"/>
  <c r="AK570" i="2" s="1"/>
  <c r="AK569" i="2" a="1"/>
  <c r="AK569" i="2" s="1"/>
  <c r="AK568" i="2" a="1"/>
  <c r="AK568" i="2" s="1"/>
  <c r="AK567" i="2" a="1"/>
  <c r="AK567" i="2" s="1"/>
  <c r="AK566" i="2" a="1"/>
  <c r="AK566" i="2" s="1"/>
  <c r="AK565" i="2" a="1"/>
  <c r="AK565" i="2" s="1"/>
  <c r="AK564" i="2" a="1"/>
  <c r="AK564" i="2" s="1"/>
  <c r="AK563" i="2" a="1"/>
  <c r="AK563" i="2" s="1"/>
  <c r="AK562" i="2" a="1"/>
  <c r="AK562" i="2" s="1"/>
  <c r="AK561" i="2" a="1"/>
  <c r="AK561" i="2" s="1"/>
  <c r="AK560" i="2" a="1"/>
  <c r="AK560" i="2" s="1"/>
  <c r="AK559" i="2" a="1"/>
  <c r="AK559" i="2" s="1"/>
  <c r="AK558" i="2" a="1"/>
  <c r="AK558" i="2" s="1"/>
  <c r="AK557" i="2" a="1"/>
  <c r="AK557" i="2" s="1"/>
  <c r="AK556" i="2" a="1"/>
  <c r="AK556" i="2" s="1"/>
  <c r="AK555" i="2" a="1"/>
  <c r="AK555" i="2" s="1"/>
  <c r="AK554" i="2" a="1"/>
  <c r="AK554" i="2" s="1"/>
  <c r="AK553" i="2" a="1"/>
  <c r="AK553" i="2" s="1"/>
  <c r="AK552" i="2" a="1"/>
  <c r="AK552" i="2" s="1"/>
  <c r="AK551" i="2" a="1"/>
  <c r="AK551" i="2" s="1"/>
  <c r="AK550" i="2" a="1"/>
  <c r="AK550" i="2" s="1"/>
  <c r="AK549" i="2" a="1"/>
  <c r="AK549" i="2" s="1"/>
  <c r="AK548" i="2" a="1"/>
  <c r="AK548" i="2" s="1"/>
  <c r="AK547" i="2" a="1"/>
  <c r="AK547" i="2" s="1"/>
  <c r="AK546" i="2" a="1"/>
  <c r="AK546" i="2" s="1"/>
  <c r="AK545" i="2" a="1"/>
  <c r="AK545" i="2" s="1"/>
  <c r="AK544" i="2" a="1"/>
  <c r="AK544" i="2" s="1"/>
  <c r="AK543" i="2" a="1"/>
  <c r="AK543" i="2" s="1"/>
  <c r="AK542" i="2" a="1"/>
  <c r="AK542" i="2" s="1"/>
  <c r="AK541" i="2" a="1"/>
  <c r="AK541" i="2" s="1"/>
  <c r="AK540" i="2" a="1"/>
  <c r="AK540" i="2" s="1"/>
  <c r="AK539" i="2" a="1"/>
  <c r="AK539" i="2" s="1"/>
  <c r="AK538" i="2" a="1"/>
  <c r="AK538" i="2" s="1"/>
  <c r="AK537" i="2" a="1"/>
  <c r="AK537" i="2" s="1"/>
  <c r="AK536" i="2" a="1"/>
  <c r="AK536" i="2" s="1"/>
  <c r="AK535" i="2" a="1"/>
  <c r="AK535" i="2" s="1"/>
  <c r="AK534" i="2" a="1"/>
  <c r="AK534" i="2" s="1"/>
  <c r="AK533" i="2" a="1"/>
  <c r="AK533" i="2" s="1"/>
  <c r="AK532" i="2" a="1"/>
  <c r="AK532" i="2" s="1"/>
  <c r="AK531" i="2" a="1"/>
  <c r="AK531" i="2" s="1"/>
  <c r="AK530" i="2" a="1"/>
  <c r="AK530" i="2" s="1"/>
  <c r="AK529" i="2" a="1"/>
  <c r="AK529" i="2" s="1"/>
  <c r="AK528" i="2" a="1"/>
  <c r="AK528" i="2" s="1"/>
  <c r="AK527" i="2" a="1"/>
  <c r="AK527" i="2" s="1"/>
  <c r="AK526" i="2" a="1"/>
  <c r="AK526" i="2" s="1"/>
  <c r="AK525" i="2" a="1"/>
  <c r="AK525" i="2" s="1"/>
  <c r="AK524" i="2" a="1"/>
  <c r="AK524" i="2" s="1"/>
  <c r="AK523" i="2" a="1"/>
  <c r="AK523" i="2" s="1"/>
  <c r="AK522" i="2" a="1"/>
  <c r="AK522" i="2" s="1"/>
  <c r="AK521" i="2" a="1"/>
  <c r="AK521" i="2" s="1"/>
  <c r="AK520" i="2" a="1"/>
  <c r="AK520" i="2" s="1"/>
  <c r="AK519" i="2" a="1"/>
  <c r="AK519" i="2" s="1"/>
  <c r="AK518" i="2" a="1"/>
  <c r="AK518" i="2" s="1"/>
  <c r="AK517" i="2" a="1"/>
  <c r="AK517" i="2" s="1"/>
  <c r="AK516" i="2" a="1"/>
  <c r="AK516" i="2" s="1"/>
  <c r="AK515" i="2" a="1"/>
  <c r="AK515" i="2" s="1"/>
  <c r="AK514" i="2" a="1"/>
  <c r="AK514" i="2" s="1"/>
  <c r="AK513" i="2" a="1"/>
  <c r="AK513" i="2" s="1"/>
  <c r="AK512" i="2" a="1"/>
  <c r="AK512" i="2" s="1"/>
  <c r="AK511" i="2" a="1"/>
  <c r="AK511" i="2" s="1"/>
  <c r="AK510" i="2" a="1"/>
  <c r="AK510" i="2" s="1"/>
  <c r="AK509" i="2" a="1"/>
  <c r="AK509" i="2" s="1"/>
  <c r="AK508" i="2" a="1"/>
  <c r="AK508" i="2" s="1"/>
  <c r="AK507" i="2" a="1"/>
  <c r="AK507" i="2" s="1"/>
  <c r="AK506" i="2" a="1"/>
  <c r="AK506" i="2" s="1"/>
  <c r="AK505" i="2" a="1"/>
  <c r="AK505" i="2" s="1"/>
  <c r="AK504" i="2" a="1"/>
  <c r="AK504" i="2" s="1"/>
  <c r="AK503" i="2" a="1"/>
  <c r="AK503" i="2" s="1"/>
  <c r="AK502" i="2" a="1"/>
  <c r="AK502" i="2" s="1"/>
  <c r="AK501" i="2" a="1"/>
  <c r="AK501" i="2" s="1"/>
  <c r="AK500" i="2" a="1"/>
  <c r="AK500" i="2" s="1"/>
  <c r="AK499" i="2" a="1"/>
  <c r="AK499" i="2" s="1"/>
  <c r="AK498" i="2" a="1"/>
  <c r="AK498" i="2" s="1"/>
  <c r="AK497" i="2" a="1"/>
  <c r="AK497" i="2" s="1"/>
  <c r="AK496" i="2" a="1"/>
  <c r="AK496" i="2" s="1"/>
  <c r="AK495" i="2" a="1"/>
  <c r="AK495" i="2" s="1"/>
  <c r="AK494" i="2" a="1"/>
  <c r="AK494" i="2" s="1"/>
  <c r="AK493" i="2" a="1"/>
  <c r="AK493" i="2" s="1"/>
  <c r="AK492" i="2" a="1"/>
  <c r="AK492" i="2" s="1"/>
  <c r="AK491" i="2" a="1"/>
  <c r="AK491" i="2" s="1"/>
  <c r="AK490" i="2" a="1"/>
  <c r="AK490" i="2" s="1"/>
  <c r="AK489" i="2" a="1"/>
  <c r="AK489" i="2" s="1"/>
  <c r="AK488" i="2" a="1"/>
  <c r="AK488" i="2" s="1"/>
  <c r="AK487" i="2" a="1"/>
  <c r="AK487" i="2" s="1"/>
  <c r="AK486" i="2" a="1"/>
  <c r="AK486" i="2" s="1"/>
  <c r="AK485" i="2" a="1"/>
  <c r="AK485" i="2" s="1"/>
  <c r="AK484" i="2" a="1"/>
  <c r="AK484" i="2" s="1"/>
  <c r="AK483" i="2" a="1"/>
  <c r="AK483" i="2" s="1"/>
  <c r="AK482" i="2" a="1"/>
  <c r="AK482" i="2" s="1"/>
  <c r="AK481" i="2" a="1"/>
  <c r="AK481" i="2" s="1"/>
  <c r="AK480" i="2" a="1"/>
  <c r="AK480" i="2" s="1"/>
  <c r="AK479" i="2" a="1"/>
  <c r="AK479" i="2" s="1"/>
  <c r="AK478" i="2" a="1"/>
  <c r="AK478" i="2" s="1"/>
  <c r="AK477" i="2" a="1"/>
  <c r="AK477" i="2" s="1"/>
  <c r="AK476" i="2" a="1"/>
  <c r="AK476" i="2" s="1"/>
  <c r="AK475" i="2" a="1"/>
  <c r="AK475" i="2" s="1"/>
  <c r="AK474" i="2" a="1"/>
  <c r="AK474" i="2" s="1"/>
  <c r="AK473" i="2" a="1"/>
  <c r="AK473" i="2" s="1"/>
  <c r="AK472" i="2" a="1"/>
  <c r="AK472" i="2" s="1"/>
  <c r="AK471" i="2" a="1"/>
  <c r="AK471" i="2" s="1"/>
  <c r="AK470" i="2" a="1"/>
  <c r="AK470" i="2" s="1"/>
  <c r="AK469" i="2" a="1"/>
  <c r="AK469" i="2" s="1"/>
  <c r="AK468" i="2" a="1"/>
  <c r="AK468" i="2" s="1"/>
  <c r="AK467" i="2" a="1"/>
  <c r="AK467" i="2" s="1"/>
  <c r="AK466" i="2" a="1"/>
  <c r="AK466" i="2" s="1"/>
  <c r="AK465" i="2" a="1"/>
  <c r="AK465" i="2" s="1"/>
  <c r="AK464" i="2" a="1"/>
  <c r="AK464" i="2" s="1"/>
  <c r="AK463" i="2" a="1"/>
  <c r="AK463" i="2" s="1"/>
  <c r="AK462" i="2" a="1"/>
  <c r="AK462" i="2" s="1"/>
  <c r="AK461" i="2" a="1"/>
  <c r="AK461" i="2" s="1"/>
  <c r="AK460" i="2" a="1"/>
  <c r="AK460" i="2" s="1"/>
  <c r="AK459" i="2" a="1"/>
  <c r="AK459" i="2" s="1"/>
  <c r="AK458" i="2" a="1"/>
  <c r="AK458" i="2" s="1"/>
  <c r="AK457" i="2" a="1"/>
  <c r="AK457" i="2" s="1"/>
  <c r="AK456" i="2" a="1"/>
  <c r="AK456" i="2" s="1"/>
  <c r="AK455" i="2" a="1"/>
  <c r="AK455" i="2" s="1"/>
  <c r="AK454" i="2" a="1"/>
  <c r="AK454" i="2" s="1"/>
  <c r="AK453" i="2" a="1"/>
  <c r="AK453" i="2" s="1"/>
  <c r="AK452" i="2" a="1"/>
  <c r="AK452" i="2" s="1"/>
  <c r="AK451" i="2" a="1"/>
  <c r="AK451" i="2" s="1"/>
  <c r="AK450" i="2" a="1"/>
  <c r="AK450" i="2" s="1"/>
  <c r="AK449" i="2" a="1"/>
  <c r="AK449" i="2" s="1"/>
  <c r="AK448" i="2" a="1"/>
  <c r="AK448" i="2" s="1"/>
  <c r="AK447" i="2" a="1"/>
  <c r="AK447" i="2" s="1"/>
  <c r="AK446" i="2" a="1"/>
  <c r="AK446" i="2" s="1"/>
  <c r="AK445" i="2" a="1"/>
  <c r="AK445" i="2" s="1"/>
  <c r="AK444" i="2" a="1"/>
  <c r="AK444" i="2" s="1"/>
  <c r="AK443" i="2" a="1"/>
  <c r="AK443" i="2" s="1"/>
  <c r="AK442" i="2" a="1"/>
  <c r="AK442" i="2" s="1"/>
  <c r="AK441" i="2" a="1"/>
  <c r="AK441" i="2" s="1"/>
  <c r="AK440" i="2" a="1"/>
  <c r="AK440" i="2" s="1"/>
  <c r="AK439" i="2" a="1"/>
  <c r="AK439" i="2" s="1"/>
  <c r="AK438" i="2" a="1"/>
  <c r="AK438" i="2" s="1"/>
  <c r="AK437" i="2" a="1"/>
  <c r="AK437" i="2" s="1"/>
  <c r="AK436" i="2" a="1"/>
  <c r="AK436" i="2" s="1"/>
  <c r="AK435" i="2" a="1"/>
  <c r="AK435" i="2" s="1"/>
  <c r="AK434" i="2" a="1"/>
  <c r="AK434" i="2" s="1"/>
  <c r="AK433" i="2" a="1"/>
  <c r="AK433" i="2" s="1"/>
  <c r="AK432" i="2" a="1"/>
  <c r="AK432" i="2" s="1"/>
  <c r="AK431" i="2" a="1"/>
  <c r="AK431" i="2" s="1"/>
  <c r="AK430" i="2" a="1"/>
  <c r="AK430" i="2" s="1"/>
  <c r="AK429" i="2" a="1"/>
  <c r="AK429" i="2" s="1"/>
  <c r="AK428" i="2" a="1"/>
  <c r="AK428" i="2" s="1"/>
  <c r="AK427" i="2" a="1"/>
  <c r="AK427" i="2" s="1"/>
  <c r="AK426" i="2" a="1"/>
  <c r="AK426" i="2" s="1"/>
  <c r="AK425" i="2" a="1"/>
  <c r="AK425" i="2" s="1"/>
  <c r="AK424" i="2" a="1"/>
  <c r="AK424" i="2" s="1"/>
  <c r="AK423" i="2" a="1"/>
  <c r="AK423" i="2" s="1"/>
  <c r="AK422" i="2" a="1"/>
  <c r="AK422" i="2" s="1"/>
  <c r="AK421" i="2" a="1"/>
  <c r="AK421" i="2" s="1"/>
  <c r="AK420" i="2" a="1"/>
  <c r="AK420" i="2" s="1"/>
  <c r="AK419" i="2" a="1"/>
  <c r="AK419" i="2" s="1"/>
  <c r="AK418" i="2" a="1"/>
  <c r="AK418" i="2" s="1"/>
  <c r="AK417" i="2" a="1"/>
  <c r="AK417" i="2" s="1"/>
  <c r="AK416" i="2" a="1"/>
  <c r="AK416" i="2" s="1"/>
  <c r="AK415" i="2" a="1"/>
  <c r="AK415" i="2" s="1"/>
  <c r="AK414" i="2" a="1"/>
  <c r="AK414" i="2" s="1"/>
  <c r="AK413" i="2" a="1"/>
  <c r="AK413" i="2" s="1"/>
  <c r="AK412" i="2" a="1"/>
  <c r="AK412" i="2" s="1"/>
  <c r="AK411" i="2" a="1"/>
  <c r="AK411" i="2" s="1"/>
  <c r="AK410" i="2" a="1"/>
  <c r="AK410" i="2" s="1"/>
  <c r="AK409" i="2" a="1"/>
  <c r="AK409" i="2" s="1"/>
  <c r="AK408" i="2" a="1"/>
  <c r="AK408" i="2" s="1"/>
  <c r="AK407" i="2" a="1"/>
  <c r="AK407" i="2" s="1"/>
  <c r="AK406" i="2" a="1"/>
  <c r="AK406" i="2" s="1"/>
  <c r="AK405" i="2" a="1"/>
  <c r="AK405" i="2" s="1"/>
  <c r="AK404" i="2" a="1"/>
  <c r="AK404" i="2" s="1"/>
  <c r="AK403" i="2" a="1"/>
  <c r="AK403" i="2" s="1"/>
  <c r="AK402" i="2" a="1"/>
  <c r="AK402" i="2" s="1"/>
  <c r="AK401" i="2" a="1"/>
  <c r="AK401" i="2" s="1"/>
  <c r="AK400" i="2" a="1"/>
  <c r="AK400" i="2" s="1"/>
  <c r="AK399" i="2" a="1"/>
  <c r="AK399" i="2" s="1"/>
  <c r="AK398" i="2" a="1"/>
  <c r="AK398" i="2" s="1"/>
  <c r="AK397" i="2" a="1"/>
  <c r="AK397" i="2" s="1"/>
  <c r="AK396" i="2" a="1"/>
  <c r="AK396" i="2" s="1"/>
  <c r="AK395" i="2" a="1"/>
  <c r="AK395" i="2" s="1"/>
  <c r="AK394" i="2" a="1"/>
  <c r="AK394" i="2" s="1"/>
  <c r="AK393" i="2" a="1"/>
  <c r="AK393" i="2" s="1"/>
  <c r="AK392" i="2" a="1"/>
  <c r="AK392" i="2" s="1"/>
  <c r="AK391" i="2" a="1"/>
  <c r="AK391" i="2" s="1"/>
  <c r="AK390" i="2" a="1"/>
  <c r="AK390" i="2" s="1"/>
  <c r="AK389" i="2" a="1"/>
  <c r="AK389" i="2" s="1"/>
  <c r="AK388" i="2" a="1"/>
  <c r="AK388" i="2" s="1"/>
  <c r="AK387" i="2" a="1"/>
  <c r="AK387" i="2" s="1"/>
  <c r="AK386" i="2" a="1"/>
  <c r="AK386" i="2" s="1"/>
  <c r="AK385" i="2" a="1"/>
  <c r="AK385" i="2" s="1"/>
  <c r="AK384" i="2" a="1"/>
  <c r="AK384" i="2" s="1"/>
  <c r="AK383" i="2" a="1"/>
  <c r="AK383" i="2" s="1"/>
  <c r="AK382" i="2" a="1"/>
  <c r="AK382" i="2" s="1"/>
  <c r="AK381" i="2" a="1"/>
  <c r="AK381" i="2" s="1"/>
  <c r="AK380" i="2" a="1"/>
  <c r="AK380" i="2" s="1"/>
  <c r="AK379" i="2" a="1"/>
  <c r="AK379" i="2" s="1"/>
  <c r="AK378" i="2" a="1"/>
  <c r="AK378" i="2" s="1"/>
  <c r="AK377" i="2" a="1"/>
  <c r="AK377" i="2" s="1"/>
  <c r="AK376" i="2" a="1"/>
  <c r="AK376" i="2" s="1"/>
  <c r="AK375" i="2" a="1"/>
  <c r="AK375" i="2" s="1"/>
  <c r="AK374" i="2" a="1"/>
  <c r="AK374" i="2" s="1"/>
  <c r="AK373" i="2" a="1"/>
  <c r="AK373" i="2" s="1"/>
  <c r="AK372" i="2" a="1"/>
  <c r="AK372" i="2" s="1"/>
  <c r="AK371" i="2" a="1"/>
  <c r="AK371" i="2" s="1"/>
  <c r="AK370" i="2" a="1"/>
  <c r="AK370" i="2" s="1"/>
  <c r="AK369" i="2" a="1"/>
  <c r="AK369" i="2" s="1"/>
  <c r="AK368" i="2" a="1"/>
  <c r="AK368" i="2" s="1"/>
  <c r="AK367" i="2" a="1"/>
  <c r="AK367" i="2" s="1"/>
  <c r="AK366" i="2" a="1"/>
  <c r="AK366" i="2" s="1"/>
  <c r="AK365" i="2" a="1"/>
  <c r="AK365" i="2" s="1"/>
  <c r="AK364" i="2" a="1"/>
  <c r="AK364" i="2" s="1"/>
  <c r="AK363" i="2" a="1"/>
  <c r="AK363" i="2" s="1"/>
  <c r="AK362" i="2" a="1"/>
  <c r="AK362" i="2" s="1"/>
  <c r="AK361" i="2" a="1"/>
  <c r="AK361" i="2" s="1"/>
  <c r="AK360" i="2" a="1"/>
  <c r="AK360" i="2" s="1"/>
  <c r="AK359" i="2" a="1"/>
  <c r="AK359" i="2" s="1"/>
  <c r="AK358" i="2" a="1"/>
  <c r="AK358" i="2" s="1"/>
  <c r="AK357" i="2" a="1"/>
  <c r="AK357" i="2" s="1"/>
  <c r="AK356" i="2" a="1"/>
  <c r="AK356" i="2" s="1"/>
  <c r="AK355" i="2" a="1"/>
  <c r="AK355" i="2" s="1"/>
  <c r="AK354" i="2" a="1"/>
  <c r="AK354" i="2" s="1"/>
  <c r="AK353" i="2" a="1"/>
  <c r="AK353" i="2" s="1"/>
  <c r="AK352" i="2" a="1"/>
  <c r="AK352" i="2" s="1"/>
  <c r="AK351" i="2" a="1"/>
  <c r="AK351" i="2" s="1"/>
  <c r="AK350" i="2" a="1"/>
  <c r="AK350" i="2" s="1"/>
  <c r="AK349" i="2" a="1"/>
  <c r="AK349" i="2" s="1"/>
  <c r="AK348" i="2" a="1"/>
  <c r="AK348" i="2" s="1"/>
  <c r="AK347" i="2" a="1"/>
  <c r="AK347" i="2" s="1"/>
  <c r="AK346" i="2" a="1"/>
  <c r="AK346" i="2" s="1"/>
  <c r="AK345" i="2" a="1"/>
  <c r="AK345" i="2" s="1"/>
  <c r="AK344" i="2" a="1"/>
  <c r="AK344" i="2" s="1"/>
  <c r="AK343" i="2" a="1"/>
  <c r="AK343" i="2" s="1"/>
  <c r="AK342" i="2" a="1"/>
  <c r="AK342" i="2" s="1"/>
  <c r="AK341" i="2" a="1"/>
  <c r="AK341" i="2" s="1"/>
  <c r="AK340" i="2" a="1"/>
  <c r="AK340" i="2" s="1"/>
  <c r="AK339" i="2" a="1"/>
  <c r="AK339" i="2" s="1"/>
  <c r="AK338" i="2" a="1"/>
  <c r="AK338" i="2" s="1"/>
  <c r="AK337" i="2" a="1"/>
  <c r="AK337" i="2" s="1"/>
  <c r="AK336" i="2" a="1"/>
  <c r="AK336" i="2" s="1"/>
  <c r="AK335" i="2" a="1"/>
  <c r="AK335" i="2" s="1"/>
  <c r="AK334" i="2" a="1"/>
  <c r="AK334" i="2" s="1"/>
  <c r="AK333" i="2" a="1"/>
  <c r="AK333" i="2" s="1"/>
  <c r="AK332" i="2" a="1"/>
  <c r="AK332" i="2" s="1"/>
  <c r="AK331" i="2" a="1"/>
  <c r="AK331" i="2" s="1"/>
  <c r="AK330" i="2" a="1"/>
  <c r="AK330" i="2" s="1"/>
  <c r="AK329" i="2" a="1"/>
  <c r="AK329" i="2" s="1"/>
  <c r="AK328" i="2" a="1"/>
  <c r="AK328" i="2" s="1"/>
  <c r="AK327" i="2" a="1"/>
  <c r="AK327" i="2" s="1"/>
  <c r="AK326" i="2" a="1"/>
  <c r="AK326" i="2" s="1"/>
  <c r="AK325" i="2" a="1"/>
  <c r="AK325" i="2" s="1"/>
  <c r="AK324" i="2" a="1"/>
  <c r="AK324" i="2" s="1"/>
  <c r="AK323" i="2" a="1"/>
  <c r="AK323" i="2" s="1"/>
  <c r="AK322" i="2" a="1"/>
  <c r="AK322" i="2" s="1"/>
  <c r="AK321" i="2" a="1"/>
  <c r="AK321" i="2" s="1"/>
  <c r="AK320" i="2" a="1"/>
  <c r="AK320" i="2" s="1"/>
  <c r="AK319" i="2" a="1"/>
  <c r="AK319" i="2" s="1"/>
  <c r="AK318" i="2" a="1"/>
  <c r="AK318" i="2" s="1"/>
  <c r="AK317" i="2" a="1"/>
  <c r="AK317" i="2" s="1"/>
  <c r="AK316" i="2" a="1"/>
  <c r="AK316" i="2" s="1"/>
  <c r="AK315" i="2" a="1"/>
  <c r="AK315" i="2" s="1"/>
  <c r="AK314" i="2" a="1"/>
  <c r="AK314" i="2" s="1"/>
  <c r="AK313" i="2" a="1"/>
  <c r="AK313" i="2" s="1"/>
  <c r="AK312" i="2" a="1"/>
  <c r="AK312" i="2" s="1"/>
  <c r="AK311" i="2" a="1"/>
  <c r="AK311" i="2" s="1"/>
  <c r="AK310" i="2" a="1"/>
  <c r="AK310" i="2" s="1"/>
  <c r="AK309" i="2" a="1"/>
  <c r="AK309" i="2" s="1"/>
  <c r="AK308" i="2" a="1"/>
  <c r="AK308" i="2" s="1"/>
  <c r="AK307" i="2" a="1"/>
  <c r="AK307" i="2" s="1"/>
  <c r="AK306" i="2" a="1"/>
  <c r="AK306" i="2" s="1"/>
  <c r="AK305" i="2" a="1"/>
  <c r="AK305" i="2" s="1"/>
  <c r="AK304" i="2" a="1"/>
  <c r="AK304" i="2" s="1"/>
  <c r="AK303" i="2" a="1"/>
  <c r="AK303" i="2" s="1"/>
  <c r="AK302" i="2" a="1"/>
  <c r="AK302" i="2" s="1"/>
  <c r="AK301" i="2" a="1"/>
  <c r="AK301" i="2" s="1"/>
  <c r="AK300" i="2" a="1"/>
  <c r="AK300" i="2" s="1"/>
  <c r="AK299" i="2" a="1"/>
  <c r="AK299" i="2" s="1"/>
  <c r="AK298" i="2" a="1"/>
  <c r="AK298" i="2" s="1"/>
  <c r="AK297" i="2" a="1"/>
  <c r="AK297" i="2" s="1"/>
  <c r="AK296" i="2" a="1"/>
  <c r="AK296" i="2" s="1"/>
  <c r="AK295" i="2" a="1"/>
  <c r="AK295" i="2" s="1"/>
  <c r="AK294" i="2" a="1"/>
  <c r="AK294" i="2" s="1"/>
  <c r="AK293" i="2" a="1"/>
  <c r="AK293" i="2" s="1"/>
  <c r="AK292" i="2" a="1"/>
  <c r="AK292" i="2" s="1"/>
  <c r="AK291" i="2" a="1"/>
  <c r="AK291" i="2" s="1"/>
  <c r="AK290" i="2" a="1"/>
  <c r="AK290" i="2" s="1"/>
  <c r="AK289" i="2" a="1"/>
  <c r="AK289" i="2" s="1"/>
  <c r="AK288" i="2" a="1"/>
  <c r="AK288" i="2" s="1"/>
  <c r="AK287" i="2" a="1"/>
  <c r="AK287" i="2" s="1"/>
  <c r="AK286" i="2" a="1"/>
  <c r="AK286" i="2" s="1"/>
  <c r="AK285" i="2" a="1"/>
  <c r="AK285" i="2" s="1"/>
  <c r="AK284" i="2" a="1"/>
  <c r="AK284" i="2" s="1"/>
  <c r="AK283" i="2" a="1"/>
  <c r="AK283" i="2" s="1"/>
  <c r="AK282" i="2" a="1"/>
  <c r="AK282" i="2" s="1"/>
  <c r="AK281" i="2" a="1"/>
  <c r="AK281" i="2" s="1"/>
  <c r="AK280" i="2" a="1"/>
  <c r="AK280" i="2" s="1"/>
  <c r="AK279" i="2" a="1"/>
  <c r="AK279" i="2" s="1"/>
  <c r="AK278" i="2" a="1"/>
  <c r="AK278" i="2" s="1"/>
  <c r="AK277" i="2" a="1"/>
  <c r="AK277" i="2" s="1"/>
  <c r="AK276" i="2" a="1"/>
  <c r="AK276" i="2" s="1"/>
  <c r="AK275" i="2" a="1"/>
  <c r="AK275" i="2" s="1"/>
  <c r="AK274" i="2" a="1"/>
  <c r="AK274" i="2" s="1"/>
  <c r="AK273" i="2" a="1"/>
  <c r="AK273" i="2" s="1"/>
  <c r="AK272" i="2" a="1"/>
  <c r="AK272" i="2" s="1"/>
  <c r="AK271" i="2" a="1"/>
  <c r="AK271" i="2" s="1"/>
  <c r="AK270" i="2" a="1"/>
  <c r="AK270" i="2" s="1"/>
  <c r="AK269" i="2" a="1"/>
  <c r="AK269" i="2" s="1"/>
  <c r="AK268" i="2" a="1"/>
  <c r="AK268" i="2" s="1"/>
  <c r="AK267" i="2" a="1"/>
  <c r="AK267" i="2" s="1"/>
  <c r="AK266" i="2" a="1"/>
  <c r="AK266" i="2" s="1"/>
  <c r="AK265" i="2" a="1"/>
  <c r="AK265" i="2" s="1"/>
  <c r="AK264" i="2" a="1"/>
  <c r="AK264" i="2" s="1"/>
  <c r="AK263" i="2" a="1"/>
  <c r="AK263" i="2" s="1"/>
  <c r="AK262" i="2" a="1"/>
  <c r="AK262" i="2" s="1"/>
  <c r="AK261" i="2" a="1"/>
  <c r="AK261" i="2" s="1"/>
  <c r="AK260" i="2" a="1"/>
  <c r="AK260" i="2" s="1"/>
  <c r="AK259" i="2" a="1"/>
  <c r="AK259" i="2" s="1"/>
  <c r="AK258" i="2" a="1"/>
  <c r="AK258" i="2" s="1"/>
  <c r="AK257" i="2" a="1"/>
  <c r="AK257" i="2" s="1"/>
  <c r="AK256" i="2" a="1"/>
  <c r="AK256" i="2" s="1"/>
  <c r="AK255" i="2" a="1"/>
  <c r="AK255" i="2" s="1"/>
  <c r="AK254" i="2" a="1"/>
  <c r="AK254" i="2" s="1"/>
  <c r="AK253" i="2" a="1"/>
  <c r="AK253" i="2" s="1"/>
  <c r="AK252" i="2" a="1"/>
  <c r="AK252" i="2" s="1"/>
  <c r="AK251" i="2" a="1"/>
  <c r="AK251" i="2" s="1"/>
  <c r="AK250" i="2" a="1"/>
  <c r="AK250" i="2" s="1"/>
  <c r="AK249" i="2" a="1"/>
  <c r="AK249" i="2" s="1"/>
  <c r="AK248" i="2" a="1"/>
  <c r="AK248" i="2" s="1"/>
  <c r="AK247" i="2" a="1"/>
  <c r="AK247" i="2" s="1"/>
  <c r="AK246" i="2" a="1"/>
  <c r="AK246" i="2" s="1"/>
  <c r="AK245" i="2" a="1"/>
  <c r="AK245" i="2" s="1"/>
  <c r="AK244" i="2" a="1"/>
  <c r="AK244" i="2" s="1"/>
  <c r="AK243" i="2" a="1"/>
  <c r="AK243" i="2" s="1"/>
  <c r="AK242" i="2" a="1"/>
  <c r="AK242" i="2" s="1"/>
  <c r="AK241" i="2" a="1"/>
  <c r="AK241" i="2" s="1"/>
  <c r="AK240" i="2" a="1"/>
  <c r="AK240" i="2" s="1"/>
  <c r="AK239" i="2" a="1"/>
  <c r="AK239" i="2" s="1"/>
  <c r="AK238" i="2" a="1"/>
  <c r="AK238" i="2" s="1"/>
  <c r="AK237" i="2" a="1"/>
  <c r="AK237" i="2" s="1"/>
  <c r="AK236" i="2" a="1"/>
  <c r="AK236" i="2" s="1"/>
  <c r="AK235" i="2" a="1"/>
  <c r="AK235" i="2" s="1"/>
  <c r="AK234" i="2" a="1"/>
  <c r="AK234" i="2" s="1"/>
  <c r="AK233" i="2" a="1"/>
  <c r="AK233" i="2" s="1"/>
  <c r="AK232" i="2" a="1"/>
  <c r="AK232" i="2" s="1"/>
  <c r="AK231" i="2" a="1"/>
  <c r="AK231" i="2" s="1"/>
  <c r="AK230" i="2" a="1"/>
  <c r="AK230" i="2" s="1"/>
  <c r="AK229" i="2" a="1"/>
  <c r="AK229" i="2" s="1"/>
  <c r="AK228" i="2" a="1"/>
  <c r="AK228" i="2" s="1"/>
  <c r="AK227" i="2" a="1"/>
  <c r="AK227" i="2" s="1"/>
  <c r="AK226" i="2" a="1"/>
  <c r="AK226" i="2" s="1"/>
  <c r="AK225" i="2" a="1"/>
  <c r="AK225" i="2" s="1"/>
  <c r="AK224" i="2" a="1"/>
  <c r="AK224" i="2" s="1"/>
  <c r="AK223" i="2" a="1"/>
  <c r="AK223" i="2" s="1"/>
  <c r="AK222" i="2" a="1"/>
  <c r="AK222" i="2" s="1"/>
  <c r="AK221" i="2" a="1"/>
  <c r="AK221" i="2" s="1"/>
  <c r="AK220" i="2" a="1"/>
  <c r="AK220" i="2" s="1"/>
  <c r="AK219" i="2" a="1"/>
  <c r="AK219" i="2" s="1"/>
  <c r="AK218" i="2" a="1"/>
  <c r="AK218" i="2" s="1"/>
  <c r="AK217" i="2" a="1"/>
  <c r="AK217" i="2" s="1"/>
  <c r="AK216" i="2" a="1"/>
  <c r="AK216" i="2" s="1"/>
  <c r="AK215" i="2" a="1"/>
  <c r="AK215" i="2" s="1"/>
  <c r="AK214" i="2" a="1"/>
  <c r="AK214" i="2" s="1"/>
  <c r="AK213" i="2" a="1"/>
  <c r="AK213" i="2" s="1"/>
  <c r="AK212" i="2" a="1"/>
  <c r="AK212" i="2" s="1"/>
  <c r="AK211" i="2" a="1"/>
  <c r="AK211" i="2" s="1"/>
  <c r="AK210" i="2" a="1"/>
  <c r="AK210" i="2" s="1"/>
  <c r="AK209" i="2" a="1"/>
  <c r="AK209" i="2" s="1"/>
  <c r="AK208" i="2" a="1"/>
  <c r="AK208" i="2" s="1"/>
  <c r="AK207" i="2" a="1"/>
  <c r="AK207" i="2" s="1"/>
  <c r="AK206" i="2" a="1"/>
  <c r="AK206" i="2" s="1"/>
  <c r="AK205" i="2" a="1"/>
  <c r="AK205" i="2" s="1"/>
  <c r="AK204" i="2" a="1"/>
  <c r="AK204" i="2" s="1"/>
  <c r="AK203" i="2" a="1"/>
  <c r="AK203" i="2" s="1"/>
  <c r="AK202" i="2" a="1"/>
  <c r="AK202" i="2" s="1"/>
  <c r="AK201" i="2" a="1"/>
  <c r="AK201" i="2" s="1"/>
  <c r="AK200" i="2" a="1"/>
  <c r="AK200" i="2" s="1"/>
  <c r="AK199" i="2" a="1"/>
  <c r="AK199" i="2" s="1"/>
  <c r="AK198" i="2" a="1"/>
  <c r="AK198" i="2" s="1"/>
  <c r="AK197" i="2" a="1"/>
  <c r="AK197" i="2" s="1"/>
  <c r="AK196" i="2" a="1"/>
  <c r="AK196" i="2" s="1"/>
  <c r="AK195" i="2" a="1"/>
  <c r="AK195" i="2" s="1"/>
  <c r="AK194" i="2" a="1"/>
  <c r="AK194" i="2" s="1"/>
  <c r="AK193" i="2" a="1"/>
  <c r="AK193" i="2" s="1"/>
  <c r="AK192" i="2" a="1"/>
  <c r="AK192" i="2" s="1"/>
  <c r="AK191" i="2" a="1"/>
  <c r="AK191" i="2" s="1"/>
  <c r="AK190" i="2" a="1"/>
  <c r="AK190" i="2" s="1"/>
  <c r="AK189" i="2" a="1"/>
  <c r="AK189" i="2" s="1"/>
  <c r="AK188" i="2" a="1"/>
  <c r="AK188" i="2" s="1"/>
  <c r="AK187" i="2" a="1"/>
  <c r="AK187" i="2" s="1"/>
  <c r="AK186" i="2" a="1"/>
  <c r="AK186" i="2" s="1"/>
  <c r="AK185" i="2" a="1"/>
  <c r="AK185" i="2" s="1"/>
  <c r="AK184" i="2" a="1"/>
  <c r="AK184" i="2" s="1"/>
  <c r="AK183" i="2" a="1"/>
  <c r="AK183" i="2" s="1"/>
  <c r="AK182" i="2" a="1"/>
  <c r="AK182" i="2" s="1"/>
  <c r="AK181" i="2" a="1"/>
  <c r="AK181" i="2" s="1"/>
  <c r="AK180" i="2" a="1"/>
  <c r="AK180" i="2" s="1"/>
  <c r="AK179" i="2" a="1"/>
  <c r="AK179" i="2" s="1"/>
  <c r="AK178" i="2" a="1"/>
  <c r="AK178" i="2" s="1"/>
  <c r="AK177" i="2" a="1"/>
  <c r="AK177" i="2" s="1"/>
  <c r="AK176" i="2" a="1"/>
  <c r="AK176" i="2" s="1"/>
  <c r="AK175" i="2" a="1"/>
  <c r="AK175" i="2" s="1"/>
  <c r="AK174" i="2" a="1"/>
  <c r="AK174" i="2" s="1"/>
  <c r="AK173" i="2" a="1"/>
  <c r="AK173" i="2" s="1"/>
  <c r="AK172" i="2" a="1"/>
  <c r="AK172" i="2" s="1"/>
  <c r="AK171" i="2" a="1"/>
  <c r="AK171" i="2" s="1"/>
  <c r="AK170" i="2" a="1"/>
  <c r="AK170" i="2" s="1"/>
  <c r="AK169" i="2" a="1"/>
  <c r="AK169" i="2" s="1"/>
  <c r="AK168" i="2" a="1"/>
  <c r="AK168" i="2" s="1"/>
  <c r="AK167" i="2" a="1"/>
  <c r="AK167" i="2" s="1"/>
  <c r="AK166" i="2" a="1"/>
  <c r="AK166" i="2" s="1"/>
  <c r="AK165" i="2" a="1"/>
  <c r="AK165" i="2" s="1"/>
  <c r="AK164" i="2" a="1"/>
  <c r="AK164" i="2" s="1"/>
  <c r="AK163" i="2" a="1"/>
  <c r="AK163" i="2" s="1"/>
  <c r="AK162" i="2" a="1"/>
  <c r="AK162" i="2" s="1"/>
  <c r="AK161" i="2" a="1"/>
  <c r="AK161" i="2" s="1"/>
  <c r="AK160" i="2" a="1"/>
  <c r="AK160" i="2" s="1"/>
  <c r="AK159" i="2" a="1"/>
  <c r="AK159" i="2" s="1"/>
  <c r="AK158" i="2" a="1"/>
  <c r="AK158" i="2" s="1"/>
  <c r="AK157" i="2" a="1"/>
  <c r="AK157" i="2" s="1"/>
  <c r="AK156" i="2" a="1"/>
  <c r="AK156" i="2" s="1"/>
  <c r="AK155" i="2" a="1"/>
  <c r="AK155" i="2" s="1"/>
  <c r="AK154" i="2" a="1"/>
  <c r="AK154" i="2" s="1"/>
  <c r="AK153" i="2" a="1"/>
  <c r="AK153" i="2" s="1"/>
  <c r="AK152" i="2" a="1"/>
  <c r="AK152" i="2" s="1"/>
  <c r="AK151" i="2" a="1"/>
  <c r="AK151" i="2" s="1"/>
  <c r="AK150" i="2" a="1"/>
  <c r="AK150" i="2" s="1"/>
  <c r="AK149" i="2" a="1"/>
  <c r="AK149" i="2" s="1"/>
  <c r="AK148" i="2" a="1"/>
  <c r="AK148" i="2" s="1"/>
  <c r="AK147" i="2" a="1"/>
  <c r="AK147" i="2" s="1"/>
  <c r="AK146" i="2" a="1"/>
  <c r="AK146" i="2" s="1"/>
  <c r="AK145" i="2" a="1"/>
  <c r="AK145" i="2" s="1"/>
  <c r="AK144" i="2" a="1"/>
  <c r="AK144" i="2" s="1"/>
  <c r="AK143" i="2" a="1"/>
  <c r="AK143" i="2" s="1"/>
  <c r="AK142" i="2" a="1"/>
  <c r="AK142" i="2" s="1"/>
  <c r="AK141" i="2" a="1"/>
  <c r="AK141" i="2" s="1"/>
  <c r="AK140" i="2" a="1"/>
  <c r="AK140" i="2" s="1"/>
  <c r="AK139" i="2" a="1"/>
  <c r="AK139" i="2" s="1"/>
  <c r="AK138" i="2" a="1"/>
  <c r="AK138" i="2" s="1"/>
  <c r="AK137" i="2" a="1"/>
  <c r="AK137" i="2" s="1"/>
  <c r="AK136" i="2" a="1"/>
  <c r="AK136" i="2" s="1"/>
  <c r="AK135" i="2" a="1"/>
  <c r="AK135" i="2" s="1"/>
  <c r="AK134" i="2" a="1"/>
  <c r="AK134" i="2" s="1"/>
  <c r="AK133" i="2" a="1"/>
  <c r="AK133" i="2" s="1"/>
  <c r="AK132" i="2" a="1"/>
  <c r="AK132" i="2" s="1"/>
  <c r="AK131" i="2" a="1"/>
  <c r="AK131" i="2" s="1"/>
  <c r="AK130" i="2" a="1"/>
  <c r="AK130" i="2" s="1"/>
  <c r="AK129" i="2" a="1"/>
  <c r="AK129" i="2" s="1"/>
  <c r="AK128" i="2" a="1"/>
  <c r="AK128" i="2" s="1"/>
  <c r="AK127" i="2" a="1"/>
  <c r="AK127" i="2" s="1"/>
  <c r="AK126" i="2" a="1"/>
  <c r="AK126" i="2" s="1"/>
  <c r="AK125" i="2" a="1"/>
  <c r="AK125" i="2" s="1"/>
  <c r="AK124" i="2" a="1"/>
  <c r="AK124" i="2" s="1"/>
  <c r="AK123" i="2" a="1"/>
  <c r="AK123" i="2" s="1"/>
  <c r="AK122" i="2" a="1"/>
  <c r="AK122" i="2" s="1"/>
  <c r="AK121" i="2" a="1"/>
  <c r="AK121" i="2" s="1"/>
  <c r="AK120" i="2" a="1"/>
  <c r="AK120" i="2" s="1"/>
  <c r="AK119" i="2" a="1"/>
  <c r="AK119" i="2" s="1"/>
  <c r="AK118" i="2" a="1"/>
  <c r="AK118" i="2" s="1"/>
  <c r="AK117" i="2" a="1"/>
  <c r="AK117" i="2" s="1"/>
  <c r="AK116" i="2" a="1"/>
  <c r="AK116" i="2" s="1"/>
  <c r="AK115" i="2" a="1"/>
  <c r="AK115" i="2" s="1"/>
  <c r="AK114" i="2" a="1"/>
  <c r="AK114" i="2" s="1"/>
  <c r="AK113" i="2" a="1"/>
  <c r="AK113" i="2" s="1"/>
  <c r="AK112" i="2" a="1"/>
  <c r="AK112" i="2" s="1"/>
  <c r="AK111" i="2" a="1"/>
  <c r="AK111" i="2" s="1"/>
  <c r="AK110" i="2" a="1"/>
  <c r="AK110" i="2" s="1"/>
  <c r="AK109" i="2" a="1"/>
  <c r="AK109" i="2" s="1"/>
  <c r="AK108" i="2" a="1"/>
  <c r="AK108" i="2" s="1"/>
  <c r="AK107" i="2" a="1"/>
  <c r="AK107" i="2" s="1"/>
  <c r="AK106" i="2" a="1"/>
  <c r="AK106" i="2" s="1"/>
  <c r="AK105" i="2" a="1"/>
  <c r="AK105" i="2" s="1"/>
  <c r="AK104" i="2" a="1"/>
  <c r="AK104" i="2" s="1"/>
  <c r="AK103" i="2" a="1"/>
  <c r="AK103" i="2" s="1"/>
  <c r="AK102" i="2" a="1"/>
  <c r="AK102" i="2" s="1"/>
  <c r="AK101" i="2" a="1"/>
  <c r="AK101" i="2" s="1"/>
  <c r="AK100" i="2" a="1"/>
  <c r="AK100" i="2" s="1"/>
  <c r="AK99" i="2" a="1"/>
  <c r="AK99" i="2" s="1"/>
  <c r="AK98" i="2" a="1"/>
  <c r="AK98" i="2" s="1"/>
  <c r="AK97" i="2" a="1"/>
  <c r="AK97" i="2" s="1"/>
  <c r="AK96" i="2" a="1"/>
  <c r="AK96" i="2" s="1"/>
  <c r="AK95" i="2" a="1"/>
  <c r="AK95" i="2" s="1"/>
  <c r="AK94" i="2" a="1"/>
  <c r="AK94" i="2" s="1"/>
  <c r="AK93" i="2" a="1"/>
  <c r="AK93" i="2" s="1"/>
  <c r="AK92" i="2" a="1"/>
  <c r="AK92" i="2" s="1"/>
  <c r="AK91" i="2" a="1"/>
  <c r="AK91" i="2" s="1"/>
  <c r="AK90" i="2" a="1"/>
  <c r="AK90" i="2" s="1"/>
  <c r="AK89" i="2" a="1"/>
  <c r="AK89" i="2" s="1"/>
  <c r="AK88" i="2" a="1"/>
  <c r="AK88" i="2" s="1"/>
  <c r="AK87" i="2" a="1"/>
  <c r="AK87" i="2" s="1"/>
  <c r="AK86" i="2" a="1"/>
  <c r="AK86" i="2" s="1"/>
  <c r="AK85" i="2" a="1"/>
  <c r="AK85" i="2" s="1"/>
  <c r="AK84" i="2" a="1"/>
  <c r="AK84" i="2" s="1"/>
  <c r="AK83" i="2" a="1"/>
  <c r="AK83" i="2" s="1"/>
  <c r="AK82" i="2" a="1"/>
  <c r="AK82" i="2" s="1"/>
  <c r="AK81" i="2" a="1"/>
  <c r="AK81" i="2" s="1"/>
  <c r="AK80" i="2" a="1"/>
  <c r="AK80" i="2" s="1"/>
  <c r="AK79" i="2" a="1"/>
  <c r="AK79" i="2" s="1"/>
  <c r="AK78" i="2" a="1"/>
  <c r="AK78" i="2" s="1"/>
  <c r="AK77" i="2" a="1"/>
  <c r="AK77" i="2" s="1"/>
  <c r="AK76" i="2" a="1"/>
  <c r="AK76" i="2" s="1"/>
  <c r="AK75" i="2" a="1"/>
  <c r="AK75" i="2" s="1"/>
  <c r="AK74" i="2" a="1"/>
  <c r="AK74" i="2" s="1"/>
  <c r="AK73" i="2" a="1"/>
  <c r="AK73" i="2" s="1"/>
  <c r="AK72" i="2" a="1"/>
  <c r="AK72" i="2" s="1"/>
  <c r="AK71" i="2" a="1"/>
  <c r="AK71" i="2" s="1"/>
  <c r="AK70" i="2" a="1"/>
  <c r="AK70" i="2" s="1"/>
  <c r="AK69" i="2" a="1"/>
  <c r="AK69" i="2" s="1"/>
  <c r="AK68" i="2" a="1"/>
  <c r="AK68" i="2" s="1"/>
  <c r="AK67" i="2" a="1"/>
  <c r="AK67" i="2" s="1"/>
  <c r="AK66" i="2" a="1"/>
  <c r="AK66" i="2" s="1"/>
  <c r="AK65" i="2" a="1"/>
  <c r="AK65" i="2" s="1"/>
  <c r="AK64" i="2" a="1"/>
  <c r="AK64" i="2" s="1"/>
  <c r="AK63" i="2" a="1"/>
  <c r="AK63" i="2" s="1"/>
  <c r="AK62" i="2" a="1"/>
  <c r="AK62" i="2" s="1"/>
  <c r="AK61" i="2" a="1"/>
  <c r="AK61" i="2" s="1"/>
  <c r="AK60" i="2" a="1"/>
  <c r="AK60" i="2" s="1"/>
  <c r="AK59" i="2" a="1"/>
  <c r="AK59" i="2" s="1"/>
  <c r="AK58" i="2" a="1"/>
  <c r="AK58" i="2" s="1"/>
  <c r="AK57" i="2" a="1"/>
  <c r="AK57" i="2" s="1"/>
  <c r="AK56" i="2" a="1"/>
  <c r="AK56" i="2" s="1"/>
  <c r="AK55" i="2" a="1"/>
  <c r="AK55" i="2" s="1"/>
  <c r="AK54" i="2" a="1"/>
  <c r="AK54" i="2" s="1"/>
  <c r="AK53" i="2" a="1"/>
  <c r="AK53" i="2" s="1"/>
  <c r="AK52" i="2" a="1"/>
  <c r="AK52" i="2" s="1"/>
  <c r="AK51" i="2" a="1"/>
  <c r="AK51" i="2" s="1"/>
  <c r="AK50" i="2" a="1"/>
  <c r="AK50" i="2" s="1"/>
  <c r="AK49" i="2" a="1"/>
  <c r="AK49" i="2" s="1"/>
  <c r="AK48" i="2" a="1"/>
  <c r="AK48" i="2" s="1"/>
  <c r="AK47" i="2" a="1"/>
  <c r="AK47" i="2" s="1"/>
  <c r="AK46" i="2" a="1"/>
  <c r="AK46" i="2" s="1"/>
  <c r="AK45" i="2" a="1"/>
  <c r="AK45" i="2" s="1"/>
  <c r="AK44" i="2" a="1"/>
  <c r="AK44" i="2" s="1"/>
  <c r="AK43" i="2" a="1"/>
  <c r="AK43" i="2" s="1"/>
  <c r="AK42" i="2" a="1"/>
  <c r="AK42" i="2" s="1"/>
  <c r="AK41" i="2" a="1"/>
  <c r="AK41" i="2" s="1"/>
  <c r="AK40" i="2" a="1"/>
  <c r="AK40" i="2" s="1"/>
  <c r="AK39" i="2" a="1"/>
  <c r="AK39" i="2" s="1"/>
  <c r="AK38" i="2" a="1"/>
  <c r="AK38" i="2" s="1"/>
  <c r="AK37" i="2" a="1"/>
  <c r="AK37" i="2" s="1"/>
  <c r="AK36" i="2" a="1"/>
  <c r="AK36" i="2" s="1"/>
  <c r="AK35" i="2" a="1"/>
  <c r="AK35" i="2" s="1"/>
  <c r="AK34" i="2" a="1"/>
  <c r="AK34" i="2" s="1"/>
  <c r="AK33" i="2" a="1"/>
  <c r="AK33" i="2" s="1"/>
  <c r="AK32" i="2" a="1"/>
  <c r="AK32" i="2" s="1"/>
  <c r="AK31" i="2" a="1"/>
  <c r="AK31" i="2" s="1"/>
  <c r="AK30" i="2" a="1"/>
  <c r="AK30" i="2" s="1"/>
  <c r="AK29" i="2" a="1"/>
  <c r="AK29" i="2" s="1"/>
  <c r="AK28" i="2" a="1"/>
  <c r="AK28" i="2" s="1"/>
  <c r="AK27" i="2" a="1"/>
  <c r="AK27" i="2" s="1"/>
  <c r="AK26" i="2" a="1"/>
  <c r="AK26" i="2" s="1"/>
  <c r="AK25" i="2" a="1"/>
  <c r="AK25" i="2" s="1"/>
  <c r="AK24" i="2" a="1"/>
  <c r="AK24" i="2" s="1"/>
  <c r="AK23" i="2" a="1"/>
  <c r="AK23" i="2" s="1"/>
  <c r="AK22" i="2" a="1"/>
  <c r="AK22" i="2" s="1"/>
  <c r="AK21" i="2" a="1"/>
  <c r="AK21" i="2" s="1"/>
  <c r="AK20" i="2" a="1"/>
  <c r="AK20" i="2" s="1"/>
  <c r="AK19" i="2" a="1"/>
  <c r="AK19" i="2" s="1"/>
  <c r="AK18" i="2" a="1"/>
  <c r="AK18" i="2" s="1"/>
  <c r="AK17" i="2" a="1"/>
  <c r="AK17" i="2" s="1"/>
  <c r="AK16" i="2" a="1"/>
  <c r="AK16" i="2" s="1"/>
  <c r="AK15" i="2" a="1"/>
  <c r="AK15" i="2" s="1"/>
  <c r="AK14" i="2" a="1"/>
  <c r="AK14" i="2" s="1"/>
  <c r="AK13" i="2" a="1"/>
  <c r="AK13" i="2" s="1"/>
  <c r="AK12" i="2" a="1"/>
  <c r="AK12" i="2" s="1"/>
  <c r="AK11" i="2" a="1"/>
  <c r="AK11" i="2" s="1"/>
  <c r="AK10" i="2" a="1"/>
  <c r="AK10" i="2" s="1"/>
  <c r="AK9" i="2" a="1"/>
  <c r="AK9" i="2" s="1"/>
  <c r="AK8" i="2" a="1"/>
  <c r="AK8" i="2" s="1"/>
  <c r="AK7" i="2" a="1"/>
  <c r="AK7" i="2" s="1"/>
  <c r="AK6" i="2" a="1"/>
  <c r="AK6" i="2" s="1"/>
  <c r="AK5" i="2" a="1"/>
  <c r="AK5" i="2" s="1"/>
  <c r="AK4" i="2" a="1"/>
  <c r="AK4" i="2" s="1"/>
  <c r="AK3" i="2" a="1"/>
  <c r="AK3" i="2" s="1"/>
  <c r="B22" i="3"/>
  <c r="AJ2" i="2"/>
  <c r="AJ3" i="2"/>
  <c r="AJ4" i="2"/>
  <c r="AJ5" i="2"/>
  <c r="AJ6" i="2"/>
  <c r="AJ7" i="2"/>
  <c r="AJ8" i="2"/>
  <c r="AJ9" i="2"/>
  <c r="AJ10" i="2"/>
  <c r="AJ11" i="2"/>
  <c r="AJ12" i="2"/>
  <c r="AJ13" i="2"/>
  <c r="AJ14" i="2"/>
  <c r="AJ15" i="2"/>
  <c r="AJ16" i="2"/>
  <c r="AJ17" i="2"/>
  <c r="AJ18" i="2"/>
  <c r="AJ19" i="2"/>
  <c r="AJ20" i="2"/>
  <c r="AJ21" i="2"/>
  <c r="AJ22" i="2"/>
  <c r="AJ23" i="2"/>
  <c r="AJ24" i="2"/>
  <c r="AJ25" i="2"/>
  <c r="AJ26" i="2"/>
  <c r="AJ27" i="2"/>
  <c r="AJ28" i="2"/>
  <c r="AJ29" i="2"/>
  <c r="AJ30" i="2"/>
  <c r="AJ31" i="2"/>
  <c r="AJ32" i="2"/>
  <c r="AJ33" i="2"/>
  <c r="AJ34" i="2"/>
  <c r="AJ35" i="2"/>
  <c r="AJ36" i="2"/>
  <c r="AJ37" i="2"/>
  <c r="AJ38" i="2"/>
  <c r="AJ39" i="2"/>
  <c r="AJ40" i="2"/>
  <c r="AJ41" i="2"/>
  <c r="AJ42" i="2"/>
  <c r="AJ43" i="2"/>
  <c r="AJ44" i="2"/>
  <c r="AJ45" i="2"/>
  <c r="AJ46" i="2"/>
  <c r="AJ47" i="2"/>
  <c r="AJ48" i="2"/>
  <c r="AJ49" i="2"/>
  <c r="AJ50" i="2"/>
  <c r="AJ51" i="2"/>
  <c r="AJ52" i="2"/>
  <c r="AJ53" i="2"/>
  <c r="AJ54" i="2"/>
  <c r="AJ55" i="2"/>
  <c r="AJ56" i="2"/>
  <c r="AJ57" i="2"/>
  <c r="AJ58" i="2"/>
  <c r="AJ59" i="2"/>
  <c r="AJ60" i="2"/>
  <c r="AJ61" i="2"/>
  <c r="AJ62" i="2"/>
  <c r="AJ63" i="2"/>
  <c r="AJ64" i="2"/>
  <c r="AJ65" i="2"/>
  <c r="AJ66" i="2"/>
  <c r="AJ67" i="2"/>
  <c r="AJ68" i="2"/>
  <c r="AJ69" i="2"/>
  <c r="AJ70" i="2"/>
  <c r="AJ71" i="2"/>
  <c r="AJ72" i="2"/>
  <c r="AJ73" i="2"/>
  <c r="AJ74" i="2"/>
  <c r="AJ75" i="2"/>
  <c r="AJ76" i="2"/>
  <c r="AJ77" i="2"/>
  <c r="AJ78" i="2"/>
  <c r="AJ79" i="2"/>
  <c r="AJ80" i="2"/>
  <c r="AJ81" i="2"/>
  <c r="AJ82" i="2"/>
  <c r="AJ83" i="2"/>
  <c r="AJ84" i="2"/>
  <c r="AJ85" i="2"/>
  <c r="AJ86" i="2"/>
  <c r="AJ87" i="2"/>
  <c r="AJ88" i="2"/>
  <c r="AJ89" i="2"/>
  <c r="AJ90" i="2"/>
  <c r="AJ91" i="2"/>
  <c r="AJ92" i="2"/>
  <c r="AJ93" i="2"/>
  <c r="AJ94" i="2"/>
  <c r="AJ95" i="2"/>
  <c r="AJ96" i="2"/>
  <c r="AJ97" i="2"/>
  <c r="AJ98" i="2"/>
  <c r="AJ99" i="2"/>
  <c r="AJ100" i="2"/>
  <c r="AJ101" i="2"/>
  <c r="AJ102" i="2"/>
  <c r="AJ103" i="2"/>
  <c r="AJ104" i="2"/>
  <c r="AJ105" i="2"/>
  <c r="AJ106" i="2"/>
  <c r="AJ107" i="2"/>
  <c r="AJ108" i="2"/>
  <c r="AJ109" i="2"/>
  <c r="AJ110" i="2"/>
  <c r="AJ111" i="2"/>
  <c r="AJ112" i="2"/>
  <c r="AJ113" i="2"/>
  <c r="AJ114" i="2"/>
  <c r="AJ115" i="2"/>
  <c r="AJ116" i="2"/>
  <c r="AJ117" i="2"/>
  <c r="AJ118" i="2"/>
  <c r="AJ119" i="2"/>
  <c r="AJ120" i="2"/>
  <c r="AJ121" i="2"/>
  <c r="AJ122" i="2"/>
  <c r="AJ123" i="2"/>
  <c r="AJ124" i="2"/>
  <c r="AJ125" i="2"/>
  <c r="AJ126" i="2"/>
  <c r="AJ127" i="2"/>
  <c r="AJ128" i="2"/>
  <c r="AJ129" i="2"/>
  <c r="AJ130" i="2"/>
  <c r="AJ131" i="2"/>
  <c r="AJ132" i="2"/>
  <c r="AJ133" i="2"/>
  <c r="AJ134" i="2"/>
  <c r="AJ135" i="2"/>
  <c r="AJ136" i="2"/>
  <c r="AJ137" i="2"/>
  <c r="AJ138" i="2"/>
  <c r="AJ139" i="2"/>
  <c r="AJ140" i="2"/>
  <c r="AJ141" i="2"/>
  <c r="AJ142" i="2"/>
  <c r="AJ143" i="2"/>
  <c r="AJ144" i="2"/>
  <c r="AJ145" i="2"/>
  <c r="AJ146" i="2"/>
  <c r="AJ147" i="2"/>
  <c r="AJ148" i="2"/>
  <c r="AJ149" i="2"/>
  <c r="AJ150" i="2"/>
  <c r="AJ151" i="2"/>
  <c r="AJ152" i="2"/>
  <c r="AJ153" i="2"/>
  <c r="AJ154" i="2"/>
  <c r="AJ155" i="2"/>
  <c r="AJ156" i="2"/>
  <c r="AJ157" i="2"/>
  <c r="AJ158" i="2"/>
  <c r="AJ159" i="2"/>
  <c r="AJ160" i="2"/>
  <c r="AJ161" i="2"/>
  <c r="AJ162" i="2"/>
  <c r="AJ163" i="2"/>
  <c r="AJ164" i="2"/>
  <c r="AJ165" i="2"/>
  <c r="AJ166" i="2"/>
  <c r="AJ167" i="2"/>
  <c r="AJ168" i="2"/>
  <c r="AJ169" i="2"/>
  <c r="AJ170" i="2"/>
  <c r="AJ171" i="2"/>
  <c r="AJ172" i="2"/>
  <c r="AJ173" i="2"/>
  <c r="AJ174" i="2"/>
  <c r="AJ175" i="2"/>
  <c r="AJ176" i="2"/>
  <c r="AJ177" i="2"/>
  <c r="AJ178" i="2"/>
  <c r="AJ179" i="2"/>
  <c r="AJ180" i="2"/>
  <c r="AJ181" i="2"/>
  <c r="AJ182" i="2"/>
  <c r="AJ183" i="2"/>
  <c r="AJ184" i="2"/>
  <c r="AJ185" i="2"/>
  <c r="AJ186" i="2"/>
  <c r="AJ187" i="2"/>
  <c r="AJ188" i="2"/>
  <c r="AJ189" i="2"/>
  <c r="AJ190" i="2"/>
  <c r="AJ191" i="2"/>
  <c r="AJ192" i="2"/>
  <c r="AJ193" i="2"/>
  <c r="AJ194" i="2"/>
  <c r="AJ195" i="2"/>
  <c r="AJ196" i="2"/>
  <c r="AJ197" i="2"/>
  <c r="AJ198" i="2"/>
  <c r="AJ199" i="2"/>
  <c r="AJ200" i="2"/>
  <c r="AJ201" i="2"/>
  <c r="AJ202" i="2"/>
  <c r="AJ203" i="2"/>
  <c r="AJ204" i="2"/>
  <c r="AJ205" i="2"/>
  <c r="AJ206" i="2"/>
  <c r="AJ207" i="2"/>
  <c r="AJ208" i="2"/>
  <c r="AJ209" i="2"/>
  <c r="AJ210" i="2"/>
  <c r="AJ211" i="2"/>
  <c r="AJ212" i="2"/>
  <c r="AJ213" i="2"/>
  <c r="AJ214" i="2"/>
  <c r="AJ215" i="2"/>
  <c r="AJ216" i="2"/>
  <c r="AJ217" i="2"/>
  <c r="AJ218" i="2"/>
  <c r="AJ219" i="2"/>
  <c r="AJ220" i="2"/>
  <c r="AJ221" i="2"/>
  <c r="AJ222" i="2"/>
  <c r="AJ223" i="2"/>
  <c r="AJ224" i="2"/>
  <c r="AJ225" i="2"/>
  <c r="AJ226" i="2"/>
  <c r="AJ227" i="2"/>
  <c r="AJ228" i="2"/>
  <c r="AJ229" i="2"/>
  <c r="AJ230" i="2"/>
  <c r="AJ231" i="2"/>
  <c r="AJ232" i="2"/>
  <c r="AJ233" i="2"/>
  <c r="AJ234" i="2"/>
  <c r="AJ235" i="2"/>
  <c r="AJ236" i="2"/>
  <c r="AJ237" i="2"/>
  <c r="AJ238" i="2"/>
  <c r="AJ239" i="2"/>
  <c r="AJ240" i="2"/>
  <c r="AJ241" i="2"/>
  <c r="AJ242" i="2"/>
  <c r="AJ243" i="2"/>
  <c r="AJ244" i="2"/>
  <c r="AJ245" i="2"/>
  <c r="AJ246" i="2"/>
  <c r="AJ247" i="2"/>
  <c r="AJ248" i="2"/>
  <c r="AJ249" i="2"/>
  <c r="AJ250" i="2"/>
  <c r="AJ251" i="2"/>
  <c r="AJ252" i="2"/>
  <c r="AJ253" i="2"/>
  <c r="AJ254" i="2"/>
  <c r="AJ255" i="2"/>
  <c r="AJ256" i="2"/>
  <c r="AJ257" i="2"/>
  <c r="AJ258" i="2"/>
  <c r="AJ259" i="2"/>
  <c r="AJ260" i="2"/>
  <c r="AJ261" i="2"/>
  <c r="AJ262" i="2"/>
  <c r="AJ263" i="2"/>
  <c r="AJ264" i="2"/>
  <c r="AJ265" i="2"/>
  <c r="AJ266" i="2"/>
  <c r="AJ267" i="2"/>
  <c r="AJ268" i="2"/>
  <c r="AJ269" i="2"/>
  <c r="AJ270" i="2"/>
  <c r="AJ271" i="2"/>
  <c r="AJ272" i="2"/>
  <c r="AJ273" i="2"/>
  <c r="AJ274" i="2"/>
  <c r="AJ275" i="2"/>
  <c r="AJ276" i="2"/>
  <c r="AJ277" i="2"/>
  <c r="AJ278" i="2"/>
  <c r="AJ279" i="2"/>
  <c r="AJ280" i="2"/>
  <c r="AJ281" i="2"/>
  <c r="AJ282" i="2"/>
  <c r="AJ283" i="2"/>
  <c r="AJ284" i="2"/>
  <c r="AJ285" i="2"/>
  <c r="AJ286" i="2"/>
  <c r="AJ287" i="2"/>
  <c r="AJ288" i="2"/>
  <c r="AJ289" i="2"/>
  <c r="AJ290" i="2"/>
  <c r="AJ291" i="2"/>
  <c r="AJ292" i="2"/>
  <c r="AJ293" i="2"/>
  <c r="AJ294" i="2"/>
  <c r="AJ295" i="2"/>
  <c r="AJ296" i="2"/>
  <c r="AJ297" i="2"/>
  <c r="AJ298" i="2"/>
  <c r="AJ299" i="2"/>
  <c r="AJ300" i="2"/>
  <c r="AJ301" i="2"/>
  <c r="AJ302" i="2"/>
  <c r="AJ303" i="2"/>
  <c r="AJ304" i="2"/>
  <c r="AJ305" i="2"/>
  <c r="AJ306" i="2"/>
  <c r="AJ307" i="2"/>
  <c r="AJ308" i="2"/>
  <c r="AJ309" i="2"/>
  <c r="AJ310" i="2"/>
  <c r="AJ311" i="2"/>
  <c r="AJ312" i="2"/>
  <c r="AJ313" i="2"/>
  <c r="AJ314" i="2"/>
  <c r="AJ315" i="2"/>
  <c r="AJ316" i="2"/>
  <c r="AJ317" i="2"/>
  <c r="AJ318" i="2"/>
  <c r="AJ319" i="2"/>
  <c r="AJ320" i="2"/>
  <c r="AJ321" i="2"/>
  <c r="AJ322" i="2"/>
  <c r="AJ323" i="2"/>
  <c r="AJ324" i="2"/>
  <c r="AJ325" i="2"/>
  <c r="AJ326" i="2"/>
  <c r="AJ327" i="2"/>
  <c r="AJ328" i="2"/>
  <c r="AJ329" i="2"/>
  <c r="AJ330" i="2"/>
  <c r="AJ331" i="2"/>
  <c r="AJ332" i="2"/>
  <c r="AJ333" i="2"/>
  <c r="AJ334" i="2"/>
  <c r="AJ335" i="2"/>
  <c r="AJ336" i="2"/>
  <c r="AJ337" i="2"/>
  <c r="AJ338" i="2"/>
  <c r="AJ339" i="2"/>
  <c r="AJ340" i="2"/>
  <c r="AJ341" i="2"/>
  <c r="AJ342" i="2"/>
  <c r="AJ343" i="2"/>
  <c r="AJ344" i="2"/>
  <c r="AJ345" i="2"/>
  <c r="AJ346" i="2"/>
  <c r="AJ347" i="2"/>
  <c r="AJ348" i="2"/>
  <c r="AJ349" i="2"/>
  <c r="AJ350" i="2"/>
  <c r="AJ351" i="2"/>
  <c r="AJ352" i="2"/>
  <c r="AJ353" i="2"/>
  <c r="AJ354" i="2"/>
  <c r="AJ355" i="2"/>
  <c r="AJ356" i="2"/>
  <c r="AJ357" i="2"/>
  <c r="AJ358" i="2"/>
  <c r="AJ359" i="2"/>
  <c r="AJ360" i="2"/>
  <c r="AJ361" i="2"/>
  <c r="AJ362" i="2"/>
  <c r="AJ363" i="2"/>
  <c r="AJ364" i="2"/>
  <c r="AJ365" i="2"/>
  <c r="AJ366" i="2"/>
  <c r="AJ367" i="2"/>
  <c r="AJ368" i="2"/>
  <c r="AJ369" i="2"/>
  <c r="AJ370" i="2"/>
  <c r="AJ371" i="2"/>
  <c r="AJ372" i="2"/>
  <c r="AJ373" i="2"/>
  <c r="AJ374" i="2"/>
  <c r="AJ375" i="2"/>
  <c r="AJ376" i="2"/>
  <c r="AJ377" i="2"/>
  <c r="AJ378" i="2"/>
  <c r="AJ379" i="2"/>
  <c r="AJ380" i="2"/>
  <c r="AJ381" i="2"/>
  <c r="AJ382" i="2"/>
  <c r="AJ383" i="2"/>
  <c r="AJ384" i="2"/>
  <c r="AJ385" i="2"/>
  <c r="AJ386" i="2"/>
  <c r="AJ387" i="2"/>
  <c r="AJ388" i="2"/>
  <c r="AJ389" i="2"/>
  <c r="AJ390" i="2"/>
  <c r="AJ391" i="2"/>
  <c r="AJ392" i="2"/>
  <c r="AJ393" i="2"/>
  <c r="AJ394" i="2"/>
  <c r="AJ395" i="2"/>
  <c r="AJ396" i="2"/>
  <c r="AJ397" i="2"/>
  <c r="AJ398" i="2"/>
  <c r="AJ399" i="2"/>
  <c r="AJ400" i="2"/>
  <c r="AJ401" i="2"/>
  <c r="AJ402" i="2"/>
  <c r="AJ403" i="2"/>
  <c r="AJ404" i="2"/>
  <c r="AJ405" i="2"/>
  <c r="AJ406" i="2"/>
  <c r="AJ407" i="2"/>
  <c r="AJ408" i="2"/>
  <c r="AJ409" i="2"/>
  <c r="AJ410" i="2"/>
  <c r="AJ411" i="2"/>
  <c r="AJ412" i="2"/>
  <c r="AJ413" i="2"/>
  <c r="AJ414" i="2"/>
  <c r="AJ415" i="2"/>
  <c r="AJ416" i="2"/>
  <c r="AJ417" i="2"/>
  <c r="AJ418" i="2"/>
  <c r="AJ419" i="2"/>
  <c r="AJ420" i="2"/>
  <c r="AJ421" i="2"/>
  <c r="AJ422" i="2"/>
  <c r="AJ423" i="2"/>
  <c r="AJ424" i="2"/>
  <c r="AJ425" i="2"/>
  <c r="AJ426" i="2"/>
  <c r="AJ427" i="2"/>
  <c r="AJ428" i="2"/>
  <c r="AJ429" i="2"/>
  <c r="AJ430" i="2"/>
  <c r="AJ431" i="2"/>
  <c r="AJ432" i="2"/>
  <c r="AJ433" i="2"/>
  <c r="AJ434" i="2"/>
  <c r="AJ435" i="2"/>
  <c r="AJ436" i="2"/>
  <c r="AJ437" i="2"/>
  <c r="AJ438" i="2"/>
  <c r="AJ439" i="2"/>
  <c r="AJ440" i="2"/>
  <c r="AJ441" i="2"/>
  <c r="AJ442" i="2"/>
  <c r="AJ443" i="2"/>
  <c r="AJ444" i="2"/>
  <c r="AJ445" i="2"/>
  <c r="AJ446" i="2"/>
  <c r="AJ447" i="2"/>
  <c r="AJ448" i="2"/>
  <c r="AJ449" i="2"/>
  <c r="AJ450" i="2"/>
  <c r="AJ451" i="2"/>
  <c r="AJ452" i="2"/>
  <c r="AJ453" i="2"/>
  <c r="AJ454" i="2"/>
  <c r="AJ455" i="2"/>
  <c r="AJ456" i="2"/>
  <c r="AJ457" i="2"/>
  <c r="AJ458" i="2"/>
  <c r="AJ459" i="2"/>
  <c r="AJ460" i="2"/>
  <c r="AJ461" i="2"/>
  <c r="AJ462" i="2"/>
  <c r="AJ463" i="2"/>
  <c r="AJ464" i="2"/>
  <c r="AJ465" i="2"/>
  <c r="AJ466" i="2"/>
  <c r="AJ467" i="2"/>
  <c r="AJ468" i="2"/>
  <c r="AJ469" i="2"/>
  <c r="AJ470" i="2"/>
  <c r="AJ471" i="2"/>
  <c r="AJ472" i="2"/>
  <c r="AJ473" i="2"/>
  <c r="AJ474" i="2"/>
  <c r="AJ475" i="2"/>
  <c r="AJ476" i="2"/>
  <c r="AJ477" i="2"/>
  <c r="AJ478" i="2"/>
  <c r="AJ479" i="2"/>
  <c r="AJ480" i="2"/>
  <c r="AJ481" i="2"/>
  <c r="AJ482" i="2"/>
  <c r="AJ483" i="2"/>
  <c r="AJ484" i="2"/>
  <c r="AJ485" i="2"/>
  <c r="AJ486" i="2"/>
  <c r="AJ487" i="2"/>
  <c r="AJ488" i="2"/>
  <c r="AJ489" i="2"/>
  <c r="AJ490" i="2"/>
  <c r="AJ491" i="2"/>
  <c r="AJ492" i="2"/>
  <c r="AJ493" i="2"/>
  <c r="AJ494" i="2"/>
  <c r="AJ495" i="2"/>
  <c r="AJ496" i="2"/>
  <c r="AJ497" i="2"/>
  <c r="AJ498" i="2"/>
  <c r="AJ499" i="2"/>
  <c r="AJ500" i="2"/>
  <c r="AJ501" i="2"/>
  <c r="AJ502" i="2"/>
  <c r="AJ503" i="2"/>
  <c r="AJ504" i="2"/>
  <c r="AJ505" i="2"/>
  <c r="AJ506" i="2"/>
  <c r="AJ507" i="2"/>
  <c r="AJ508" i="2"/>
  <c r="AJ509" i="2"/>
  <c r="AJ510" i="2"/>
  <c r="AJ511" i="2"/>
  <c r="AJ512" i="2"/>
  <c r="AJ513" i="2"/>
  <c r="AJ514" i="2"/>
  <c r="AJ515" i="2"/>
  <c r="AJ516" i="2"/>
  <c r="AJ517" i="2"/>
  <c r="AJ518" i="2"/>
  <c r="AJ519" i="2"/>
  <c r="AJ520" i="2"/>
  <c r="AJ521" i="2"/>
  <c r="AJ522" i="2"/>
  <c r="AJ523" i="2"/>
  <c r="AJ524" i="2"/>
  <c r="AJ525" i="2"/>
  <c r="AJ526" i="2"/>
  <c r="AJ527" i="2"/>
  <c r="AJ528" i="2"/>
  <c r="AJ529" i="2"/>
  <c r="AJ530" i="2"/>
  <c r="AJ531" i="2"/>
  <c r="AJ532" i="2"/>
  <c r="AJ533" i="2"/>
  <c r="AJ534" i="2"/>
  <c r="AJ535" i="2"/>
  <c r="AJ536" i="2"/>
  <c r="AJ537" i="2"/>
  <c r="AJ538" i="2"/>
  <c r="AJ539" i="2"/>
  <c r="AJ540" i="2"/>
  <c r="AJ541" i="2"/>
  <c r="AJ542" i="2"/>
  <c r="AJ543" i="2"/>
  <c r="AJ544" i="2"/>
  <c r="AJ545" i="2"/>
  <c r="AJ546" i="2"/>
  <c r="AJ547" i="2"/>
  <c r="AJ548" i="2"/>
  <c r="AJ549" i="2"/>
  <c r="AJ550" i="2"/>
  <c r="AJ551" i="2"/>
  <c r="AJ552" i="2"/>
  <c r="AJ553" i="2"/>
  <c r="AJ554" i="2"/>
  <c r="AJ555" i="2"/>
  <c r="AJ556" i="2"/>
  <c r="AJ557" i="2"/>
  <c r="AJ558" i="2"/>
  <c r="AJ559" i="2"/>
  <c r="AJ560" i="2"/>
  <c r="AJ561" i="2"/>
  <c r="AJ562" i="2"/>
  <c r="AJ563" i="2"/>
  <c r="AJ564" i="2"/>
  <c r="AJ565" i="2"/>
  <c r="AJ566" i="2"/>
  <c r="AJ567" i="2"/>
  <c r="AJ568" i="2"/>
  <c r="AJ569" i="2"/>
  <c r="AJ570" i="2"/>
  <c r="AJ571" i="2"/>
  <c r="AJ572" i="2"/>
  <c r="AJ573" i="2"/>
  <c r="AJ574" i="2"/>
  <c r="AJ575" i="2"/>
  <c r="AJ576" i="2"/>
  <c r="AJ577" i="2"/>
  <c r="AJ578" i="2"/>
  <c r="AJ579" i="2"/>
  <c r="AJ580" i="2"/>
  <c r="AJ581" i="2"/>
  <c r="AJ582" i="2"/>
  <c r="AJ583" i="2"/>
  <c r="AJ584" i="2"/>
  <c r="AJ585" i="2"/>
  <c r="AJ586" i="2"/>
  <c r="AJ587" i="2"/>
  <c r="AJ588" i="2"/>
  <c r="AJ589" i="2"/>
  <c r="AJ590" i="2"/>
  <c r="AJ591" i="2"/>
  <c r="AJ592" i="2"/>
  <c r="AJ593" i="2"/>
  <c r="AJ594" i="2"/>
  <c r="AJ595" i="2"/>
  <c r="AJ596" i="2"/>
  <c r="AJ597" i="2"/>
  <c r="AJ598" i="2"/>
  <c r="AJ599" i="2"/>
  <c r="AJ600" i="2"/>
  <c r="AJ601" i="2"/>
  <c r="AJ602" i="2"/>
  <c r="AJ603" i="2"/>
  <c r="AJ604" i="2"/>
  <c r="AJ605" i="2"/>
  <c r="AJ606" i="2"/>
  <c r="AJ607" i="2"/>
  <c r="AJ608" i="2"/>
  <c r="AJ609" i="2"/>
  <c r="AJ610" i="2"/>
  <c r="AJ611" i="2"/>
  <c r="AJ612" i="2"/>
  <c r="AJ613" i="2"/>
  <c r="AJ614" i="2"/>
  <c r="AJ615" i="2"/>
  <c r="AJ616" i="2"/>
  <c r="AJ617" i="2"/>
  <c r="AJ618" i="2"/>
  <c r="AJ619" i="2"/>
  <c r="AJ620" i="2"/>
  <c r="AJ621" i="2"/>
  <c r="AJ622" i="2"/>
  <c r="AJ623" i="2"/>
  <c r="AJ624" i="2"/>
  <c r="AJ625" i="2"/>
  <c r="AJ626" i="2"/>
  <c r="AJ627" i="2"/>
  <c r="AJ628" i="2"/>
  <c r="AJ629" i="2"/>
  <c r="AJ630" i="2"/>
  <c r="AJ631" i="2"/>
  <c r="AJ632" i="2"/>
  <c r="AJ633" i="2"/>
  <c r="AJ634" i="2"/>
  <c r="AJ635" i="2"/>
  <c r="AJ636" i="2"/>
  <c r="AJ637" i="2"/>
  <c r="AJ638" i="2"/>
  <c r="AJ639" i="2"/>
  <c r="AJ640" i="2"/>
  <c r="AJ641" i="2"/>
  <c r="AJ642" i="2"/>
  <c r="AJ643" i="2"/>
  <c r="AJ644" i="2"/>
  <c r="AJ645" i="2"/>
  <c r="AJ646" i="2"/>
  <c r="AJ647" i="2"/>
  <c r="AJ648" i="2"/>
  <c r="AJ649" i="2"/>
  <c r="AJ650" i="2"/>
  <c r="AJ651" i="2"/>
  <c r="AJ652" i="2"/>
  <c r="AJ653" i="2"/>
  <c r="AJ654" i="2"/>
  <c r="AJ655" i="2"/>
  <c r="AJ656" i="2"/>
  <c r="AJ657" i="2"/>
  <c r="AJ658" i="2"/>
  <c r="AJ659" i="2"/>
  <c r="AJ660" i="2"/>
  <c r="AJ661" i="2"/>
  <c r="AJ662" i="2"/>
  <c r="AJ663" i="2"/>
  <c r="AJ664" i="2"/>
  <c r="AJ665" i="2"/>
  <c r="AJ666" i="2"/>
  <c r="AJ667" i="2"/>
  <c r="AJ668" i="2"/>
  <c r="AJ669" i="2"/>
  <c r="AJ670" i="2"/>
  <c r="AJ671" i="2"/>
  <c r="AJ672" i="2"/>
  <c r="AJ673" i="2"/>
  <c r="AJ674" i="2"/>
  <c r="AJ675" i="2"/>
  <c r="AJ676" i="2"/>
  <c r="AJ677" i="2"/>
  <c r="AJ678" i="2"/>
  <c r="AJ679" i="2"/>
  <c r="AJ680" i="2"/>
  <c r="AJ681" i="2"/>
  <c r="AJ682" i="2"/>
  <c r="AJ683" i="2"/>
  <c r="AJ684" i="2"/>
  <c r="AJ685" i="2"/>
  <c r="AJ686" i="2"/>
  <c r="AJ687" i="2"/>
  <c r="AJ688" i="2"/>
  <c r="AJ689" i="2"/>
  <c r="AJ690" i="2"/>
  <c r="AJ691" i="2"/>
  <c r="AJ692" i="2"/>
  <c r="AJ693" i="2"/>
  <c r="AJ694" i="2"/>
  <c r="AJ695" i="2"/>
  <c r="AJ696" i="2"/>
  <c r="AJ697" i="2"/>
  <c r="AJ698" i="2"/>
  <c r="AJ699" i="2"/>
  <c r="AJ700" i="2"/>
  <c r="AJ701" i="2"/>
  <c r="AJ702" i="2"/>
  <c r="AJ703" i="2"/>
  <c r="AJ704" i="2"/>
  <c r="AJ705" i="2"/>
  <c r="AJ706" i="2"/>
  <c r="AJ707" i="2"/>
  <c r="AJ708" i="2"/>
  <c r="AJ709" i="2"/>
  <c r="AJ710" i="2"/>
  <c r="AJ711" i="2"/>
  <c r="AJ712" i="2"/>
  <c r="AJ713" i="2"/>
  <c r="AJ714" i="2"/>
  <c r="AJ715" i="2"/>
  <c r="AJ716" i="2"/>
  <c r="AJ717" i="2"/>
  <c r="AJ718" i="2"/>
  <c r="AJ719" i="2"/>
  <c r="AJ720" i="2"/>
  <c r="AJ721" i="2"/>
  <c r="AJ722" i="2"/>
  <c r="AJ723" i="2"/>
  <c r="AJ724" i="2"/>
  <c r="AJ725" i="2"/>
  <c r="AJ726" i="2"/>
  <c r="AJ727" i="2"/>
  <c r="AJ728" i="2"/>
  <c r="AJ729" i="2"/>
  <c r="AJ730" i="2"/>
  <c r="AJ731" i="2"/>
  <c r="AJ732" i="2"/>
  <c r="AJ733" i="2"/>
  <c r="AJ734" i="2"/>
  <c r="AJ735" i="2"/>
  <c r="AJ736" i="2"/>
  <c r="AJ737" i="2"/>
  <c r="AJ738" i="2"/>
  <c r="AJ739" i="2"/>
  <c r="AJ740" i="2"/>
  <c r="AJ741" i="2"/>
  <c r="AJ742" i="2"/>
  <c r="AJ743" i="2"/>
  <c r="AJ744" i="2"/>
  <c r="AJ745" i="2"/>
  <c r="AJ746" i="2"/>
  <c r="AJ747" i="2"/>
  <c r="AJ748" i="2"/>
  <c r="AJ749" i="2"/>
  <c r="AJ750" i="2"/>
  <c r="AJ751" i="2"/>
  <c r="AJ752" i="2"/>
  <c r="AJ753" i="2"/>
  <c r="AJ754" i="2"/>
  <c r="AJ755" i="2"/>
  <c r="AJ756" i="2"/>
  <c r="AJ757" i="2"/>
  <c r="AJ758" i="2"/>
  <c r="AJ759" i="2"/>
  <c r="AJ760" i="2"/>
  <c r="AJ761" i="2"/>
  <c r="AJ762" i="2"/>
  <c r="AJ763" i="2"/>
  <c r="AJ764" i="2"/>
  <c r="AJ765" i="2"/>
  <c r="AJ766" i="2"/>
  <c r="AJ767" i="2"/>
  <c r="AJ768" i="2"/>
  <c r="AJ769" i="2"/>
  <c r="AJ770" i="2"/>
  <c r="AJ771" i="2"/>
  <c r="AJ772" i="2"/>
  <c r="AJ773" i="2"/>
  <c r="AJ774" i="2"/>
  <c r="AJ775" i="2"/>
  <c r="AJ776" i="2"/>
  <c r="AJ777" i="2"/>
  <c r="AJ778" i="2"/>
  <c r="AJ779" i="2"/>
  <c r="AJ780" i="2"/>
  <c r="AJ781" i="2"/>
  <c r="AJ782" i="2"/>
  <c r="AJ783" i="2"/>
  <c r="AJ784" i="2"/>
  <c r="AJ785" i="2"/>
  <c r="AJ786" i="2"/>
  <c r="AJ787" i="2"/>
  <c r="AJ788" i="2"/>
  <c r="AJ789" i="2"/>
  <c r="AJ790" i="2"/>
  <c r="AJ791" i="2"/>
  <c r="AJ792" i="2"/>
  <c r="AJ793" i="2"/>
  <c r="AJ794" i="2"/>
  <c r="AJ795" i="2"/>
  <c r="AJ796" i="2"/>
  <c r="AJ797" i="2"/>
  <c r="AJ798" i="2"/>
  <c r="AJ799" i="2"/>
  <c r="AJ800" i="2"/>
  <c r="AJ801" i="2"/>
  <c r="AJ802" i="2"/>
  <c r="AJ803" i="2"/>
  <c r="AJ804" i="2"/>
  <c r="AJ805" i="2"/>
  <c r="AJ806" i="2"/>
  <c r="AJ807" i="2"/>
  <c r="AJ808" i="2"/>
  <c r="AJ809" i="2"/>
  <c r="AJ810" i="2"/>
  <c r="AJ811" i="2"/>
  <c r="AJ812" i="2"/>
  <c r="AJ813" i="2"/>
  <c r="AJ814" i="2"/>
  <c r="AJ815" i="2"/>
  <c r="AJ816" i="2"/>
  <c r="AJ817" i="2"/>
  <c r="AJ818" i="2"/>
  <c r="AJ819" i="2"/>
  <c r="AJ820" i="2"/>
  <c r="AJ821" i="2"/>
  <c r="AJ822" i="2"/>
  <c r="AJ823" i="2"/>
  <c r="AJ824" i="2"/>
  <c r="AJ825" i="2"/>
  <c r="AJ826" i="2"/>
  <c r="AJ827" i="2"/>
  <c r="AJ828" i="2"/>
  <c r="AJ829" i="2"/>
  <c r="AJ830" i="2"/>
  <c r="AJ831" i="2"/>
  <c r="AJ832" i="2"/>
  <c r="AJ833" i="2"/>
  <c r="AJ834" i="2"/>
  <c r="AJ835" i="2"/>
  <c r="AJ836" i="2"/>
  <c r="AJ837" i="2"/>
  <c r="AJ838" i="2"/>
  <c r="AJ839" i="2"/>
  <c r="AJ840" i="2"/>
  <c r="AJ841" i="2"/>
  <c r="AJ842" i="2"/>
  <c r="AJ843" i="2"/>
  <c r="AJ844" i="2"/>
  <c r="AJ845" i="2"/>
  <c r="AJ846" i="2"/>
  <c r="AJ847" i="2"/>
  <c r="AJ848" i="2"/>
  <c r="AJ849" i="2"/>
  <c r="AJ850" i="2"/>
  <c r="AJ851" i="2"/>
  <c r="AJ852" i="2"/>
  <c r="AJ853" i="2"/>
  <c r="AJ854" i="2"/>
  <c r="AJ855" i="2"/>
  <c r="AJ856" i="2"/>
  <c r="AJ857" i="2"/>
  <c r="AJ858" i="2"/>
  <c r="AJ859" i="2"/>
  <c r="AJ860" i="2"/>
  <c r="AJ861" i="2"/>
  <c r="AJ862" i="2"/>
  <c r="AJ863" i="2"/>
  <c r="AJ864" i="2"/>
  <c r="AJ865" i="2"/>
  <c r="AJ866" i="2"/>
  <c r="AJ867" i="2"/>
  <c r="AJ868" i="2"/>
  <c r="AJ869" i="2"/>
  <c r="AJ870" i="2"/>
  <c r="AJ871" i="2"/>
  <c r="AJ872" i="2"/>
  <c r="AJ873" i="2"/>
  <c r="AJ874" i="2"/>
  <c r="AJ875" i="2"/>
  <c r="AJ876" i="2"/>
  <c r="AJ877" i="2"/>
  <c r="AJ878" i="2"/>
  <c r="AJ879" i="2"/>
  <c r="AJ880" i="2"/>
  <c r="AJ881" i="2"/>
  <c r="AJ882" i="2"/>
  <c r="AJ883" i="2"/>
  <c r="AJ884" i="2"/>
  <c r="AJ885" i="2"/>
  <c r="AJ886" i="2"/>
  <c r="AJ887" i="2"/>
  <c r="AJ888" i="2"/>
  <c r="AJ889" i="2"/>
  <c r="AJ890" i="2"/>
  <c r="AJ891" i="2"/>
  <c r="AJ892" i="2"/>
  <c r="AJ893" i="2"/>
  <c r="AJ894" i="2"/>
  <c r="AJ895" i="2"/>
  <c r="AJ896" i="2"/>
  <c r="AJ897" i="2"/>
  <c r="AJ898" i="2"/>
  <c r="AJ899" i="2"/>
  <c r="AJ900" i="2"/>
  <c r="AJ901" i="2"/>
  <c r="AJ902" i="2"/>
  <c r="AJ903" i="2"/>
  <c r="AJ904" i="2"/>
  <c r="AJ905" i="2"/>
  <c r="AJ906" i="2"/>
  <c r="AJ907" i="2"/>
  <c r="AJ908" i="2"/>
  <c r="AJ909" i="2"/>
  <c r="AJ910" i="2"/>
  <c r="AJ911" i="2"/>
  <c r="AJ912" i="2"/>
  <c r="AJ913" i="2"/>
  <c r="AJ914" i="2"/>
  <c r="AJ915" i="2"/>
  <c r="AJ916" i="2"/>
  <c r="AJ917" i="2"/>
  <c r="AJ918" i="2"/>
  <c r="AJ919" i="2"/>
  <c r="AJ920" i="2"/>
  <c r="AJ921" i="2"/>
  <c r="AJ922" i="2"/>
  <c r="AJ923" i="2"/>
  <c r="AJ924" i="2"/>
  <c r="AJ925" i="2"/>
  <c r="AJ926" i="2"/>
  <c r="AJ927" i="2"/>
  <c r="AJ928" i="2"/>
  <c r="AJ929" i="2"/>
  <c r="AJ930" i="2"/>
  <c r="AJ931" i="2"/>
  <c r="AJ932" i="2"/>
  <c r="AJ933" i="2"/>
  <c r="AJ934" i="2"/>
  <c r="AJ935" i="2"/>
  <c r="AJ936" i="2"/>
  <c r="AJ937" i="2"/>
  <c r="AJ938" i="2"/>
  <c r="AJ939" i="2"/>
  <c r="AJ940" i="2"/>
  <c r="AJ941" i="2"/>
  <c r="AJ942" i="2"/>
  <c r="AJ943" i="2"/>
  <c r="AJ944" i="2"/>
  <c r="AJ945" i="2"/>
  <c r="AJ946" i="2"/>
  <c r="AJ947" i="2"/>
  <c r="AJ948" i="2"/>
  <c r="AJ949" i="2"/>
  <c r="AJ950" i="2"/>
  <c r="AJ951" i="2"/>
  <c r="AJ952" i="2"/>
  <c r="AJ953" i="2"/>
  <c r="AJ954" i="2"/>
  <c r="AJ955" i="2"/>
  <c r="AJ956" i="2"/>
  <c r="AJ957" i="2"/>
  <c r="AJ958" i="2"/>
  <c r="AJ959" i="2"/>
  <c r="AJ960" i="2"/>
  <c r="AJ961" i="2"/>
  <c r="AJ962" i="2"/>
  <c r="AJ963" i="2"/>
  <c r="AJ964" i="2"/>
  <c r="AJ965" i="2"/>
  <c r="AJ966" i="2"/>
  <c r="AJ967" i="2"/>
  <c r="AJ968" i="2"/>
  <c r="AJ969" i="2"/>
  <c r="AJ970" i="2"/>
  <c r="AJ971" i="2"/>
  <c r="AJ972" i="2"/>
  <c r="AJ973" i="2"/>
  <c r="AJ974" i="2"/>
  <c r="AJ975" i="2"/>
  <c r="AJ976" i="2"/>
  <c r="AJ977" i="2"/>
  <c r="AJ978" i="2"/>
  <c r="AJ979" i="2"/>
  <c r="AJ980" i="2"/>
  <c r="AJ981" i="2"/>
  <c r="AJ982" i="2"/>
  <c r="AJ983" i="2"/>
  <c r="AJ984" i="2"/>
  <c r="AJ985" i="2"/>
  <c r="AJ986" i="2"/>
  <c r="AJ987" i="2"/>
  <c r="AJ988" i="2"/>
  <c r="AJ989" i="2"/>
  <c r="AJ990" i="2"/>
  <c r="AJ991" i="2"/>
  <c r="AJ992" i="2"/>
  <c r="AJ993" i="2"/>
  <c r="AJ994" i="2"/>
  <c r="AJ995" i="2"/>
  <c r="AJ996" i="2"/>
  <c r="AJ997" i="2"/>
  <c r="AJ998" i="2"/>
  <c r="AJ999" i="2"/>
  <c r="AJ1000" i="2"/>
  <c r="AJ1001" i="2"/>
  <c r="AJ1002" i="2"/>
  <c r="AJ1003" i="2"/>
  <c r="AJ1004" i="2"/>
  <c r="AJ1005" i="2"/>
  <c r="AJ1006" i="2"/>
  <c r="AJ1007" i="2"/>
  <c r="AJ1008" i="2"/>
  <c r="AJ1009" i="2"/>
  <c r="AJ1010" i="2"/>
  <c r="AJ1011" i="2"/>
  <c r="AJ1012" i="2"/>
  <c r="AJ1013" i="2"/>
  <c r="AJ1014" i="2"/>
  <c r="AJ1015" i="2"/>
  <c r="AJ1016" i="2"/>
  <c r="AJ1017" i="2"/>
  <c r="AJ1018" i="2"/>
  <c r="AJ1019" i="2"/>
  <c r="AJ1020" i="2"/>
  <c r="AJ1021" i="2"/>
  <c r="AJ1022" i="2"/>
  <c r="AJ1023" i="2"/>
  <c r="AJ1024" i="2"/>
  <c r="AJ1025" i="2"/>
  <c r="AJ1026" i="2"/>
  <c r="AJ1027" i="2"/>
  <c r="AJ1028" i="2"/>
  <c r="AJ1029" i="2"/>
  <c r="AJ1030" i="2"/>
  <c r="AJ1031" i="2"/>
  <c r="AJ1032" i="2"/>
  <c r="AJ1033" i="2"/>
  <c r="AJ1034" i="2"/>
  <c r="AJ1035" i="2"/>
  <c r="AJ1036" i="2"/>
  <c r="AJ1037" i="2"/>
  <c r="AJ1038" i="2"/>
  <c r="AJ1039" i="2"/>
  <c r="AJ1040" i="2"/>
  <c r="AJ1041" i="2"/>
  <c r="AJ1042" i="2"/>
  <c r="AJ1043" i="2"/>
  <c r="AJ1044" i="2"/>
  <c r="AJ1045" i="2"/>
  <c r="AJ1046" i="2"/>
  <c r="AJ1047" i="2"/>
  <c r="AJ1048" i="2"/>
  <c r="AJ1049" i="2"/>
  <c r="AJ1050" i="2"/>
  <c r="AJ1051" i="2"/>
  <c r="AJ1052" i="2"/>
  <c r="AJ1053" i="2"/>
  <c r="AJ1054" i="2"/>
  <c r="AJ1055" i="2"/>
  <c r="AJ1056" i="2"/>
  <c r="AJ1057" i="2"/>
  <c r="AJ1058" i="2"/>
  <c r="AJ1059" i="2"/>
  <c r="AJ1060" i="2"/>
  <c r="AJ1061" i="2"/>
  <c r="AJ1062" i="2"/>
  <c r="AJ1063" i="2"/>
  <c r="AJ1064" i="2"/>
  <c r="AJ1065" i="2"/>
  <c r="AJ1066" i="2"/>
  <c r="AJ1067" i="2"/>
  <c r="AJ1068" i="2"/>
  <c r="AJ1069" i="2"/>
  <c r="AJ1070" i="2"/>
  <c r="AJ1071" i="2"/>
  <c r="AJ1072" i="2"/>
  <c r="AJ1073" i="2"/>
  <c r="AJ1074" i="2"/>
  <c r="AJ1075" i="2"/>
  <c r="AJ1076" i="2"/>
  <c r="AJ1077" i="2"/>
  <c r="AJ1078" i="2"/>
  <c r="AJ1079" i="2"/>
  <c r="AJ1080" i="2"/>
  <c r="AJ1081" i="2"/>
  <c r="AJ1082" i="2"/>
  <c r="AJ1083" i="2"/>
  <c r="AJ1084" i="2"/>
  <c r="AJ1085" i="2"/>
  <c r="AJ1086" i="2"/>
  <c r="AJ1087" i="2"/>
  <c r="AJ1088" i="2"/>
  <c r="AJ1089" i="2"/>
  <c r="AJ1090" i="2"/>
  <c r="AJ1091" i="2"/>
  <c r="AJ1092" i="2"/>
  <c r="AJ1093" i="2"/>
  <c r="AJ1094" i="2"/>
  <c r="AJ1095" i="2"/>
  <c r="AJ1096" i="2"/>
  <c r="AJ1097" i="2"/>
  <c r="AJ1098" i="2"/>
  <c r="AJ1099" i="2"/>
  <c r="AJ1100" i="2"/>
  <c r="AJ1101" i="2"/>
  <c r="AJ1102" i="2"/>
  <c r="AJ1103" i="2"/>
  <c r="AJ1104" i="2"/>
  <c r="AJ1105" i="2"/>
  <c r="AJ1106" i="2"/>
  <c r="AJ1107" i="2"/>
  <c r="AJ1108" i="2"/>
  <c r="AJ1109" i="2"/>
  <c r="AJ1110" i="2"/>
  <c r="AJ1111" i="2"/>
  <c r="AJ1112" i="2"/>
  <c r="AJ1113" i="2"/>
  <c r="AJ1114" i="2"/>
  <c r="AJ1115" i="2"/>
  <c r="AJ1116" i="2"/>
  <c r="AJ1117" i="2"/>
  <c r="AJ1118" i="2"/>
  <c r="AJ1119" i="2"/>
  <c r="AJ1120" i="2"/>
  <c r="AJ1121" i="2"/>
  <c r="AJ1122" i="2"/>
  <c r="AJ1123" i="2"/>
  <c r="AJ1124" i="2"/>
  <c r="AJ1125" i="2"/>
  <c r="AJ1126" i="2"/>
  <c r="AJ1127" i="2"/>
  <c r="AJ1128" i="2"/>
  <c r="AJ1129" i="2"/>
  <c r="AJ1130" i="2"/>
  <c r="AJ1131" i="2"/>
  <c r="AJ1132" i="2"/>
  <c r="AJ1133" i="2"/>
  <c r="AJ1134" i="2"/>
  <c r="AJ1135" i="2"/>
  <c r="AJ1136" i="2"/>
  <c r="AJ1137" i="2"/>
  <c r="AJ1138" i="2"/>
  <c r="AJ1139" i="2"/>
  <c r="AJ1140" i="2"/>
  <c r="AJ1141" i="2"/>
  <c r="AJ1142" i="2"/>
  <c r="AJ1143" i="2"/>
  <c r="AJ1144" i="2"/>
  <c r="AJ1145" i="2"/>
  <c r="AJ1146" i="2"/>
  <c r="AJ1147" i="2"/>
  <c r="AJ1148" i="2"/>
  <c r="AJ1149" i="2"/>
  <c r="AJ1150" i="2"/>
  <c r="AJ1151" i="2"/>
  <c r="AJ1152" i="2"/>
  <c r="AJ1153" i="2"/>
  <c r="AJ1154" i="2"/>
  <c r="AJ1155" i="2"/>
  <c r="AJ1156" i="2"/>
  <c r="AJ1157" i="2"/>
  <c r="AJ1158" i="2"/>
  <c r="AJ1159" i="2"/>
  <c r="AJ1160" i="2"/>
  <c r="AJ1161" i="2"/>
  <c r="AJ1162" i="2"/>
  <c r="AJ1163" i="2"/>
  <c r="AJ1164" i="2"/>
  <c r="AJ1165" i="2"/>
  <c r="AJ1166" i="2"/>
  <c r="AJ1167" i="2"/>
  <c r="AJ1168" i="2"/>
  <c r="AJ1169" i="2"/>
  <c r="AJ1170" i="2"/>
  <c r="AJ1171" i="2"/>
  <c r="AJ1172" i="2"/>
  <c r="AJ1173" i="2"/>
  <c r="AJ1174" i="2"/>
  <c r="AJ1175" i="2"/>
  <c r="AJ1176" i="2"/>
  <c r="AJ1177" i="2"/>
  <c r="AJ1178" i="2"/>
  <c r="AJ1179" i="2"/>
  <c r="AJ1180" i="2"/>
  <c r="AJ1181" i="2"/>
  <c r="AJ1182" i="2"/>
  <c r="AJ1183" i="2"/>
  <c r="AJ1184" i="2"/>
  <c r="AJ1185" i="2"/>
  <c r="AJ1186" i="2"/>
  <c r="AJ1187" i="2"/>
  <c r="AJ1188" i="2"/>
  <c r="AJ1189" i="2"/>
  <c r="AJ1190" i="2"/>
  <c r="AJ1191" i="2"/>
  <c r="AJ1192" i="2"/>
  <c r="AJ1193" i="2"/>
  <c r="AJ1194" i="2"/>
  <c r="AJ1195" i="2"/>
  <c r="AJ1196" i="2"/>
  <c r="AJ1197" i="2"/>
  <c r="AJ1198" i="2"/>
  <c r="AJ1199" i="2"/>
  <c r="AJ1200" i="2"/>
  <c r="AJ1201" i="2"/>
  <c r="AJ1202" i="2"/>
  <c r="AJ1203" i="2"/>
  <c r="AJ1204" i="2"/>
  <c r="AJ1205" i="2"/>
  <c r="AJ1206" i="2"/>
  <c r="AJ1207" i="2"/>
  <c r="AJ1208" i="2"/>
  <c r="AJ1209" i="2"/>
  <c r="AJ1210" i="2"/>
  <c r="AJ1211" i="2"/>
  <c r="AJ1212" i="2"/>
  <c r="AJ1213" i="2"/>
  <c r="AJ1214" i="2"/>
  <c r="AJ1215" i="2"/>
  <c r="AJ1216" i="2"/>
  <c r="AJ1217" i="2"/>
  <c r="AJ1218" i="2"/>
  <c r="AJ1219" i="2"/>
  <c r="AJ1220" i="2"/>
  <c r="AJ1221" i="2"/>
  <c r="AJ1222" i="2"/>
  <c r="AJ1223" i="2"/>
  <c r="AJ1224" i="2"/>
  <c r="AJ1225" i="2"/>
  <c r="AJ1226" i="2"/>
  <c r="AJ1227" i="2"/>
  <c r="AJ1228" i="2"/>
  <c r="AJ1229" i="2"/>
  <c r="AJ1230" i="2"/>
  <c r="AJ1231" i="2"/>
  <c r="AJ1232" i="2"/>
  <c r="AJ1233" i="2"/>
  <c r="AJ1234" i="2"/>
  <c r="AJ1235" i="2"/>
  <c r="AJ1236" i="2"/>
  <c r="AJ1237" i="2"/>
  <c r="AJ1238" i="2"/>
  <c r="AJ1239" i="2"/>
  <c r="AJ1240" i="2"/>
  <c r="AJ1241" i="2"/>
  <c r="AJ1242" i="2"/>
  <c r="AJ1243" i="2"/>
  <c r="AJ1244" i="2"/>
  <c r="AJ1245" i="2"/>
  <c r="AJ1246" i="2"/>
  <c r="AJ1247" i="2"/>
  <c r="AJ1248" i="2"/>
  <c r="AJ1249" i="2"/>
  <c r="AJ1250" i="2"/>
  <c r="AJ1251" i="2"/>
  <c r="AJ1252" i="2"/>
  <c r="AJ1253" i="2"/>
  <c r="AJ1254" i="2"/>
  <c r="AJ1255" i="2"/>
  <c r="AJ1256" i="2"/>
  <c r="AJ1257" i="2"/>
  <c r="AJ1258" i="2"/>
  <c r="AJ1259" i="2"/>
  <c r="AJ1260" i="2"/>
  <c r="AJ1261" i="2"/>
  <c r="AJ1262" i="2"/>
  <c r="AJ1263" i="2"/>
  <c r="AJ1264" i="2"/>
  <c r="AJ1265" i="2"/>
  <c r="AJ1266" i="2"/>
  <c r="AJ1267" i="2"/>
  <c r="AJ1268" i="2"/>
  <c r="AJ1269" i="2"/>
  <c r="AJ1270" i="2"/>
  <c r="AJ1271" i="2"/>
  <c r="AJ1272" i="2"/>
  <c r="AJ1273" i="2"/>
  <c r="AJ1274" i="2"/>
  <c r="AJ1275" i="2"/>
  <c r="AJ1276" i="2"/>
  <c r="AJ1277" i="2"/>
  <c r="AJ1278" i="2"/>
  <c r="AJ1279" i="2"/>
  <c r="AJ1280" i="2"/>
  <c r="AJ1281" i="2"/>
  <c r="AJ1282" i="2"/>
  <c r="AJ1283" i="2"/>
  <c r="AJ1284" i="2"/>
  <c r="AJ1285" i="2"/>
  <c r="AJ1286" i="2"/>
  <c r="AJ1287" i="2"/>
  <c r="AJ1288" i="2"/>
  <c r="AJ1289" i="2"/>
  <c r="AJ1290" i="2"/>
  <c r="AJ1291" i="2"/>
  <c r="AJ1292" i="2"/>
  <c r="AJ1293" i="2"/>
  <c r="AJ1294" i="2"/>
  <c r="AJ1295" i="2"/>
  <c r="AJ1296" i="2"/>
  <c r="AJ1297" i="2"/>
  <c r="AJ1298" i="2"/>
  <c r="AJ1299" i="2"/>
  <c r="AJ1300" i="2"/>
  <c r="AJ1301" i="2"/>
  <c r="AJ1302" i="2"/>
  <c r="AJ1303" i="2"/>
  <c r="AJ1304" i="2"/>
  <c r="AJ1305" i="2"/>
  <c r="AJ1306" i="2"/>
  <c r="AJ1307" i="2"/>
  <c r="AJ1308" i="2"/>
  <c r="AJ1309" i="2"/>
  <c r="AJ1310" i="2"/>
  <c r="AJ1311" i="2"/>
  <c r="AJ1312" i="2"/>
  <c r="AJ1313" i="2"/>
  <c r="AJ1314" i="2"/>
  <c r="AJ1315" i="2"/>
  <c r="AJ1316" i="2"/>
  <c r="AJ1317" i="2"/>
  <c r="AJ1318" i="2"/>
  <c r="AJ1319" i="2"/>
  <c r="AJ1320" i="2"/>
  <c r="AJ1321" i="2"/>
  <c r="AJ1322" i="2"/>
  <c r="AJ1323" i="2"/>
  <c r="AJ1324" i="2"/>
  <c r="AJ1325" i="2"/>
  <c r="AJ1326" i="2"/>
  <c r="AJ1327" i="2"/>
  <c r="AJ1328" i="2"/>
  <c r="AJ1329" i="2"/>
  <c r="AJ1330" i="2"/>
  <c r="AJ1331" i="2"/>
  <c r="AJ1332" i="2"/>
  <c r="AJ1333" i="2"/>
  <c r="AJ1334" i="2"/>
  <c r="AJ1335" i="2"/>
  <c r="AJ1336" i="2"/>
  <c r="AJ1337" i="2"/>
  <c r="AJ1338" i="2"/>
  <c r="AJ1339" i="2"/>
  <c r="AJ1340" i="2"/>
  <c r="AJ1341" i="2"/>
  <c r="AJ1342" i="2"/>
  <c r="AJ1343" i="2"/>
  <c r="AJ1344" i="2"/>
  <c r="AJ1345" i="2"/>
  <c r="AJ1346" i="2"/>
  <c r="AJ1347" i="2"/>
  <c r="AJ1348" i="2"/>
  <c r="AJ1349" i="2"/>
  <c r="AJ1350" i="2"/>
  <c r="AJ1351" i="2"/>
  <c r="AJ1352" i="2"/>
  <c r="AJ1353" i="2"/>
  <c r="AJ1354" i="2"/>
  <c r="AJ1355" i="2"/>
  <c r="AJ1356" i="2"/>
  <c r="AJ1357" i="2"/>
  <c r="AJ1358" i="2"/>
  <c r="AJ1359" i="2"/>
  <c r="AJ1360" i="2"/>
  <c r="AJ1361" i="2"/>
  <c r="AJ1362" i="2"/>
  <c r="AJ1363" i="2"/>
  <c r="AJ1364" i="2"/>
  <c r="AJ1365" i="2"/>
  <c r="AJ1366" i="2"/>
  <c r="AJ1367" i="2"/>
  <c r="AJ1368" i="2"/>
  <c r="AJ1369" i="2"/>
  <c r="AJ1370" i="2"/>
  <c r="AJ1371" i="2"/>
  <c r="AJ1372" i="2"/>
  <c r="AJ1373" i="2"/>
  <c r="AJ1374" i="2"/>
  <c r="AJ1375" i="2"/>
  <c r="AJ1376" i="2"/>
  <c r="AJ1377" i="2"/>
  <c r="AJ1378" i="2"/>
  <c r="AJ1379" i="2"/>
  <c r="AJ1380" i="2"/>
  <c r="AJ1381" i="2"/>
  <c r="AJ1382" i="2"/>
  <c r="AJ1383" i="2"/>
  <c r="AJ1384" i="2"/>
  <c r="AJ1385" i="2"/>
  <c r="AJ1386" i="2"/>
  <c r="AJ1387" i="2"/>
  <c r="AJ1388" i="2"/>
  <c r="AJ1389" i="2"/>
  <c r="AJ1390" i="2"/>
  <c r="AJ1391" i="2"/>
  <c r="AJ1392" i="2"/>
  <c r="AJ1393" i="2"/>
  <c r="AJ1394" i="2"/>
  <c r="AJ1395" i="2"/>
  <c r="AJ1396" i="2"/>
  <c r="AJ1397" i="2"/>
  <c r="AJ1398" i="2"/>
  <c r="AJ1399" i="2"/>
  <c r="AJ1400" i="2"/>
  <c r="AJ1401" i="2"/>
  <c r="AJ1402" i="2"/>
  <c r="AJ1403" i="2"/>
  <c r="AJ1404" i="2"/>
  <c r="AJ1405" i="2"/>
  <c r="AJ1406" i="2"/>
  <c r="AJ1407" i="2"/>
  <c r="AJ1408" i="2"/>
  <c r="AJ1409" i="2"/>
  <c r="AJ1410" i="2"/>
  <c r="AJ1411" i="2"/>
  <c r="AJ1412" i="2"/>
  <c r="AJ1413" i="2"/>
  <c r="AJ1414" i="2"/>
  <c r="AJ1415" i="2"/>
  <c r="AJ1416" i="2"/>
  <c r="AJ1417" i="2"/>
  <c r="AJ1418" i="2"/>
  <c r="AJ1419" i="2"/>
  <c r="AJ1420" i="2"/>
  <c r="AJ1421" i="2"/>
  <c r="AJ1422" i="2"/>
  <c r="AJ1423" i="2"/>
  <c r="AJ1424" i="2"/>
  <c r="AJ1425" i="2"/>
  <c r="AJ1426" i="2"/>
  <c r="AJ1427" i="2"/>
  <c r="AJ1428" i="2"/>
  <c r="AJ1429" i="2"/>
  <c r="AJ1430" i="2"/>
  <c r="AJ1431" i="2"/>
  <c r="AJ1432" i="2"/>
  <c r="AJ1433" i="2"/>
  <c r="AJ1434" i="2"/>
  <c r="AJ1435" i="2"/>
  <c r="AJ1436" i="2"/>
  <c r="AJ1437" i="2"/>
  <c r="AJ1438" i="2"/>
  <c r="AJ1439" i="2"/>
  <c r="AJ1440" i="2"/>
  <c r="AJ1441" i="2"/>
  <c r="AJ1442" i="2"/>
  <c r="AJ1443" i="2"/>
  <c r="AJ1444" i="2"/>
  <c r="AJ1445" i="2"/>
  <c r="AJ1446" i="2"/>
  <c r="AJ1447" i="2"/>
  <c r="AJ1448" i="2"/>
  <c r="AJ1449" i="2"/>
  <c r="AJ1450" i="2"/>
  <c r="AJ1451" i="2"/>
  <c r="AJ1452" i="2"/>
  <c r="AJ1453" i="2"/>
  <c r="AJ1454" i="2"/>
  <c r="AJ1455" i="2"/>
  <c r="AJ1456" i="2"/>
  <c r="AJ1457" i="2"/>
  <c r="AJ1458" i="2"/>
  <c r="AJ1459" i="2"/>
  <c r="AJ1460" i="2"/>
  <c r="AJ1461" i="2"/>
  <c r="AJ1462" i="2"/>
  <c r="AJ1463" i="2"/>
  <c r="AJ1464" i="2"/>
  <c r="AJ1465" i="2"/>
  <c r="AJ1466" i="2"/>
  <c r="AJ1467" i="2"/>
  <c r="AJ1468" i="2"/>
  <c r="AJ1469" i="2"/>
  <c r="AJ1470" i="2"/>
  <c r="AJ1471" i="2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4" i="3"/>
  <c r="B3" i="3"/>
  <c r="B2" i="3"/>
  <c r="A4" i="4" l="1"/>
  <c r="A4" i="3"/>
  <c r="D4" i="4"/>
  <c r="B7" i="3"/>
  <c r="B8" i="3"/>
  <c r="J4" i="4"/>
  <c r="B5" i="3"/>
  <c r="B23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<sst xmlns="http://schemas.openxmlformats.org/spreadsheetml/2006/main" count="26651" uniqueCount="144">
  <si>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</si>
  <si>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</si>
  <si>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</si>
  <si>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</si>
  <si>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</si>
  <si>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</si>
  <si>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</si>
  <si>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</si>
  <si>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</si>
  <si>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</si>
  <si>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</si>
  <si>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</si>
  <si>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</si>
  <si>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</si>
  <si>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</si>
  <si>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</si>
  <si>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</si>
  <si>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</si>
  <si>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</si>
  <si>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</si>
  <si>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</si>
  <si>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</si>
  <si>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</si>
  <si>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</si>
  <si>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</si>
  <si>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</si>
  <si>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</si>
  <si>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</si>
  <si>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</si>
  <si>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</si>
  <si>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</si>
  <si>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</si>
  <si>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</si>
  <si>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</si>
  <si>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</si>
  <si>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</si>
  <si>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</si>
  <si>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</si>
  <si>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</si>
  <si>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</si>
  <si>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</si>
  <si>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</si>
  <si>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</si>
  <si>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</si>
  <si>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</si>
  <si>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</si>
  <si>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</si>
  <si>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</si>
  <si>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</si>
  <si>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</si>
  <si>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</si>
  <si>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</si>
  <si>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</si>
  <si>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</si>
  <si>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</si>
  <si>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</si>
  <si>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</si>
  <si>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</si>
  <si>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</si>
  <si>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</si>
  <si>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</si>
  <si>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</si>
  <si>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salary_category</t>
  </si>
  <si>
    <t>salary_level</t>
  </si>
  <si>
    <t>Experience_level</t>
  </si>
  <si>
    <t>Column1</t>
  </si>
  <si>
    <t>Sum of EmployeeCount</t>
  </si>
  <si>
    <t>Average of MonthlyIncome</t>
  </si>
  <si>
    <t>Grand Total</t>
  </si>
  <si>
    <t>NO</t>
  </si>
  <si>
    <t>YES</t>
  </si>
  <si>
    <t xml:space="preserve">Business Qestion </t>
  </si>
  <si>
    <t xml:space="preserve">Formula </t>
  </si>
  <si>
    <t xml:space="preserve">Result </t>
  </si>
  <si>
    <t>Business Insight</t>
  </si>
  <si>
    <t>How many employes in the company ?</t>
  </si>
  <si>
    <t xml:space="preserve">The company has 1471 employees in dataset </t>
  </si>
  <si>
    <t xml:space="preserve">How many Department are there in  Company? </t>
  </si>
  <si>
    <t>The Company has 3 department ,allowing HR to compare employee count</t>
  </si>
  <si>
    <t xml:space="preserve">The company has 9 job role </t>
  </si>
  <si>
    <t>what is the average age of employees?</t>
  </si>
  <si>
    <t xml:space="preserve">Average age of employees is 36.92 years </t>
  </si>
  <si>
    <t xml:space="preserve">what is the average monthly income of employees? </t>
  </si>
  <si>
    <t xml:space="preserve">The average monthly income of employees is approx 6,502,93 </t>
  </si>
  <si>
    <t>how many  employees left the company ?</t>
  </si>
  <si>
    <t xml:space="preserve">236  Employees left the company </t>
  </si>
  <si>
    <t xml:space="preserve">  1232 Employees are still working in the company </t>
  </si>
  <si>
    <t>How many male employees in the company  ?</t>
  </si>
  <si>
    <t xml:space="preserve"> There is 882 MALE employess  in company </t>
  </si>
  <si>
    <t>How many female employees in the company ?</t>
  </si>
  <si>
    <t xml:space="preserve">There is 588 female employees in company </t>
  </si>
  <si>
    <t>How many emploees work over time ?</t>
  </si>
  <si>
    <t xml:space="preserve">In the company 416 employees work over time </t>
  </si>
  <si>
    <t>How many male employees work overtime in the company  ?</t>
  </si>
  <si>
    <t xml:space="preserve">In the company 236 male employees work over time </t>
  </si>
  <si>
    <t>How many female employees work overtime in the company ?</t>
  </si>
  <si>
    <t>In the company 180 female employees work over time</t>
  </si>
  <si>
    <t>what is the total monthly income paid to employees in the sales department ?</t>
  </si>
  <si>
    <t>The total monthly income paid to employees in the sales department is 3103791</t>
  </si>
  <si>
    <t>what is the total monthly income paid to employees in the HR department ?</t>
  </si>
  <si>
    <t>The total monthly income paid to employees in the HR department is 419234</t>
  </si>
  <si>
    <t>what is the total monthly income paid to employees in the Research &amp; Development department ?</t>
  </si>
  <si>
    <t>The total monthly income paid to employees in the Research &amp; Development is 6036284</t>
  </si>
  <si>
    <t>what is the total monthly income of employees who work over time ?</t>
  </si>
  <si>
    <t>Employees who work overtime receive a combined  monthly income of 2,724,196</t>
  </si>
  <si>
    <t xml:space="preserve">what is the average monthly income of employees in sales department ? </t>
  </si>
  <si>
    <t>The average monthly income of employees in sales department is 6959.173</t>
  </si>
  <si>
    <t>what is the average monthly income of employees in HR department ?</t>
  </si>
  <si>
    <t>The average monthly income of employees in HR department is 6654</t>
  </si>
  <si>
    <t>What  is the average age of employees in sales department ?</t>
  </si>
  <si>
    <t>The average age of employees in sales department is 36</t>
  </si>
  <si>
    <t xml:space="preserve">What is the average year at the company for employees in sales department </t>
  </si>
  <si>
    <t xml:space="preserve">Employees in sales department have an average tenure of 7.2 years </t>
  </si>
  <si>
    <t xml:space="preserve">Classify employees into high to low salary categories </t>
  </si>
  <si>
    <t>Low,High</t>
  </si>
  <si>
    <t>Employees are clasified as high or low salary based on a monthly income threshold of 6,500</t>
  </si>
  <si>
    <t xml:space="preserve">How many employees are classified as high and low salary </t>
  </si>
  <si>
    <t xml:space="preserve">Number of employees are classified as high and low salary  </t>
  </si>
  <si>
    <t>How should employees be classified based on their monthly income?</t>
  </si>
  <si>
    <t xml:space="preserve">Low,Medium,High </t>
  </si>
  <si>
    <t xml:space="preserve">Employees be classified based on their monthly income, Help HR to understand salary distribution acroos the workforce </t>
  </si>
  <si>
    <t>How should employees be classified based on their year of experience at the company ?</t>
  </si>
  <si>
    <t>New,Experienced,High</t>
  </si>
  <si>
    <t xml:space="preserve">Employees experience level help HR to understand workforce maturity,retention,pattern </t>
  </si>
  <si>
    <t xml:space="preserve">Find the department of employee number 1 </t>
  </si>
  <si>
    <t xml:space="preserve">sales </t>
  </si>
  <si>
    <t xml:space="preserve">XLOOKUP allow  HR to quickly retrieve an  employees department using their employee number </t>
  </si>
  <si>
    <t xml:space="preserve">FInd the Monthly income of employee number 1 </t>
  </si>
  <si>
    <t xml:space="preserve">XLOOKUP allow  HR to quickly retrieve an  employees  Monthly income </t>
  </si>
  <si>
    <t>How many employes are in each department?</t>
  </si>
  <si>
    <t>Pivot Table</t>
  </si>
  <si>
    <t xml:space="preserve">count show in pivot table </t>
  </si>
  <si>
    <t>Employees distribution by department help HR understand workforce allocation and identify which departments have the largest or smallest  workforce</t>
  </si>
  <si>
    <t>what is the average monthly income for each department ?</t>
  </si>
  <si>
    <t xml:space="preserve">sales has the higest avg income among the three department </t>
  </si>
  <si>
    <t xml:space="preserve">How many employe work over time in each department </t>
  </si>
  <si>
    <t xml:space="preserve">Research &amp; Development has higest number of emplyees working overtime </t>
  </si>
  <si>
    <t>What is the average monthly income of employees who work over time vs those who not ?</t>
  </si>
  <si>
    <t>Employees who work overtime have a slightly higher average monthly income then employees who do not work over time</t>
  </si>
  <si>
    <t>HR ANALYTICS DASHBOARD</t>
  </si>
  <si>
    <t>Total Employees</t>
  </si>
  <si>
    <t xml:space="preserve">Total Attrition </t>
  </si>
  <si>
    <t>Average Monthly Income</t>
  </si>
  <si>
    <t xml:space="preserve">Average Age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</si>
</sst>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242424"/>
      <name val="Aptos Narrow"/>
      <charset val="1"/>
    </font>
    <font>
      <b/>
      <sz val="18"/>
      <color theme="1"/>
      <name val="Calibri"/>
      <family val="2"/>
      <scheme val="minor"/>
    </font>
    <font>
      <b/>
      <sz val="20"/>
      <color rgb="FF242424"/>
      <name val="Aptos Narrow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7">
    <xf numFmtId="0" fontId="0" fillId="0" borderId="0" xfId="0"/>
    <xf numFmtId="0" fontId="0" fillId="0" borderId="0" xfId="0" applyNumberFormat="1"/>
    <xf numFmtId="0" fontId="18" fillId="0" borderId="0" xfId="0" applyFont="1" applyAlignment="1">
      <alignment horizontal="center"/>
    </xf>
    <xf numFmtId="0" fontId="19" fillId="0" borderId="0" xfId="0" applyFont="1" applyAlignment="1">
      <alignment wrapText="1"/>
    </xf>
    <xf numFmtId="0" fontId="19" fillId="0" borderId="0" xfId="0" applyFont="1" applyAlignment="1">
      <alignment horizontal="left"/>
    </xf>
    <xf numFmtId="0" fontId="19" fillId="0" borderId="0" xfId="0" applyFont="1" applyAlignment="1"/>
    <xf numFmtId="0" fontId="20" fillId="0" borderId="0" xfId="0" applyFont="1" applyAlignment="1">
      <alignment horizontal="left"/>
    </xf>
    <xf numFmtId="3" fontId="19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/>
    </xf>
    <xf numFmtId="0" fontId="19" fillId="0" borderId="0" xfId="0" applyFont="1" applyAlignment="1">
      <alignment horizontal="left" wrapText="1"/>
    </xf>
    <xf numFmtId="0" fontId="0" fillId="0" borderId="0" xfId="0" applyBorder="1"/>
    <xf numFmtId="0" fontId="21" fillId="33" borderId="11" xfId="0" applyFont="1" applyFill="1" applyBorder="1" applyAlignment="1">
      <alignment horizontal="center"/>
    </xf>
    <xf numFmtId="2" fontId="21" fillId="33" borderId="11" xfId="0" applyNumberFormat="1" applyFont="1" applyFill="1" applyBorder="1" applyAlignment="1">
      <alignment horizontal="center"/>
    </xf>
    <xf numFmtId="0" fontId="21" fillId="33" borderId="12" xfId="0" applyFont="1" applyFill="1" applyBorder="1" applyAlignment="1">
      <alignment horizontal="center"/>
    </xf>
    <xf numFmtId="0" fontId="16" fillId="33" borderId="10" xfId="0" applyFont="1" applyFill="1" applyBorder="1" applyAlignment="1">
      <alignment horizontal="center"/>
    </xf>
    <xf numFmtId="0" fontId="16" fillId="33" borderId="12" xfId="0" applyFont="1" applyFill="1" applyBorder="1"/>
    <xf numFmtId="0" fontId="21" fillId="33" borderId="11" xfId="0" applyFont="1" applyFill="1" applyBorder="1" applyAlignment="1">
      <alignment horizontal="center" vertical="center"/>
    </xf>
    <xf numFmtId="0" fontId="16" fillId="33" borderId="12" xfId="0" applyFont="1" applyFill="1" applyBorder="1" applyAlignment="1">
      <alignment horizontal="center"/>
    </xf>
    <xf numFmtId="0" fontId="22" fillId="0" borderId="0" xfId="0" applyFont="1" applyBorder="1" applyAlignment="1">
      <alignment vertical="center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0" xfId="0" applyAlignment="1">
      <alignment horizontal="left"/>
    </xf>
    <xf numFmtId="0" fontId="0" fillId="0" borderId="0" xfId="0" pivotButton="1" applyBorder="1"/>
    <xf numFmtId="0" fontId="0" fillId="0" borderId="0" xfId="0" applyNumberFormat="1" applyBorder="1"/>
    <xf numFmtId="165" fontId="0" fillId="0" borderId="0" xfId="0" applyNumberFormat="1" applyBorder="1"/>
    <xf numFmtId="2" fontId="0" fillId="0" borderId="0" xfId="0" applyNumberFormat="1" applyBorder="1"/>
    <xf numFmtId="0" fontId="0" fillId="0" borderId="0" xfId="0" applyBorder="1" applyAlignment="1">
      <alignment horizontal="left"/>
    </xf>
    <xf numFmtId="0" fontId="0" fillId="0" borderId="0" xfId="0" pivotButton="1" applyBorder="1" applyAlignment="1">
      <alignment horizontal="left"/>
    </xf>
    <xf numFmtId="0" fontId="0" fillId="0" borderId="0" xfId="0" applyNumberFormat="1" applyBorder="1" applyAlignment="1">
      <alignment horizontal="left"/>
    </xf>
    <xf numFmtId="164" fontId="0" fillId="0" borderId="0" xfId="0" applyNumberFormat="1" applyBorder="1" applyAlignment="1">
      <alignment horizontal="left"/>
    </xf>
    <xf numFmtId="1" fontId="0" fillId="0" borderId="0" xfId="0" applyNumberFormat="1" applyBorder="1" applyAlignment="1">
      <alignment horizontal="left"/>
    </xf>
    <xf numFmtId="0" fontId="22" fillId="0" borderId="13" xfId="0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0" fontId="22" fillId="0" borderId="15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numFmt numFmtId="164" formatCode="0.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numFmt numFmtId="164" formatCode="0.0"/>
    </dxf>
    <dxf>
      <numFmt numFmtId="1" formatCode="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numFmt numFmtId="165" formatCode="0.000"/>
    </dxf>
    <dxf>
      <numFmt numFmtId="2" formatCode="0.00"/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[HR_Analytics.xlsx]Analysis!PivotTable1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Employees by Department</a:t>
            </a:r>
          </a:p>
        </c:rich>
      </c:tx>
      <c:layout>
        <c:manualLayout>
          <c:xMode val="edge"/>
          <c:yMode val="edge"/>
          <c:x val="0.26986113654242622"/>
          <c:y val="5.1388888888888887E-2"/>
        </c:manualLayout>
      </c:layout>
      <c:overlay val="0"/>
      <c:spPr>
        <a:noFill/>
        <a:ln>
          <a:solidFill>
            <a:srgbClr val="FFFFFF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Analysis!$AT$1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Analysis!$AS$2:$AS$3</c:f>
              <c:strCache>
                <c:ptCount val="1"/>
                <c:pt idx="0">
                  <c:v>Sales</c:v>
                </c:pt>
              </c:strCache>
            </c:strRef>
          </c:cat>
          <c:val>
            <c:numRef>
              <c:f>Analysis!$AT$2:$AT$3</c:f>
              <c:numCache>
                <c:formatCode>General</c:formatCode>
                <c:ptCount val="1"/>
                <c:pt idx="0">
                  <c:v>446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98-47CC-BD66-A61CE26701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05401095"/>
        <c:axId val="4404744"/>
      </c:barChart>
      <c:catAx>
        <c:axId val="12054010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04744"/>
        <c:crosses val="autoZero"/>
        <c:auto val="1"/>
        <c:lblAlgn val="ctr"/>
        <c:lblOffset val="100"/>
        <c:noMultiLvlLbl val="0"/>
      </c:catAx>
      <c:valAx>
        <c:axId val="4404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5401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5265551181102365"/>
          <c:y val="0.89479116224554267"/>
          <c:w val="7.3071878876876731E-2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[HR_Analytics.xlsx]Analysis!PivotTable2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OverTime by Department</a:t>
            </a:r>
          </a:p>
        </c:rich>
      </c:tx>
      <c:layout>
        <c:manualLayout>
          <c:xMode val="edge"/>
          <c:yMode val="edge"/>
          <c:x val="0.28907633420822398"/>
          <c:y val="3.40277565850151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Analysis!$AT$9:$AT$10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Analysis!$AS$11:$AS$14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Analysis!$AT$11:$AT$14</c:f>
              <c:numCache>
                <c:formatCode>General</c:formatCode>
                <c:ptCount val="3"/>
                <c:pt idx="0">
                  <c:v>46</c:v>
                </c:pt>
                <c:pt idx="1">
                  <c:v>690</c:v>
                </c:pt>
                <c:pt idx="2">
                  <c:v>318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1E-48CA-82D2-03DF79ABE21C}"/>
            </c:ext>
          </c:extLst>
        </c:ser>
        <c:ser>
          <c:idx val="1"/>
          <c:order val="1"/>
          <c:tx>
            <c:strRef>
              <c:f>Analysis!$AU$9:$AU$10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Analysis!$AS$11:$AS$14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Analysis!$AU$11:$AU$14</c:f>
              <c:numCache>
                <c:formatCode>General</c:formatCode>
                <c:ptCount val="3"/>
                <c:pt idx="0">
                  <c:v>17</c:v>
                </c:pt>
                <c:pt idx="1">
                  <c:v>271</c:v>
                </c:pt>
                <c:pt idx="2">
                  <c:v>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1E-48CA-82D2-03DF79ABE2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88471304"/>
        <c:axId val="1988473352"/>
      </c:barChart>
      <c:catAx>
        <c:axId val="1988471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8473352"/>
        <c:crosses val="autoZero"/>
        <c:auto val="1"/>
        <c:lblAlgn val="ctr"/>
        <c:lblOffset val="100"/>
        <c:noMultiLvlLbl val="0"/>
      </c:catAx>
      <c:valAx>
        <c:axId val="1988473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8471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[HR_Analytics.xlsx]Analysis!PivotTable5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Monthly Income by Department</a:t>
            </a:r>
          </a:p>
        </c:rich>
      </c:tx>
      <c:layout>
        <c:manualLayout>
          <c:xMode val="edge"/>
          <c:yMode val="edge"/>
          <c:x val="0.18768066491688537"/>
          <c:y val="3.88888465033637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Analysis!$AW$1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Analysis!$AV$2:$AV$5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Analysis!$AW$2:$AW$5</c:f>
              <c:numCache>
                <c:formatCode>0.000</c:formatCode>
                <c:ptCount val="3"/>
                <c:pt idx="0">
                  <c:v>6654.5079365079364</c:v>
                </c:pt>
                <c:pt idx="1">
                  <c:v>6281.2528616024974</c:v>
                </c:pt>
                <c:pt idx="2">
                  <c:v>6959.17264573991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AB-4381-9217-5E3D872C7F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61461512"/>
        <c:axId val="1484579848"/>
      </c:barChart>
      <c:catAx>
        <c:axId val="1061461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4579848"/>
        <c:crosses val="autoZero"/>
        <c:auto val="1"/>
        <c:lblAlgn val="ctr"/>
        <c:lblOffset val="100"/>
        <c:noMultiLvlLbl val="0"/>
      </c:catAx>
      <c:valAx>
        <c:axId val="1484579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1461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[HR_Analytics.xlsx]Analysis!PivotTable8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by department </a:t>
            </a:r>
          </a:p>
        </c:rich>
      </c:tx>
      <c:layout>
        <c:manualLayout>
          <c:xMode val="edge"/>
          <c:yMode val="edge"/>
          <c:x val="0.32407638507085418"/>
          <c:y val="3.54166454739040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Analysis!$AT$21:$AT$22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Analysis!$AS$23:$AS$26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Analysis!$AT$23:$AT$26</c:f>
              <c:numCache>
                <c:formatCode>General</c:formatCode>
                <c:ptCount val="3"/>
                <c:pt idx="0">
                  <c:v>51</c:v>
                </c:pt>
                <c:pt idx="1">
                  <c:v>827</c:v>
                </c:pt>
                <c:pt idx="2">
                  <c:v>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E1-48A4-AD21-77582DF163A1}"/>
            </c:ext>
          </c:extLst>
        </c:ser>
        <c:ser>
          <c:idx val="1"/>
          <c:order val="1"/>
          <c:tx>
            <c:strRef>
              <c:f>Analysis!$AU$21:$AU$22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Analysis!$AS$23:$AS$26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Analysis!$AU$23:$AU$26</c:f>
              <c:numCache>
                <c:formatCode>General</c:formatCode>
                <c:ptCount val="3"/>
                <c:pt idx="0">
                  <c:v>12</c:v>
                </c:pt>
                <c:pt idx="1">
                  <c:v>132</c:v>
                </c:pt>
                <c:pt idx="2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E1-48A4-AD21-77582DF163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38273544"/>
        <c:axId val="1807668744"/>
      </c:barChart>
      <c:catAx>
        <c:axId val="1638273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7668744"/>
        <c:crosses val="autoZero"/>
        <c:auto val="1"/>
        <c:lblAlgn val="ctr"/>
        <c:lblOffset val="100"/>
        <c:noMultiLvlLbl val="0"/>
      </c:catAx>
      <c:valAx>
        <c:axId val="1807668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8273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48</xdr:col>
      <xdr:colOff>742950</xdr:colOff>
      <xdr:row>8</xdr:row>
      <xdr:rowOff>104775</xdr:rowOff>
    </xdr:from>
    <xdr:to>
      <xdr:col>49</xdr:col>
      <xdr:colOff>838200</xdr:colOff>
      <xdr:row>14</xdr:row>
      <xdr:rowOff>142875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Department">
              <a:extLst>
                <a:ext uri="{FF2B5EF4-FFF2-40B4-BE49-F238E27FC236}">
                  <a16:creationId xmlns:a16="http://schemas.microsoft.com/office/drawing/2014/main" id="{0CCEF631-FB44-B358-8800-86B8CD55484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partmen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3175575" y="1704975"/>
              <a:ext cx="1828800" cy="1238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8</xdr:row>
      <xdr:rowOff>95250</xdr:rowOff>
    </xdr:from>
    <xdr:to>
      <xdr:col>6</xdr:col>
      <xdr:colOff>485775</xdr:colOff>
      <xdr:row>22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03D8E79-9F73-4F48-B5A6-145E23A597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552450</xdr:colOff>
      <xdr:row>8</xdr:row>
      <xdr:rowOff>85725</xdr:rowOff>
    </xdr:from>
    <xdr:to>
      <xdr:col>12</xdr:col>
      <xdr:colOff>561975</xdr:colOff>
      <xdr:row>22</xdr:row>
      <xdr:rowOff>161925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33D2E88-CB70-2952-E51B-F124EDAF0810}"/>
            </a:ext>
            <a:ext uri="{147F2762-F138-4A5C-976F-8EAC2B608ADB}">
              <a16:predDERef xmlns:a16="http://schemas.microsoft.com/office/drawing/2014/main" pred="{203D8E79-9F73-4F48-B5A6-145E23A597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38100</xdr:colOff>
      <xdr:row>24</xdr:row>
      <xdr:rowOff>47625</xdr:rowOff>
    </xdr:from>
    <xdr:to>
      <xdr:col>6</xdr:col>
      <xdr:colOff>504825</xdr:colOff>
      <xdr:row>38</xdr:row>
      <xdr:rowOff>123825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E211D40-DA06-A9AA-5482-333EC0376C23}"/>
            </a:ext>
            <a:ext uri="{147F2762-F138-4A5C-976F-8EAC2B608ADB}">
              <a16:predDERef xmlns:a16="http://schemas.microsoft.com/office/drawing/2014/main" pred="{033D2E88-CB70-2952-E51B-F124EDAF08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533400</xdr:colOff>
      <xdr:row>24</xdr:row>
      <xdr:rowOff>28575</xdr:rowOff>
    </xdr:from>
    <xdr:to>
      <xdr:col>12</xdr:col>
      <xdr:colOff>542925</xdr:colOff>
      <xdr:row>38</xdr:row>
      <xdr:rowOff>104775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03709BE-EB8B-408E-AFA8-6B41F1BD19D9}"/>
            </a:ext>
            <a:ext uri="{147F2762-F138-4A5C-976F-8EAC2B608ADB}">
              <a16:predDERef xmlns:a16="http://schemas.microsoft.com/office/drawing/2014/main" pred="{2E211D40-DA06-A9AA-5482-333EC0376C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42.593526041666" createdVersion="8" refreshedVersion="8" minRefreshableVersion="3" recordCount="1470" xr:uid="{CCF948BD-A163-4B20-9AAB-D0BBF0EBF8C0}">
  <cacheSource type="worksheet">
    <worksheetSource ref="A1:AL1471" sheet="Analysis"/>
  </cacheSource>
  <cacheFields count="38">
    <cacheField name="Age" numFmtId="0">
      <sharedItems containsSemiMixedTypes="0" containsString="0" containsNumber="1" containsInteger="1" minValue="18" maxValue="1470"/>
    </cacheField>
    <cacheField name="Attrition" numFmtId="0">
      <sharedItems containsMixedTypes="1" containsNumber="1" containsInteger="1" minValue="5993" maxValue="5993" count="3">
        <s v="Yes"/>
        <s v="No"/>
        <n v="5993"/>
      </sharedItems>
    </cacheField>
    <cacheField name="BusinessTravel" numFmtId="0">
      <sharedItems/>
    </cacheField>
    <cacheField name="DailyRate" numFmtId="0">
      <sharedItems containsMixedTypes="1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 count="1">
        <n v="1"/>
      </sharedItems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/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/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 count="2">
        <s v="Yes"/>
        <s v="No"/>
      </sharedItems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  <cacheField name="salary_category" numFmtId="0">
      <sharedItems/>
    </cacheField>
    <cacheField name="salary_level" numFmtId="0">
      <sharedItems/>
    </cacheField>
    <cacheField name="Experience_level" numFmtId="0">
      <sharedItems/>
    </cacheField>
  </cacheFields>
  <extLst>
    <ext xmlns:x14="http://schemas.microsoft.com/office/spreadsheetml/2009/9/main" uri="{725AE2AE-9491-48be-B2B4-4EB974FC3084}">
      <x14:pivotCacheDefinition pivotCacheId="94301779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41"/>
    <x v="0"/>
    <s v="Travel_Rarely"/>
    <n v="1102"/>
    <x v="0"/>
    <n v="1"/>
    <n v="2"/>
    <s v="Life Sciences"/>
    <x v="0"/>
    <n v="1"/>
    <n v="2"/>
    <s v="Female"/>
    <n v="94"/>
    <n v="3"/>
    <n v="2"/>
    <s v="Sales Executive"/>
    <n v="4"/>
    <s v="Single"/>
    <n v="5993"/>
    <n v="19479"/>
    <n v="8"/>
    <s v="Y"/>
    <x v="0"/>
    <n v="11"/>
    <n v="3"/>
    <n v="1"/>
    <n v="80"/>
    <n v="0"/>
    <n v="8"/>
    <n v="0"/>
    <n v="1"/>
    <n v="6"/>
    <n v="4"/>
    <n v="0"/>
    <n v="5"/>
    <s v="Low"/>
    <s v="Medium"/>
    <s v="Experienced"/>
  </r>
  <r>
    <n v="49"/>
    <x v="1"/>
    <s v="Travel_Frequently"/>
    <n v="279"/>
    <x v="1"/>
    <n v="8"/>
    <n v="1"/>
    <s v="Life Sciences"/>
    <x v="0"/>
    <n v="2"/>
    <n v="3"/>
    <s v="Male"/>
    <n v="61"/>
    <n v="2"/>
    <n v="2"/>
    <s v="Research Scientist"/>
    <n v="2"/>
    <s v="Married"/>
    <n v="5130"/>
    <n v="24907"/>
    <n v="1"/>
    <s v="Y"/>
    <x v="1"/>
    <n v="23"/>
    <n v="4"/>
    <n v="4"/>
    <n v="80"/>
    <n v="1"/>
    <n v="10"/>
    <n v="3"/>
    <n v="3"/>
    <n v="10"/>
    <n v="7"/>
    <n v="1"/>
    <n v="7"/>
    <s v="Low"/>
    <s v="Medium"/>
    <s v="High"/>
  </r>
  <r>
    <n v="1470"/>
    <x v="0"/>
    <s v="Travel_Rarely"/>
    <s v="=countif('Analysis'!B2:B1471)"/>
    <x v="1"/>
    <n v="2"/>
    <n v="2"/>
    <s v="Other"/>
    <x v="0"/>
    <n v="4"/>
    <n v="4"/>
    <s v="Male"/>
    <n v="92"/>
    <n v="2"/>
    <n v="1"/>
    <s v="Laboratory Technician"/>
    <n v="3"/>
    <s v="Single"/>
    <n v="2090"/>
    <n v="2396"/>
    <n v="6"/>
    <s v="Y"/>
    <x v="0"/>
    <n v="15"/>
    <n v="3"/>
    <n v="2"/>
    <n v="80"/>
    <n v="0"/>
    <n v="7"/>
    <n v="3"/>
    <n v="3"/>
    <n v="0"/>
    <n v="0"/>
    <n v="0"/>
    <n v="0"/>
    <s v="Low"/>
    <s v="Low"/>
    <s v="new"/>
  </r>
  <r>
    <n v="33"/>
    <x v="1"/>
    <s v="Travel_Frequently"/>
    <n v="1392"/>
    <x v="1"/>
    <n v="3"/>
    <n v="4"/>
    <s v="Life Sciences"/>
    <x v="0"/>
    <n v="5"/>
    <n v="4"/>
    <s v="Female"/>
    <n v="56"/>
    <n v="3"/>
    <n v="1"/>
    <s v="Research Scientist"/>
    <n v="3"/>
    <s v="Married"/>
    <n v="2909"/>
    <n v="23159"/>
    <n v="1"/>
    <s v="Y"/>
    <x v="0"/>
    <n v="11"/>
    <n v="3"/>
    <n v="3"/>
    <n v="80"/>
    <n v="0"/>
    <n v="8"/>
    <n v="3"/>
    <n v="3"/>
    <n v="8"/>
    <n v="7"/>
    <n v="3"/>
    <n v="0"/>
    <s v="Low"/>
    <s v="Low"/>
    <s v="High"/>
  </r>
  <r>
    <n v="27"/>
    <x v="1"/>
    <s v="Travel_Rarely"/>
    <n v="591"/>
    <x v="1"/>
    <n v="2"/>
    <n v="1"/>
    <s v="Medical"/>
    <x v="0"/>
    <n v="7"/>
    <n v="1"/>
    <s v="Male"/>
    <n v="40"/>
    <n v="3"/>
    <n v="1"/>
    <s v="Laboratory Technician"/>
    <n v="2"/>
    <s v="Married"/>
    <n v="3468"/>
    <n v="16632"/>
    <n v="9"/>
    <s v="Y"/>
    <x v="1"/>
    <n v="12"/>
    <n v="3"/>
    <n v="4"/>
    <n v="80"/>
    <n v="1"/>
    <n v="6"/>
    <n v="3"/>
    <n v="3"/>
    <n v="2"/>
    <n v="2"/>
    <n v="2"/>
    <n v="2"/>
    <s v="Low"/>
    <s v="Low"/>
    <s v="new"/>
  </r>
  <r>
    <n v="32"/>
    <x v="1"/>
    <s v="Travel_Frequently"/>
    <n v="1005"/>
    <x v="1"/>
    <n v="2"/>
    <n v="2"/>
    <s v="Life Sciences"/>
    <x v="0"/>
    <n v="8"/>
    <n v="4"/>
    <s v="Male"/>
    <n v="79"/>
    <n v="3"/>
    <n v="1"/>
    <s v="Laboratory Technician"/>
    <n v="4"/>
    <s v="Single"/>
    <n v="3068"/>
    <n v="11864"/>
    <n v="0"/>
    <s v="Y"/>
    <x v="1"/>
    <n v="13"/>
    <n v="3"/>
    <n v="3"/>
    <n v="80"/>
    <n v="0"/>
    <n v="8"/>
    <n v="2"/>
    <n v="2"/>
    <n v="7"/>
    <n v="7"/>
    <n v="3"/>
    <n v="6"/>
    <s v="Low"/>
    <s v="Low"/>
    <s v="Experienced"/>
  </r>
  <r>
    <n v="59"/>
    <x v="1"/>
    <s v="Travel_Rarely"/>
    <n v="1324"/>
    <x v="1"/>
    <n v="3"/>
    <n v="3"/>
    <s v="Medical"/>
    <x v="0"/>
    <n v="10"/>
    <n v="3"/>
    <s v="Female"/>
    <n v="81"/>
    <n v="4"/>
    <n v="1"/>
    <s v="Laboratory Technician"/>
    <n v="1"/>
    <s v="Married"/>
    <n v="2670"/>
    <n v="9964"/>
    <n v="4"/>
    <s v="Y"/>
    <x v="0"/>
    <n v="20"/>
    <n v="4"/>
    <n v="1"/>
    <n v="80"/>
    <n v="3"/>
    <n v="12"/>
    <n v="3"/>
    <n v="2"/>
    <n v="1"/>
    <n v="0"/>
    <n v="0"/>
    <n v="0"/>
    <s v="Low"/>
    <s v="Low"/>
    <s v="new"/>
  </r>
  <r>
    <n v="30"/>
    <x v="1"/>
    <s v="Travel_Rarely"/>
    <n v="1358"/>
    <x v="1"/>
    <n v="24"/>
    <n v="1"/>
    <s v="Life Sciences"/>
    <x v="0"/>
    <n v="11"/>
    <n v="4"/>
    <s v="Male"/>
    <n v="67"/>
    <n v="3"/>
    <n v="1"/>
    <s v="Laboratory Technician"/>
    <n v="3"/>
    <s v="Divorced"/>
    <n v="2693"/>
    <n v="13335"/>
    <n v="1"/>
    <s v="Y"/>
    <x v="1"/>
    <n v="22"/>
    <n v="4"/>
    <n v="2"/>
    <n v="80"/>
    <n v="1"/>
    <n v="1"/>
    <n v="2"/>
    <n v="3"/>
    <n v="1"/>
    <n v="0"/>
    <n v="0"/>
    <n v="0"/>
    <s v="Low"/>
    <s v="Low"/>
    <s v="new"/>
  </r>
  <r>
    <n v="38"/>
    <x v="1"/>
    <s v="Travel_Frequently"/>
    <n v="216"/>
    <x v="1"/>
    <n v="23"/>
    <n v="3"/>
    <s v="Life Sciences"/>
    <x v="0"/>
    <n v="12"/>
    <n v="4"/>
    <s v="Male"/>
    <n v="44"/>
    <n v="2"/>
    <n v="3"/>
    <s v="Manufacturing Director"/>
    <n v="3"/>
    <s v="Single"/>
    <n v="9526"/>
    <n v="8787"/>
    <n v="0"/>
    <s v="Y"/>
    <x v="1"/>
    <n v="21"/>
    <n v="4"/>
    <n v="2"/>
    <n v="80"/>
    <n v="0"/>
    <n v="10"/>
    <n v="2"/>
    <n v="3"/>
    <n v="9"/>
    <n v="7"/>
    <n v="1"/>
    <n v="8"/>
    <s v="High"/>
    <s v="High"/>
    <s v="High"/>
  </r>
  <r>
    <n v="36"/>
    <x v="1"/>
    <s v="Travel_Rarely"/>
    <n v="1299"/>
    <x v="1"/>
    <n v="27"/>
    <n v="3"/>
    <s v="Medical"/>
    <x v="0"/>
    <n v="13"/>
    <n v="3"/>
    <s v="Male"/>
    <n v="94"/>
    <n v="3"/>
    <n v="2"/>
    <s v="Healthcare Representative"/>
    <n v="3"/>
    <s v="Married"/>
    <n v="5237"/>
    <n v="16577"/>
    <n v="6"/>
    <s v="Y"/>
    <x v="1"/>
    <n v="13"/>
    <n v="3"/>
    <n v="2"/>
    <n v="80"/>
    <n v="2"/>
    <n v="17"/>
    <n v="3"/>
    <n v="2"/>
    <n v="7"/>
    <n v="7"/>
    <n v="7"/>
    <n v="7"/>
    <s v="Low"/>
    <s v="Medium"/>
    <s v="Experienced"/>
  </r>
  <r>
    <n v="35"/>
    <x v="1"/>
    <s v="Travel_Rarely"/>
    <n v="809"/>
    <x v="1"/>
    <n v="16"/>
    <n v="3"/>
    <s v="Medical"/>
    <x v="0"/>
    <n v="14"/>
    <n v="1"/>
    <s v="Male"/>
    <n v="84"/>
    <n v="4"/>
    <n v="1"/>
    <s v="Laboratory Technician"/>
    <n v="2"/>
    <s v="Married"/>
    <n v="2426"/>
    <n v="16479"/>
    <n v="0"/>
    <s v="Y"/>
    <x v="1"/>
    <n v="13"/>
    <n v="3"/>
    <n v="3"/>
    <n v="80"/>
    <n v="1"/>
    <n v="6"/>
    <n v="5"/>
    <n v="3"/>
    <n v="5"/>
    <n v="4"/>
    <n v="0"/>
    <n v="3"/>
    <s v="Low"/>
    <s v="Low"/>
    <s v="Experienced"/>
  </r>
  <r>
    <n v="29"/>
    <x v="1"/>
    <s v="Travel_Rarely"/>
    <n v="153"/>
    <x v="1"/>
    <n v="15"/>
    <n v="2"/>
    <s v="Life Sciences"/>
    <x v="0"/>
    <n v="15"/>
    <n v="4"/>
    <s v="Female"/>
    <n v="49"/>
    <n v="2"/>
    <n v="2"/>
    <s v="Laboratory Technician"/>
    <n v="3"/>
    <s v="Single"/>
    <n v="4193"/>
    <n v="12682"/>
    <n v="0"/>
    <s v="Y"/>
    <x v="0"/>
    <n v="12"/>
    <n v="3"/>
    <n v="4"/>
    <n v="80"/>
    <n v="0"/>
    <n v="10"/>
    <n v="3"/>
    <n v="3"/>
    <n v="9"/>
    <n v="5"/>
    <n v="0"/>
    <n v="8"/>
    <s v="Low"/>
    <s v="Medium"/>
    <s v="High"/>
  </r>
  <r>
    <n v="31"/>
    <x v="1"/>
    <s v="Travel_Rarely"/>
    <n v="670"/>
    <x v="1"/>
    <n v="26"/>
    <n v="1"/>
    <s v="Life Sciences"/>
    <x v="0"/>
    <n v="16"/>
    <n v="1"/>
    <s v="Male"/>
    <n v="31"/>
    <n v="3"/>
    <n v="1"/>
    <s v="Research Scientist"/>
    <n v="3"/>
    <s v="Divorced"/>
    <n v="2911"/>
    <n v="15170"/>
    <n v="1"/>
    <s v="Y"/>
    <x v="1"/>
    <n v="17"/>
    <n v="3"/>
    <n v="4"/>
    <n v="80"/>
    <n v="1"/>
    <n v="5"/>
    <n v="1"/>
    <n v="2"/>
    <n v="5"/>
    <n v="2"/>
    <n v="4"/>
    <n v="3"/>
    <s v="Low"/>
    <s v="Low"/>
    <s v="Experienced"/>
  </r>
  <r>
    <n v="34"/>
    <x v="1"/>
    <s v="Travel_Rarely"/>
    <n v="1346"/>
    <x v="1"/>
    <n v="19"/>
    <n v="2"/>
    <s v="Medical"/>
    <x v="0"/>
    <n v="18"/>
    <n v="2"/>
    <s v="Male"/>
    <n v="93"/>
    <n v="3"/>
    <n v="1"/>
    <s v="Laboratory Technician"/>
    <n v="4"/>
    <s v="Divorced"/>
    <n v="2661"/>
    <n v="8758"/>
    <n v="0"/>
    <s v="Y"/>
    <x v="1"/>
    <n v="11"/>
    <n v="3"/>
    <n v="3"/>
    <n v="80"/>
    <n v="1"/>
    <n v="3"/>
    <n v="2"/>
    <n v="3"/>
    <n v="2"/>
    <n v="2"/>
    <n v="1"/>
    <n v="2"/>
    <s v="Low"/>
    <s v="Low"/>
    <s v="new"/>
  </r>
  <r>
    <n v="28"/>
    <x v="0"/>
    <s v="Travel_Rarely"/>
    <n v="103"/>
    <x v="1"/>
    <n v="24"/>
    <n v="3"/>
    <s v="Life Sciences"/>
    <x v="0"/>
    <n v="19"/>
    <n v="3"/>
    <s v="Male"/>
    <n v="50"/>
    <n v="2"/>
    <n v="1"/>
    <s v="Laboratory Technician"/>
    <n v="3"/>
    <s v="Single"/>
    <n v="2028"/>
    <n v="12947"/>
    <n v="5"/>
    <s v="Y"/>
    <x v="0"/>
    <n v="14"/>
    <n v="3"/>
    <n v="2"/>
    <n v="80"/>
    <n v="0"/>
    <n v="6"/>
    <n v="4"/>
    <n v="3"/>
    <n v="4"/>
    <n v="2"/>
    <n v="0"/>
    <n v="3"/>
    <s v="Low"/>
    <s v="Low"/>
    <s v="Experienced"/>
  </r>
  <r>
    <n v="29"/>
    <x v="1"/>
    <s v="Travel_Rarely"/>
    <n v="1389"/>
    <x v="1"/>
    <n v="21"/>
    <n v="4"/>
    <s v="Life Sciences"/>
    <x v="0"/>
    <n v="20"/>
    <n v="2"/>
    <s v="Female"/>
    <n v="51"/>
    <n v="4"/>
    <n v="3"/>
    <s v="Manufacturing Director"/>
    <n v="1"/>
    <s v="Divorced"/>
    <n v="9980"/>
    <n v="10195"/>
    <n v="1"/>
    <s v="Y"/>
    <x v="1"/>
    <n v="11"/>
    <n v="3"/>
    <n v="3"/>
    <n v="80"/>
    <n v="1"/>
    <n v="10"/>
    <n v="1"/>
    <n v="3"/>
    <n v="10"/>
    <n v="9"/>
    <n v="8"/>
    <n v="8"/>
    <s v="High"/>
    <s v="High"/>
    <s v="High"/>
  </r>
  <r>
    <n v="32"/>
    <x v="1"/>
    <s v="Travel_Rarely"/>
    <n v="334"/>
    <x v="1"/>
    <n v="5"/>
    <n v="2"/>
    <s v="Life Sciences"/>
    <x v="0"/>
    <n v="21"/>
    <n v="1"/>
    <s v="Male"/>
    <n v="80"/>
    <n v="4"/>
    <n v="1"/>
    <s v="Research Scientist"/>
    <n v="2"/>
    <s v="Divorced"/>
    <n v="3298"/>
    <n v="15053"/>
    <n v="0"/>
    <s v="Y"/>
    <x v="0"/>
    <n v="12"/>
    <n v="3"/>
    <n v="4"/>
    <n v="80"/>
    <n v="2"/>
    <n v="7"/>
    <n v="5"/>
    <n v="2"/>
    <n v="6"/>
    <n v="2"/>
    <n v="0"/>
    <n v="5"/>
    <s v="Low"/>
    <s v="Low"/>
    <s v="Experienced"/>
  </r>
  <r>
    <n v="22"/>
    <x v="1"/>
    <s v="Non-Travel"/>
    <n v="1123"/>
    <x v="1"/>
    <n v="16"/>
    <n v="2"/>
    <s v="Medical"/>
    <x v="0"/>
    <n v="22"/>
    <n v="4"/>
    <s v="Male"/>
    <n v="96"/>
    <n v="4"/>
    <n v="1"/>
    <s v="Laboratory Technician"/>
    <n v="4"/>
    <s v="Divorced"/>
    <n v="2935"/>
    <n v="7324"/>
    <n v="1"/>
    <s v="Y"/>
    <x v="0"/>
    <n v="13"/>
    <n v="3"/>
    <n v="2"/>
    <n v="80"/>
    <n v="2"/>
    <n v="1"/>
    <n v="2"/>
    <n v="2"/>
    <n v="1"/>
    <n v="0"/>
    <n v="0"/>
    <n v="0"/>
    <s v="Low"/>
    <s v="Low"/>
    <s v="new"/>
  </r>
  <r>
    <n v="53"/>
    <x v="1"/>
    <s v="Travel_Rarely"/>
    <n v="1219"/>
    <x v="0"/>
    <n v="2"/>
    <n v="4"/>
    <s v="Life Sciences"/>
    <x v="0"/>
    <n v="23"/>
    <n v="1"/>
    <s v="Female"/>
    <n v="78"/>
    <n v="2"/>
    <n v="4"/>
    <s v="Manager"/>
    <n v="4"/>
    <s v="Married"/>
    <n v="15427"/>
    <n v="22021"/>
    <n v="2"/>
    <s v="Y"/>
    <x v="1"/>
    <n v="16"/>
    <n v="3"/>
    <n v="3"/>
    <n v="80"/>
    <n v="0"/>
    <n v="31"/>
    <n v="3"/>
    <n v="3"/>
    <n v="25"/>
    <n v="8"/>
    <n v="3"/>
    <n v="7"/>
    <s v="High"/>
    <s v="High"/>
    <s v="High"/>
  </r>
  <r>
    <n v="38"/>
    <x v="1"/>
    <s v="Travel_Rarely"/>
    <n v="371"/>
    <x v="1"/>
    <n v="2"/>
    <n v="3"/>
    <s v="Life Sciences"/>
    <x v="0"/>
    <n v="24"/>
    <n v="4"/>
    <s v="Male"/>
    <n v="45"/>
    <n v="3"/>
    <n v="1"/>
    <s v="Research Scientist"/>
    <n v="4"/>
    <s v="Single"/>
    <n v="3944"/>
    <n v="4306"/>
    <n v="5"/>
    <s v="Y"/>
    <x v="0"/>
    <n v="11"/>
    <n v="3"/>
    <n v="3"/>
    <n v="80"/>
    <n v="0"/>
    <n v="6"/>
    <n v="3"/>
    <n v="3"/>
    <n v="3"/>
    <n v="2"/>
    <n v="1"/>
    <n v="2"/>
    <s v="Low"/>
    <s v="Low"/>
    <s v="Experienced"/>
  </r>
  <r>
    <n v="24"/>
    <x v="1"/>
    <s v="Non-Travel"/>
    <n v="673"/>
    <x v="1"/>
    <n v="11"/>
    <n v="2"/>
    <s v="Other"/>
    <x v="0"/>
    <n v="26"/>
    <n v="1"/>
    <s v="Female"/>
    <n v="96"/>
    <n v="4"/>
    <n v="2"/>
    <s v="Manufacturing Director"/>
    <n v="3"/>
    <s v="Divorced"/>
    <n v="4011"/>
    <n v="8232"/>
    <n v="0"/>
    <s v="Y"/>
    <x v="1"/>
    <n v="18"/>
    <n v="3"/>
    <n v="4"/>
    <n v="80"/>
    <n v="1"/>
    <n v="5"/>
    <n v="5"/>
    <n v="2"/>
    <n v="4"/>
    <n v="2"/>
    <n v="1"/>
    <n v="3"/>
    <s v="Low"/>
    <s v="Medium"/>
    <s v="Experienced"/>
  </r>
  <r>
    <n v="36"/>
    <x v="0"/>
    <s v="Travel_Rarely"/>
    <n v="1218"/>
    <x v="0"/>
    <n v="9"/>
    <n v="4"/>
    <s v="Life Sciences"/>
    <x v="0"/>
    <n v="27"/>
    <n v="3"/>
    <s v="Male"/>
    <n v="82"/>
    <n v="2"/>
    <n v="1"/>
    <s v="Sales Representative"/>
    <n v="1"/>
    <s v="Single"/>
    <n v="3407"/>
    <n v="6986"/>
    <n v="7"/>
    <s v="Y"/>
    <x v="1"/>
    <n v="23"/>
    <n v="4"/>
    <n v="2"/>
    <n v="80"/>
    <n v="0"/>
    <n v="10"/>
    <n v="4"/>
    <n v="3"/>
    <n v="5"/>
    <n v="3"/>
    <n v="0"/>
    <n v="3"/>
    <s v="Low"/>
    <s v="Low"/>
    <s v="Experienced"/>
  </r>
  <r>
    <n v="34"/>
    <x v="1"/>
    <s v="Travel_Rarely"/>
    <n v="419"/>
    <x v="1"/>
    <n v="7"/>
    <n v="4"/>
    <s v="Life Sciences"/>
    <x v="0"/>
    <n v="28"/>
    <n v="1"/>
    <s v="Female"/>
    <n v="53"/>
    <n v="3"/>
    <n v="3"/>
    <s v="Research Director"/>
    <n v="2"/>
    <s v="Single"/>
    <n v="11994"/>
    <n v="21293"/>
    <n v="0"/>
    <s v="Y"/>
    <x v="1"/>
    <n v="11"/>
    <n v="3"/>
    <n v="3"/>
    <n v="80"/>
    <n v="0"/>
    <n v="13"/>
    <n v="4"/>
    <n v="3"/>
    <n v="12"/>
    <n v="6"/>
    <n v="2"/>
    <n v="11"/>
    <s v="High"/>
    <s v="High"/>
    <s v="High"/>
  </r>
  <r>
    <n v="21"/>
    <x v="1"/>
    <s v="Travel_Rarely"/>
    <n v="391"/>
    <x v="1"/>
    <n v="15"/>
    <n v="2"/>
    <s v="Life Sciences"/>
    <x v="0"/>
    <n v="30"/>
    <n v="3"/>
    <s v="Male"/>
    <n v="96"/>
    <n v="3"/>
    <n v="1"/>
    <s v="Research Scientist"/>
    <n v="4"/>
    <s v="Single"/>
    <n v="1232"/>
    <n v="19281"/>
    <n v="1"/>
    <s v="Y"/>
    <x v="1"/>
    <n v="14"/>
    <n v="3"/>
    <n v="4"/>
    <n v="80"/>
    <n v="0"/>
    <n v="0"/>
    <n v="6"/>
    <n v="3"/>
    <n v="0"/>
    <n v="0"/>
    <n v="0"/>
    <n v="0"/>
    <s v="Low"/>
    <s v="Low"/>
    <s v="new"/>
  </r>
  <r>
    <n v="34"/>
    <x v="0"/>
    <s v="Travel_Rarely"/>
    <n v="699"/>
    <x v="1"/>
    <n v="6"/>
    <n v="1"/>
    <s v="Medical"/>
    <x v="0"/>
    <n v="31"/>
    <n v="2"/>
    <s v="Male"/>
    <n v="83"/>
    <n v="3"/>
    <n v="1"/>
    <s v="Research Scientist"/>
    <n v="1"/>
    <s v="Single"/>
    <n v="2960"/>
    <n v="17102"/>
    <n v="2"/>
    <s v="Y"/>
    <x v="1"/>
    <n v="11"/>
    <n v="3"/>
    <n v="3"/>
    <n v="80"/>
    <n v="0"/>
    <n v="8"/>
    <n v="2"/>
    <n v="3"/>
    <n v="4"/>
    <n v="2"/>
    <n v="1"/>
    <n v="3"/>
    <s v="Low"/>
    <s v="Low"/>
    <s v="Experienced"/>
  </r>
  <r>
    <n v="53"/>
    <x v="2"/>
    <s v="Travel_Rarely"/>
    <n v="1282"/>
    <x v="1"/>
    <n v="5"/>
    <n v="3"/>
    <s v="Other"/>
    <x v="0"/>
    <n v="32"/>
    <n v="3"/>
    <s v="Female"/>
    <n v="58"/>
    <n v="3"/>
    <n v="5"/>
    <s v="Manager"/>
    <n v="3"/>
    <s v="Divorced"/>
    <n v="19094"/>
    <n v="10735"/>
    <n v="4"/>
    <s v="Y"/>
    <x v="1"/>
    <n v="11"/>
    <n v="3"/>
    <n v="4"/>
    <n v="80"/>
    <n v="1"/>
    <n v="26"/>
    <n v="3"/>
    <n v="2"/>
    <n v="14"/>
    <n v="13"/>
    <n v="4"/>
    <n v="8"/>
    <s v="High"/>
    <s v="High"/>
    <s v="High"/>
  </r>
  <r>
    <n v="32"/>
    <x v="2"/>
    <s v="Travel_Frequently"/>
    <n v="1125"/>
    <x v="1"/>
    <n v="16"/>
    <n v="1"/>
    <s v="Life Sciences"/>
    <x v="0"/>
    <n v="33"/>
    <n v="2"/>
    <s v="Female"/>
    <n v="72"/>
    <n v="1"/>
    <n v="1"/>
    <s v="Research Scientist"/>
    <n v="1"/>
    <s v="Single"/>
    <n v="3919"/>
    <n v="4681"/>
    <n v="1"/>
    <s v="Y"/>
    <x v="0"/>
    <n v="22"/>
    <n v="4"/>
    <n v="2"/>
    <n v="80"/>
    <n v="0"/>
    <n v="10"/>
    <n v="5"/>
    <n v="3"/>
    <n v="10"/>
    <n v="2"/>
    <n v="6"/>
    <n v="7"/>
    <s v="Low"/>
    <s v="Low"/>
    <s v="High"/>
  </r>
  <r>
    <n v="42"/>
    <x v="1"/>
    <s v="Travel_Rarely"/>
    <n v="691"/>
    <x v="0"/>
    <n v="8"/>
    <n v="4"/>
    <s v="Marketing"/>
    <x v="0"/>
    <n v="35"/>
    <n v="3"/>
    <s v="Male"/>
    <n v="48"/>
    <n v="3"/>
    <n v="2"/>
    <s v="Sales Executive"/>
    <n v="2"/>
    <s v="Married"/>
    <n v="6825"/>
    <n v="21173"/>
    <n v="0"/>
    <s v="Y"/>
    <x v="1"/>
    <n v="11"/>
    <n v="3"/>
    <n v="4"/>
    <n v="80"/>
    <n v="1"/>
    <n v="10"/>
    <n v="2"/>
    <n v="3"/>
    <n v="9"/>
    <n v="7"/>
    <n v="4"/>
    <n v="2"/>
    <s v="High"/>
    <s v="Medium"/>
    <s v="High"/>
  </r>
  <r>
    <n v="44"/>
    <x v="1"/>
    <s v="Travel_Rarely"/>
    <n v="477"/>
    <x v="1"/>
    <n v="7"/>
    <n v="4"/>
    <s v="Medical"/>
    <x v="0"/>
    <n v="36"/>
    <n v="1"/>
    <s v="Female"/>
    <n v="42"/>
    <n v="2"/>
    <n v="3"/>
    <s v="Healthcare Representative"/>
    <n v="4"/>
    <s v="Married"/>
    <n v="10248"/>
    <n v="2094"/>
    <n v="3"/>
    <s v="Y"/>
    <x v="1"/>
    <n v="14"/>
    <n v="3"/>
    <n v="4"/>
    <n v="80"/>
    <n v="1"/>
    <n v="24"/>
    <n v="4"/>
    <n v="3"/>
    <n v="22"/>
    <n v="6"/>
    <n v="5"/>
    <n v="17"/>
    <s v="High"/>
    <s v="High"/>
    <s v="High"/>
  </r>
  <r>
    <n v="46"/>
    <x v="1"/>
    <s v="Travel_Rarely"/>
    <n v="705"/>
    <x v="0"/>
    <n v="2"/>
    <n v="4"/>
    <s v="Marketing"/>
    <x v="0"/>
    <n v="38"/>
    <n v="2"/>
    <s v="Female"/>
    <n v="83"/>
    <n v="3"/>
    <n v="5"/>
    <s v="Manager"/>
    <n v="1"/>
    <s v="Single"/>
    <n v="18947"/>
    <n v="22822"/>
    <n v="3"/>
    <s v="Y"/>
    <x v="1"/>
    <n v="12"/>
    <n v="3"/>
    <n v="4"/>
    <n v="80"/>
    <n v="0"/>
    <n v="22"/>
    <n v="2"/>
    <n v="2"/>
    <n v="2"/>
    <n v="2"/>
    <n v="2"/>
    <n v="1"/>
    <s v="High"/>
    <s v="High"/>
    <s v="new"/>
  </r>
  <r>
    <n v="33"/>
    <x v="1"/>
    <s v="Travel_Rarely"/>
    <n v="924"/>
    <x v="1"/>
    <n v="2"/>
    <n v="3"/>
    <s v="Medical"/>
    <x v="0"/>
    <n v="39"/>
    <n v="3"/>
    <s v="Male"/>
    <n v="78"/>
    <n v="3"/>
    <n v="1"/>
    <s v="Laboratory Technician"/>
    <n v="4"/>
    <s v="Single"/>
    <n v="2496"/>
    <n v="6670"/>
    <n v="4"/>
    <s v="Y"/>
    <x v="1"/>
    <n v="11"/>
    <n v="3"/>
    <n v="4"/>
    <n v="80"/>
    <n v="0"/>
    <n v="7"/>
    <n v="3"/>
    <n v="3"/>
    <n v="1"/>
    <n v="1"/>
    <n v="0"/>
    <n v="0"/>
    <s v="Low"/>
    <s v="Low"/>
    <s v="new"/>
  </r>
  <r>
    <n v="44"/>
    <x v="1"/>
    <s v="Travel_Rarely"/>
    <n v="1459"/>
    <x v="1"/>
    <n v="10"/>
    <n v="4"/>
    <s v="Other"/>
    <x v="0"/>
    <n v="40"/>
    <n v="4"/>
    <s v="Male"/>
    <n v="41"/>
    <n v="3"/>
    <n v="2"/>
    <s v="Healthcare Representative"/>
    <n v="4"/>
    <s v="Married"/>
    <n v="6465"/>
    <n v="19121"/>
    <n v="2"/>
    <s v="Y"/>
    <x v="0"/>
    <n v="13"/>
    <n v="3"/>
    <n v="4"/>
    <n v="80"/>
    <n v="0"/>
    <n v="9"/>
    <n v="5"/>
    <n v="4"/>
    <n v="4"/>
    <n v="2"/>
    <n v="1"/>
    <n v="3"/>
    <s v="Low"/>
    <s v="Medium"/>
    <s v="Experienced"/>
  </r>
  <r>
    <n v="30"/>
    <x v="1"/>
    <s v="Travel_Rarely"/>
    <n v="125"/>
    <x v="1"/>
    <n v="9"/>
    <n v="2"/>
    <s v="Medical"/>
    <x v="0"/>
    <n v="41"/>
    <n v="4"/>
    <s v="Male"/>
    <n v="83"/>
    <n v="2"/>
    <n v="1"/>
    <s v="Laboratory Technician"/>
    <n v="3"/>
    <s v="Single"/>
    <n v="2206"/>
    <n v="16117"/>
    <n v="1"/>
    <s v="Y"/>
    <x v="1"/>
    <n v="13"/>
    <n v="3"/>
    <n v="1"/>
    <n v="80"/>
    <n v="0"/>
    <n v="10"/>
    <n v="5"/>
    <n v="3"/>
    <n v="10"/>
    <n v="0"/>
    <n v="1"/>
    <n v="8"/>
    <s v="Low"/>
    <s v="Low"/>
    <s v="High"/>
  </r>
  <r>
    <n v="39"/>
    <x v="0"/>
    <s v="Travel_Rarely"/>
    <n v="895"/>
    <x v="0"/>
    <n v="5"/>
    <n v="3"/>
    <s v="Technical Degree"/>
    <x v="0"/>
    <n v="42"/>
    <n v="4"/>
    <s v="Male"/>
    <n v="56"/>
    <n v="3"/>
    <n v="2"/>
    <s v="Sales Representative"/>
    <n v="4"/>
    <s v="Married"/>
    <n v="2086"/>
    <n v="3335"/>
    <n v="3"/>
    <s v="Y"/>
    <x v="1"/>
    <n v="14"/>
    <n v="3"/>
    <n v="3"/>
    <n v="80"/>
    <n v="1"/>
    <n v="19"/>
    <n v="6"/>
    <n v="4"/>
    <n v="1"/>
    <n v="0"/>
    <n v="0"/>
    <n v="0"/>
    <s v="Low"/>
    <s v="Low"/>
    <s v="new"/>
  </r>
  <r>
    <n v="24"/>
    <x v="0"/>
    <s v="Travel_Rarely"/>
    <n v="813"/>
    <x v="1"/>
    <n v="1"/>
    <n v="3"/>
    <s v="Medical"/>
    <x v="0"/>
    <n v="45"/>
    <n v="2"/>
    <s v="Male"/>
    <n v="61"/>
    <n v="3"/>
    <n v="1"/>
    <s v="Research Scientist"/>
    <n v="4"/>
    <s v="Married"/>
    <n v="2293"/>
    <n v="3020"/>
    <n v="2"/>
    <s v="Y"/>
    <x v="0"/>
    <n v="16"/>
    <n v="3"/>
    <n v="1"/>
    <n v="80"/>
    <n v="1"/>
    <n v="6"/>
    <n v="2"/>
    <n v="2"/>
    <n v="2"/>
    <n v="0"/>
    <n v="2"/>
    <n v="0"/>
    <s v="Low"/>
    <s v="Low"/>
    <s v="new"/>
  </r>
  <r>
    <n v="43"/>
    <x v="1"/>
    <s v="Travel_Rarely"/>
    <n v="1273"/>
    <x v="1"/>
    <n v="2"/>
    <n v="2"/>
    <s v="Medical"/>
    <x v="0"/>
    <n v="46"/>
    <n v="4"/>
    <s v="Female"/>
    <n v="72"/>
    <n v="4"/>
    <n v="1"/>
    <s v="Research Scientist"/>
    <n v="3"/>
    <s v="Divorced"/>
    <n v="2645"/>
    <n v="21923"/>
    <n v="1"/>
    <s v="Y"/>
    <x v="1"/>
    <n v="12"/>
    <n v="3"/>
    <n v="4"/>
    <n v="80"/>
    <n v="2"/>
    <n v="6"/>
    <n v="3"/>
    <n v="2"/>
    <n v="5"/>
    <n v="3"/>
    <n v="1"/>
    <n v="4"/>
    <s v="Low"/>
    <s v="Low"/>
    <s v="Experienced"/>
  </r>
  <r>
    <n v="50"/>
    <x v="0"/>
    <s v="Travel_Rarely"/>
    <n v="869"/>
    <x v="0"/>
    <n v="3"/>
    <n v="2"/>
    <s v="Marketing"/>
    <x v="0"/>
    <n v="47"/>
    <n v="1"/>
    <s v="Male"/>
    <n v="86"/>
    <n v="2"/>
    <n v="1"/>
    <s v="Sales Representative"/>
    <n v="3"/>
    <s v="Married"/>
    <n v="2683"/>
    <n v="3810"/>
    <n v="1"/>
    <s v="Y"/>
    <x v="0"/>
    <n v="14"/>
    <n v="3"/>
    <n v="3"/>
    <n v="80"/>
    <n v="0"/>
    <n v="3"/>
    <n v="2"/>
    <n v="3"/>
    <n v="3"/>
    <n v="2"/>
    <n v="0"/>
    <n v="2"/>
    <s v="Low"/>
    <s v="Low"/>
    <s v="Experienced"/>
  </r>
  <r>
    <n v="35"/>
    <x v="1"/>
    <s v="Travel_Rarely"/>
    <n v="890"/>
    <x v="0"/>
    <n v="2"/>
    <n v="3"/>
    <s v="Marketing"/>
    <x v="0"/>
    <n v="49"/>
    <n v="4"/>
    <s v="Female"/>
    <n v="97"/>
    <n v="3"/>
    <n v="1"/>
    <s v="Sales Representative"/>
    <n v="4"/>
    <s v="Married"/>
    <n v="2014"/>
    <n v="9687"/>
    <n v="1"/>
    <s v="Y"/>
    <x v="1"/>
    <n v="13"/>
    <n v="3"/>
    <n v="1"/>
    <n v="80"/>
    <n v="0"/>
    <n v="2"/>
    <n v="3"/>
    <n v="3"/>
    <n v="2"/>
    <n v="2"/>
    <n v="2"/>
    <n v="2"/>
    <s v="Low"/>
    <s v="Low"/>
    <s v="new"/>
  </r>
  <r>
    <n v="36"/>
    <x v="1"/>
    <s v="Travel_Rarely"/>
    <n v="852"/>
    <x v="1"/>
    <n v="5"/>
    <n v="4"/>
    <s v="Life Sciences"/>
    <x v="0"/>
    <n v="51"/>
    <n v="2"/>
    <s v="Female"/>
    <n v="82"/>
    <n v="2"/>
    <n v="1"/>
    <s v="Research Scientist"/>
    <n v="1"/>
    <s v="Married"/>
    <n v="3419"/>
    <n v="13072"/>
    <n v="9"/>
    <s v="Y"/>
    <x v="0"/>
    <n v="14"/>
    <n v="3"/>
    <n v="4"/>
    <n v="80"/>
    <n v="1"/>
    <n v="6"/>
    <n v="3"/>
    <n v="4"/>
    <n v="1"/>
    <n v="1"/>
    <n v="0"/>
    <n v="0"/>
    <s v="Low"/>
    <s v="Low"/>
    <s v="new"/>
  </r>
  <r>
    <n v="33"/>
    <x v="1"/>
    <s v="Travel_Frequently"/>
    <n v="1141"/>
    <x v="0"/>
    <n v="1"/>
    <n v="3"/>
    <s v="Life Sciences"/>
    <x v="0"/>
    <n v="52"/>
    <n v="3"/>
    <s v="Female"/>
    <n v="42"/>
    <n v="4"/>
    <n v="2"/>
    <s v="Sales Executive"/>
    <n v="1"/>
    <s v="Married"/>
    <n v="5376"/>
    <n v="3193"/>
    <n v="2"/>
    <s v="Y"/>
    <x v="1"/>
    <n v="19"/>
    <n v="3"/>
    <n v="1"/>
    <n v="80"/>
    <n v="2"/>
    <n v="10"/>
    <n v="3"/>
    <n v="3"/>
    <n v="5"/>
    <n v="3"/>
    <n v="1"/>
    <n v="3"/>
    <s v="Low"/>
    <s v="Medium"/>
    <s v="Experienced"/>
  </r>
  <r>
    <n v="35"/>
    <x v="1"/>
    <s v="Travel_Rarely"/>
    <n v="464"/>
    <x v="1"/>
    <n v="4"/>
    <n v="2"/>
    <s v="Other"/>
    <x v="0"/>
    <n v="53"/>
    <n v="3"/>
    <s v="Male"/>
    <n v="75"/>
    <n v="3"/>
    <n v="1"/>
    <s v="Laboratory Technician"/>
    <n v="4"/>
    <s v="Divorced"/>
    <n v="1951"/>
    <n v="10910"/>
    <n v="1"/>
    <s v="Y"/>
    <x v="1"/>
    <n v="12"/>
    <n v="3"/>
    <n v="3"/>
    <n v="80"/>
    <n v="1"/>
    <n v="1"/>
    <n v="3"/>
    <n v="3"/>
    <n v="1"/>
    <n v="0"/>
    <n v="0"/>
    <n v="0"/>
    <s v="Low"/>
    <s v="Low"/>
    <s v="new"/>
  </r>
  <r>
    <n v="27"/>
    <x v="1"/>
    <s v="Travel_Rarely"/>
    <n v="1240"/>
    <x v="1"/>
    <n v="2"/>
    <n v="4"/>
    <s v="Life Sciences"/>
    <x v="0"/>
    <n v="54"/>
    <n v="4"/>
    <s v="Female"/>
    <n v="33"/>
    <n v="3"/>
    <n v="1"/>
    <s v="Laboratory Technician"/>
    <n v="1"/>
    <s v="Divorced"/>
    <n v="2341"/>
    <n v="19715"/>
    <n v="1"/>
    <s v="Y"/>
    <x v="1"/>
    <n v="13"/>
    <n v="3"/>
    <n v="4"/>
    <n v="80"/>
    <n v="1"/>
    <n v="1"/>
    <n v="6"/>
    <n v="3"/>
    <n v="1"/>
    <n v="0"/>
    <n v="0"/>
    <n v="0"/>
    <s v="Low"/>
    <s v="Low"/>
    <s v="new"/>
  </r>
  <r>
    <n v="26"/>
    <x v="0"/>
    <s v="Travel_Rarely"/>
    <n v="1357"/>
    <x v="1"/>
    <n v="25"/>
    <n v="3"/>
    <s v="Life Sciences"/>
    <x v="0"/>
    <n v="55"/>
    <n v="1"/>
    <s v="Male"/>
    <n v="48"/>
    <n v="1"/>
    <n v="1"/>
    <s v="Laboratory Technician"/>
    <n v="3"/>
    <s v="Single"/>
    <n v="2293"/>
    <n v="10558"/>
    <n v="1"/>
    <s v="Y"/>
    <x v="1"/>
    <n v="12"/>
    <n v="3"/>
    <n v="3"/>
    <n v="80"/>
    <n v="0"/>
    <n v="1"/>
    <n v="2"/>
    <n v="2"/>
    <n v="1"/>
    <n v="0"/>
    <n v="0"/>
    <n v="1"/>
    <s v="Low"/>
    <s v="Low"/>
    <s v="new"/>
  </r>
  <r>
    <n v="27"/>
    <x v="1"/>
    <s v="Travel_Frequently"/>
    <n v="994"/>
    <x v="0"/>
    <n v="8"/>
    <n v="3"/>
    <s v="Life Sciences"/>
    <x v="0"/>
    <n v="56"/>
    <n v="4"/>
    <s v="Male"/>
    <n v="37"/>
    <n v="3"/>
    <n v="3"/>
    <s v="Sales Executive"/>
    <n v="3"/>
    <s v="Single"/>
    <n v="8726"/>
    <n v="2975"/>
    <n v="1"/>
    <s v="Y"/>
    <x v="1"/>
    <n v="15"/>
    <n v="3"/>
    <n v="4"/>
    <n v="80"/>
    <n v="0"/>
    <n v="9"/>
    <n v="0"/>
    <n v="3"/>
    <n v="9"/>
    <n v="8"/>
    <n v="1"/>
    <n v="7"/>
    <s v="High"/>
    <s v="High"/>
    <s v="High"/>
  </r>
  <r>
    <n v="30"/>
    <x v="1"/>
    <s v="Travel_Frequently"/>
    <n v="721"/>
    <x v="1"/>
    <n v="1"/>
    <n v="2"/>
    <s v="Medical"/>
    <x v="0"/>
    <n v="57"/>
    <n v="3"/>
    <s v="Female"/>
    <n v="58"/>
    <n v="3"/>
    <n v="2"/>
    <s v="Laboratory Technician"/>
    <n v="4"/>
    <s v="Single"/>
    <n v="4011"/>
    <n v="10781"/>
    <n v="1"/>
    <s v="Y"/>
    <x v="1"/>
    <n v="23"/>
    <n v="4"/>
    <n v="4"/>
    <n v="80"/>
    <n v="0"/>
    <n v="12"/>
    <n v="2"/>
    <n v="3"/>
    <n v="12"/>
    <n v="8"/>
    <n v="3"/>
    <n v="7"/>
    <s v="Low"/>
    <s v="Medium"/>
    <s v="High"/>
  </r>
  <r>
    <n v="41"/>
    <x v="0"/>
    <s v="Travel_Rarely"/>
    <n v="1360"/>
    <x v="1"/>
    <n v="12"/>
    <n v="3"/>
    <s v="Technical Degree"/>
    <x v="0"/>
    <n v="58"/>
    <n v="2"/>
    <s v="Female"/>
    <n v="49"/>
    <n v="3"/>
    <n v="5"/>
    <s v="Research Director"/>
    <n v="3"/>
    <s v="Married"/>
    <n v="19545"/>
    <n v="16280"/>
    <n v="1"/>
    <s v="Y"/>
    <x v="1"/>
    <n v="12"/>
    <n v="3"/>
    <n v="4"/>
    <n v="80"/>
    <n v="0"/>
    <n v="23"/>
    <n v="0"/>
    <n v="3"/>
    <n v="22"/>
    <n v="15"/>
    <n v="15"/>
    <n v="8"/>
    <s v="High"/>
    <s v="High"/>
    <s v="High"/>
  </r>
  <r>
    <n v="34"/>
    <x v="1"/>
    <s v="Non-Travel"/>
    <n v="1065"/>
    <x v="0"/>
    <n v="23"/>
    <n v="4"/>
    <s v="Marketing"/>
    <x v="0"/>
    <n v="60"/>
    <n v="2"/>
    <s v="Male"/>
    <n v="72"/>
    <n v="3"/>
    <n v="2"/>
    <s v="Sales Executive"/>
    <n v="3"/>
    <s v="Single"/>
    <n v="4568"/>
    <n v="10034"/>
    <n v="0"/>
    <s v="Y"/>
    <x v="1"/>
    <n v="20"/>
    <n v="4"/>
    <n v="3"/>
    <n v="80"/>
    <n v="0"/>
    <n v="10"/>
    <n v="2"/>
    <n v="3"/>
    <n v="9"/>
    <n v="5"/>
    <n v="8"/>
    <n v="7"/>
    <s v="Low"/>
    <s v="Medium"/>
    <s v="High"/>
  </r>
  <r>
    <n v="37"/>
    <x v="1"/>
    <s v="Travel_Rarely"/>
    <n v="408"/>
    <x v="1"/>
    <n v="19"/>
    <n v="2"/>
    <s v="Life Sciences"/>
    <x v="0"/>
    <n v="61"/>
    <n v="2"/>
    <s v="Male"/>
    <n v="73"/>
    <n v="3"/>
    <n v="1"/>
    <s v="Research Scientist"/>
    <n v="2"/>
    <s v="Married"/>
    <n v="3022"/>
    <n v="10227"/>
    <n v="4"/>
    <s v="Y"/>
    <x v="1"/>
    <n v="21"/>
    <n v="4"/>
    <n v="1"/>
    <n v="80"/>
    <n v="0"/>
    <n v="8"/>
    <n v="1"/>
    <n v="3"/>
    <n v="1"/>
    <n v="0"/>
    <n v="0"/>
    <n v="0"/>
    <s v="Low"/>
    <s v="Low"/>
    <s v="new"/>
  </r>
  <r>
    <n v="46"/>
    <x v="1"/>
    <s v="Travel_Frequently"/>
    <n v="1211"/>
    <x v="0"/>
    <n v="5"/>
    <n v="4"/>
    <s v="Marketing"/>
    <x v="0"/>
    <n v="62"/>
    <n v="1"/>
    <s v="Male"/>
    <n v="98"/>
    <n v="3"/>
    <n v="2"/>
    <s v="Sales Executive"/>
    <n v="4"/>
    <s v="Single"/>
    <n v="5772"/>
    <n v="20445"/>
    <n v="4"/>
    <s v="Y"/>
    <x v="0"/>
    <n v="21"/>
    <n v="4"/>
    <n v="3"/>
    <n v="80"/>
    <n v="0"/>
    <n v="14"/>
    <n v="4"/>
    <n v="3"/>
    <n v="9"/>
    <n v="6"/>
    <n v="0"/>
    <n v="8"/>
    <s v="Low"/>
    <s v="Medium"/>
    <s v="High"/>
  </r>
  <r>
    <n v="35"/>
    <x v="1"/>
    <s v="Travel_Rarely"/>
    <n v="1229"/>
    <x v="1"/>
    <n v="8"/>
    <n v="1"/>
    <s v="Life Sciences"/>
    <x v="0"/>
    <n v="63"/>
    <n v="4"/>
    <s v="Male"/>
    <n v="36"/>
    <n v="4"/>
    <n v="1"/>
    <s v="Laboratory Technician"/>
    <n v="4"/>
    <s v="Married"/>
    <n v="2269"/>
    <n v="4892"/>
    <n v="1"/>
    <s v="Y"/>
    <x v="1"/>
    <n v="19"/>
    <n v="3"/>
    <n v="4"/>
    <n v="80"/>
    <n v="0"/>
    <n v="1"/>
    <n v="2"/>
    <n v="3"/>
    <n v="1"/>
    <n v="0"/>
    <n v="0"/>
    <n v="1"/>
    <s v="Low"/>
    <s v="Low"/>
    <s v="new"/>
  </r>
  <r>
    <n v="48"/>
    <x v="0"/>
    <s v="Travel_Rarely"/>
    <n v="626"/>
    <x v="1"/>
    <n v="1"/>
    <n v="2"/>
    <s v="Life Sciences"/>
    <x v="0"/>
    <n v="64"/>
    <n v="1"/>
    <s v="Male"/>
    <n v="98"/>
    <n v="2"/>
    <n v="3"/>
    <s v="Laboratory Technician"/>
    <n v="3"/>
    <s v="Single"/>
    <n v="5381"/>
    <n v="19294"/>
    <n v="9"/>
    <s v="Y"/>
    <x v="0"/>
    <n v="13"/>
    <n v="3"/>
    <n v="4"/>
    <n v="80"/>
    <n v="0"/>
    <n v="23"/>
    <n v="2"/>
    <n v="3"/>
    <n v="1"/>
    <n v="0"/>
    <n v="0"/>
    <n v="0"/>
    <s v="Low"/>
    <s v="Medium"/>
    <s v="new"/>
  </r>
  <r>
    <n v="28"/>
    <x v="0"/>
    <s v="Travel_Rarely"/>
    <n v="1434"/>
    <x v="1"/>
    <n v="5"/>
    <n v="4"/>
    <s v="Technical Degree"/>
    <x v="0"/>
    <n v="65"/>
    <n v="3"/>
    <s v="Male"/>
    <n v="50"/>
    <n v="3"/>
    <n v="1"/>
    <s v="Laboratory Technician"/>
    <n v="3"/>
    <s v="Single"/>
    <n v="3441"/>
    <n v="11179"/>
    <n v="1"/>
    <s v="Y"/>
    <x v="0"/>
    <n v="13"/>
    <n v="3"/>
    <n v="3"/>
    <n v="80"/>
    <n v="0"/>
    <n v="2"/>
    <n v="3"/>
    <n v="2"/>
    <n v="2"/>
    <n v="2"/>
    <n v="2"/>
    <n v="2"/>
    <s v="Low"/>
    <s v="Low"/>
    <s v="new"/>
  </r>
  <r>
    <n v="44"/>
    <x v="1"/>
    <s v="Travel_Rarely"/>
    <n v="1488"/>
    <x v="0"/>
    <n v="1"/>
    <n v="5"/>
    <s v="Marketing"/>
    <x v="0"/>
    <n v="68"/>
    <n v="2"/>
    <s v="Female"/>
    <n v="75"/>
    <n v="3"/>
    <n v="2"/>
    <s v="Sales Executive"/>
    <n v="1"/>
    <s v="Divorced"/>
    <n v="5454"/>
    <n v="4009"/>
    <n v="5"/>
    <s v="Y"/>
    <x v="0"/>
    <n v="21"/>
    <n v="4"/>
    <n v="3"/>
    <n v="80"/>
    <n v="1"/>
    <n v="9"/>
    <n v="2"/>
    <n v="2"/>
    <n v="4"/>
    <n v="3"/>
    <n v="1"/>
    <n v="3"/>
    <s v="Low"/>
    <s v="Medium"/>
    <s v="Experienced"/>
  </r>
  <r>
    <n v="35"/>
    <x v="1"/>
    <s v="Non-Travel"/>
    <n v="1097"/>
    <x v="1"/>
    <n v="11"/>
    <n v="2"/>
    <s v="Medical"/>
    <x v="0"/>
    <n v="70"/>
    <n v="3"/>
    <s v="Male"/>
    <n v="79"/>
    <n v="2"/>
    <n v="3"/>
    <s v="Healthcare Representative"/>
    <n v="1"/>
    <s v="Married"/>
    <n v="9884"/>
    <n v="8302"/>
    <n v="2"/>
    <s v="Y"/>
    <x v="0"/>
    <n v="13"/>
    <n v="3"/>
    <n v="3"/>
    <n v="80"/>
    <n v="1"/>
    <n v="10"/>
    <n v="3"/>
    <n v="3"/>
    <n v="4"/>
    <n v="0"/>
    <n v="2"/>
    <n v="3"/>
    <s v="High"/>
    <s v="High"/>
    <s v="Experienced"/>
  </r>
  <r>
    <n v="26"/>
    <x v="1"/>
    <s v="Travel_Rarely"/>
    <n v="1443"/>
    <x v="0"/>
    <n v="23"/>
    <n v="3"/>
    <s v="Marketing"/>
    <x v="0"/>
    <n v="72"/>
    <n v="3"/>
    <s v="Female"/>
    <n v="47"/>
    <n v="2"/>
    <n v="2"/>
    <s v="Sales Executive"/>
    <n v="4"/>
    <s v="Married"/>
    <n v="4157"/>
    <n v="21436"/>
    <n v="7"/>
    <s v="Y"/>
    <x v="0"/>
    <n v="19"/>
    <n v="3"/>
    <n v="3"/>
    <n v="80"/>
    <n v="1"/>
    <n v="5"/>
    <n v="2"/>
    <n v="2"/>
    <n v="2"/>
    <n v="2"/>
    <n v="0"/>
    <n v="0"/>
    <s v="Low"/>
    <s v="Medium"/>
    <s v="new"/>
  </r>
  <r>
    <n v="33"/>
    <x v="1"/>
    <s v="Travel_Frequently"/>
    <n v="515"/>
    <x v="1"/>
    <n v="1"/>
    <n v="2"/>
    <s v="Life Sciences"/>
    <x v="0"/>
    <n v="73"/>
    <n v="1"/>
    <s v="Female"/>
    <n v="98"/>
    <n v="3"/>
    <n v="3"/>
    <s v="Research Director"/>
    <n v="4"/>
    <s v="Single"/>
    <n v="13458"/>
    <n v="15146"/>
    <n v="1"/>
    <s v="Y"/>
    <x v="0"/>
    <n v="12"/>
    <n v="3"/>
    <n v="3"/>
    <n v="80"/>
    <n v="0"/>
    <n v="15"/>
    <n v="1"/>
    <n v="3"/>
    <n v="15"/>
    <n v="14"/>
    <n v="8"/>
    <n v="12"/>
    <s v="High"/>
    <s v="High"/>
    <s v="High"/>
  </r>
  <r>
    <n v="35"/>
    <x v="1"/>
    <s v="Travel_Frequently"/>
    <n v="853"/>
    <x v="0"/>
    <n v="18"/>
    <n v="5"/>
    <s v="Life Sciences"/>
    <x v="0"/>
    <n v="74"/>
    <n v="2"/>
    <s v="Male"/>
    <n v="71"/>
    <n v="3"/>
    <n v="3"/>
    <s v="Sales Executive"/>
    <n v="1"/>
    <s v="Married"/>
    <n v="9069"/>
    <n v="11031"/>
    <n v="1"/>
    <s v="Y"/>
    <x v="1"/>
    <n v="22"/>
    <n v="4"/>
    <n v="4"/>
    <n v="80"/>
    <n v="1"/>
    <n v="9"/>
    <n v="3"/>
    <n v="2"/>
    <n v="9"/>
    <n v="8"/>
    <n v="1"/>
    <n v="8"/>
    <s v="High"/>
    <s v="High"/>
    <s v="High"/>
  </r>
  <r>
    <n v="35"/>
    <x v="1"/>
    <s v="Travel_Rarely"/>
    <n v="1142"/>
    <x v="1"/>
    <n v="23"/>
    <n v="4"/>
    <s v="Medical"/>
    <x v="0"/>
    <n v="75"/>
    <n v="3"/>
    <s v="Female"/>
    <n v="30"/>
    <n v="3"/>
    <n v="1"/>
    <s v="Laboratory Technician"/>
    <n v="1"/>
    <s v="Married"/>
    <n v="4014"/>
    <n v="16002"/>
    <n v="3"/>
    <s v="Y"/>
    <x v="0"/>
    <n v="15"/>
    <n v="3"/>
    <n v="3"/>
    <n v="80"/>
    <n v="1"/>
    <n v="4"/>
    <n v="3"/>
    <n v="3"/>
    <n v="2"/>
    <n v="2"/>
    <n v="2"/>
    <n v="2"/>
    <s v="Low"/>
    <s v="Medium"/>
    <s v="new"/>
  </r>
  <r>
    <n v="31"/>
    <x v="1"/>
    <s v="Travel_Rarely"/>
    <n v="655"/>
    <x v="1"/>
    <n v="7"/>
    <n v="4"/>
    <s v="Life Sciences"/>
    <x v="0"/>
    <n v="76"/>
    <n v="4"/>
    <s v="Male"/>
    <n v="48"/>
    <n v="3"/>
    <n v="2"/>
    <s v="Laboratory Technician"/>
    <n v="4"/>
    <s v="Divorced"/>
    <n v="5915"/>
    <n v="9528"/>
    <n v="3"/>
    <s v="Y"/>
    <x v="1"/>
    <n v="22"/>
    <n v="4"/>
    <n v="4"/>
    <n v="80"/>
    <n v="1"/>
    <n v="10"/>
    <n v="3"/>
    <n v="2"/>
    <n v="7"/>
    <n v="7"/>
    <n v="1"/>
    <n v="7"/>
    <s v="Low"/>
    <s v="Medium"/>
    <s v="Experienced"/>
  </r>
  <r>
    <n v="37"/>
    <x v="1"/>
    <s v="Travel_Rarely"/>
    <n v="1115"/>
    <x v="1"/>
    <n v="1"/>
    <n v="4"/>
    <s v="Life Sciences"/>
    <x v="0"/>
    <n v="77"/>
    <n v="1"/>
    <s v="Male"/>
    <n v="51"/>
    <n v="2"/>
    <n v="2"/>
    <s v="Manufacturing Director"/>
    <n v="3"/>
    <s v="Divorced"/>
    <n v="5993"/>
    <n v="2689"/>
    <n v="1"/>
    <s v="Y"/>
    <x v="1"/>
    <n v="18"/>
    <n v="3"/>
    <n v="3"/>
    <n v="80"/>
    <n v="1"/>
    <n v="7"/>
    <n v="2"/>
    <n v="4"/>
    <n v="7"/>
    <n v="5"/>
    <n v="0"/>
    <n v="7"/>
    <s v="Low"/>
    <s v="Medium"/>
    <s v="Experienced"/>
  </r>
  <r>
    <n v="32"/>
    <x v="1"/>
    <s v="Travel_Rarely"/>
    <n v="427"/>
    <x v="1"/>
    <n v="1"/>
    <n v="3"/>
    <s v="Medical"/>
    <x v="0"/>
    <n v="78"/>
    <n v="1"/>
    <s v="Male"/>
    <n v="33"/>
    <n v="3"/>
    <n v="2"/>
    <s v="Manufacturing Director"/>
    <n v="4"/>
    <s v="Married"/>
    <n v="6162"/>
    <n v="10877"/>
    <n v="1"/>
    <s v="Y"/>
    <x v="0"/>
    <n v="22"/>
    <n v="4"/>
    <n v="2"/>
    <n v="80"/>
    <n v="1"/>
    <n v="9"/>
    <n v="3"/>
    <n v="3"/>
    <n v="9"/>
    <n v="8"/>
    <n v="7"/>
    <n v="8"/>
    <s v="Low"/>
    <s v="Medium"/>
    <s v="High"/>
  </r>
  <r>
    <n v="38"/>
    <x v="1"/>
    <s v="Travel_Frequently"/>
    <n v="653"/>
    <x v="1"/>
    <n v="29"/>
    <n v="5"/>
    <s v="Life Sciences"/>
    <x v="0"/>
    <n v="79"/>
    <n v="4"/>
    <s v="Female"/>
    <n v="50"/>
    <n v="3"/>
    <n v="2"/>
    <s v="Laboratory Technician"/>
    <n v="4"/>
    <s v="Single"/>
    <n v="2406"/>
    <n v="5456"/>
    <n v="1"/>
    <s v="Y"/>
    <x v="1"/>
    <n v="11"/>
    <n v="3"/>
    <n v="4"/>
    <n v="80"/>
    <n v="0"/>
    <n v="10"/>
    <n v="2"/>
    <n v="3"/>
    <n v="10"/>
    <n v="3"/>
    <n v="9"/>
    <n v="9"/>
    <s v="Low"/>
    <s v="Low"/>
    <s v="High"/>
  </r>
  <r>
    <n v="50"/>
    <x v="1"/>
    <s v="Travel_Rarely"/>
    <n v="989"/>
    <x v="1"/>
    <n v="7"/>
    <n v="2"/>
    <s v="Medical"/>
    <x v="0"/>
    <n v="80"/>
    <n v="2"/>
    <s v="Female"/>
    <n v="43"/>
    <n v="2"/>
    <n v="5"/>
    <s v="Research Director"/>
    <n v="3"/>
    <s v="Divorced"/>
    <n v="18740"/>
    <n v="16701"/>
    <n v="5"/>
    <s v="Y"/>
    <x v="0"/>
    <n v="12"/>
    <n v="3"/>
    <n v="4"/>
    <n v="80"/>
    <n v="1"/>
    <n v="29"/>
    <n v="2"/>
    <n v="2"/>
    <n v="27"/>
    <n v="3"/>
    <n v="13"/>
    <n v="8"/>
    <s v="High"/>
    <s v="High"/>
    <s v="High"/>
  </r>
  <r>
    <n v="59"/>
    <x v="1"/>
    <s v="Travel_Rarely"/>
    <n v="1435"/>
    <x v="0"/>
    <n v="25"/>
    <n v="3"/>
    <s v="Life Sciences"/>
    <x v="0"/>
    <n v="81"/>
    <n v="1"/>
    <s v="Female"/>
    <n v="99"/>
    <n v="3"/>
    <n v="3"/>
    <s v="Sales Executive"/>
    <n v="1"/>
    <s v="Single"/>
    <n v="7637"/>
    <n v="2354"/>
    <n v="7"/>
    <s v="Y"/>
    <x v="1"/>
    <n v="11"/>
    <n v="3"/>
    <n v="4"/>
    <n v="80"/>
    <n v="0"/>
    <n v="28"/>
    <n v="3"/>
    <n v="2"/>
    <n v="21"/>
    <n v="16"/>
    <n v="7"/>
    <n v="9"/>
    <s v="High"/>
    <s v="Medium"/>
    <s v="High"/>
  </r>
  <r>
    <n v="36"/>
    <x v="1"/>
    <s v="Travel_Rarely"/>
    <n v="1223"/>
    <x v="1"/>
    <n v="8"/>
    <n v="3"/>
    <s v="Technical Degree"/>
    <x v="0"/>
    <n v="83"/>
    <n v="3"/>
    <s v="Female"/>
    <n v="59"/>
    <n v="3"/>
    <n v="3"/>
    <s v="Healthcare Representative"/>
    <n v="3"/>
    <s v="Divorced"/>
    <n v="10096"/>
    <n v="8202"/>
    <n v="1"/>
    <s v="Y"/>
    <x v="1"/>
    <n v="13"/>
    <n v="3"/>
    <n v="2"/>
    <n v="80"/>
    <n v="3"/>
    <n v="17"/>
    <n v="2"/>
    <n v="3"/>
    <n v="17"/>
    <n v="14"/>
    <n v="12"/>
    <n v="8"/>
    <s v="High"/>
    <s v="High"/>
    <s v="High"/>
  </r>
  <r>
    <n v="55"/>
    <x v="1"/>
    <s v="Travel_Rarely"/>
    <n v="836"/>
    <x v="1"/>
    <n v="8"/>
    <n v="3"/>
    <s v="Medical"/>
    <x v="0"/>
    <n v="84"/>
    <n v="4"/>
    <s v="Female"/>
    <n v="33"/>
    <n v="3"/>
    <n v="4"/>
    <s v="Manager"/>
    <n v="3"/>
    <s v="Divorced"/>
    <n v="14756"/>
    <n v="19730"/>
    <n v="2"/>
    <s v="Y"/>
    <x v="0"/>
    <n v="14"/>
    <n v="3"/>
    <n v="3"/>
    <n v="80"/>
    <n v="3"/>
    <n v="21"/>
    <n v="2"/>
    <n v="3"/>
    <n v="5"/>
    <n v="0"/>
    <n v="0"/>
    <n v="2"/>
    <s v="High"/>
    <s v="High"/>
    <s v="Experienced"/>
  </r>
  <r>
    <n v="36"/>
    <x v="1"/>
    <s v="Travel_Frequently"/>
    <n v="1195"/>
    <x v="1"/>
    <n v="11"/>
    <n v="3"/>
    <s v="Life Sciences"/>
    <x v="0"/>
    <n v="85"/>
    <n v="2"/>
    <s v="Male"/>
    <n v="95"/>
    <n v="2"/>
    <n v="2"/>
    <s v="Manufacturing Director"/>
    <n v="2"/>
    <s v="Single"/>
    <n v="6499"/>
    <n v="22656"/>
    <n v="1"/>
    <s v="Y"/>
    <x v="1"/>
    <n v="13"/>
    <n v="3"/>
    <n v="3"/>
    <n v="80"/>
    <n v="0"/>
    <n v="6"/>
    <n v="3"/>
    <n v="3"/>
    <n v="6"/>
    <n v="5"/>
    <n v="0"/>
    <n v="3"/>
    <s v="Low"/>
    <s v="Medium"/>
    <s v="Experienced"/>
  </r>
  <r>
    <n v="45"/>
    <x v="1"/>
    <s v="Travel_Rarely"/>
    <n v="1339"/>
    <x v="1"/>
    <n v="7"/>
    <n v="3"/>
    <s v="Life Sciences"/>
    <x v="0"/>
    <n v="86"/>
    <n v="2"/>
    <s v="Male"/>
    <n v="59"/>
    <n v="3"/>
    <n v="3"/>
    <s v="Research Scientist"/>
    <n v="1"/>
    <s v="Divorced"/>
    <n v="9724"/>
    <n v="18787"/>
    <n v="2"/>
    <s v="Y"/>
    <x v="1"/>
    <n v="17"/>
    <n v="3"/>
    <n v="3"/>
    <n v="80"/>
    <n v="1"/>
    <n v="25"/>
    <n v="2"/>
    <n v="3"/>
    <n v="1"/>
    <n v="0"/>
    <n v="0"/>
    <n v="0"/>
    <s v="High"/>
    <s v="High"/>
    <s v="new"/>
  </r>
  <r>
    <n v="35"/>
    <x v="1"/>
    <s v="Travel_Frequently"/>
    <n v="664"/>
    <x v="1"/>
    <n v="1"/>
    <n v="3"/>
    <s v="Medical"/>
    <x v="0"/>
    <n v="88"/>
    <n v="2"/>
    <s v="Male"/>
    <n v="79"/>
    <n v="3"/>
    <n v="1"/>
    <s v="Research Scientist"/>
    <n v="1"/>
    <s v="Married"/>
    <n v="2194"/>
    <n v="5868"/>
    <n v="4"/>
    <s v="Y"/>
    <x v="1"/>
    <n v="13"/>
    <n v="3"/>
    <n v="4"/>
    <n v="80"/>
    <n v="1"/>
    <n v="5"/>
    <n v="2"/>
    <n v="2"/>
    <n v="3"/>
    <n v="2"/>
    <n v="1"/>
    <n v="2"/>
    <s v="Low"/>
    <s v="Low"/>
    <s v="Experienced"/>
  </r>
  <r>
    <n v="36"/>
    <x v="0"/>
    <s v="Travel_Rarely"/>
    <n v="318"/>
    <x v="1"/>
    <n v="9"/>
    <n v="3"/>
    <s v="Medical"/>
    <x v="0"/>
    <n v="90"/>
    <n v="4"/>
    <s v="Male"/>
    <n v="79"/>
    <n v="2"/>
    <n v="1"/>
    <s v="Research Scientist"/>
    <n v="3"/>
    <s v="Married"/>
    <n v="3388"/>
    <n v="21777"/>
    <n v="0"/>
    <s v="Y"/>
    <x v="0"/>
    <n v="17"/>
    <n v="3"/>
    <n v="1"/>
    <n v="80"/>
    <n v="1"/>
    <n v="2"/>
    <n v="0"/>
    <n v="2"/>
    <n v="1"/>
    <n v="0"/>
    <n v="0"/>
    <n v="0"/>
    <s v="Low"/>
    <s v="Low"/>
    <s v="new"/>
  </r>
  <r>
    <n v="59"/>
    <x v="1"/>
    <s v="Travel_Frequently"/>
    <n v="1225"/>
    <x v="0"/>
    <n v="1"/>
    <n v="1"/>
    <s v="Life Sciences"/>
    <x v="0"/>
    <n v="91"/>
    <n v="1"/>
    <s v="Female"/>
    <n v="57"/>
    <n v="2"/>
    <n v="2"/>
    <s v="Sales Executive"/>
    <n v="3"/>
    <s v="Single"/>
    <n v="5473"/>
    <n v="24668"/>
    <n v="7"/>
    <s v="Y"/>
    <x v="1"/>
    <n v="11"/>
    <n v="3"/>
    <n v="4"/>
    <n v="80"/>
    <n v="0"/>
    <n v="20"/>
    <n v="2"/>
    <n v="2"/>
    <n v="4"/>
    <n v="3"/>
    <n v="1"/>
    <n v="3"/>
    <s v="Low"/>
    <s v="Medium"/>
    <s v="Experienced"/>
  </r>
  <r>
    <n v="29"/>
    <x v="1"/>
    <s v="Travel_Rarely"/>
    <n v="1328"/>
    <x v="1"/>
    <n v="2"/>
    <n v="3"/>
    <s v="Life Sciences"/>
    <x v="0"/>
    <n v="94"/>
    <n v="3"/>
    <s v="Male"/>
    <n v="76"/>
    <n v="3"/>
    <n v="1"/>
    <s v="Research Scientist"/>
    <n v="2"/>
    <s v="Married"/>
    <n v="2703"/>
    <n v="4956"/>
    <n v="0"/>
    <s v="Y"/>
    <x v="1"/>
    <n v="23"/>
    <n v="4"/>
    <n v="4"/>
    <n v="80"/>
    <n v="1"/>
    <n v="6"/>
    <n v="3"/>
    <n v="3"/>
    <n v="5"/>
    <n v="4"/>
    <n v="0"/>
    <n v="4"/>
    <s v="Low"/>
    <s v="Low"/>
    <s v="Experienced"/>
  </r>
  <r>
    <n v="31"/>
    <x v="1"/>
    <s v="Travel_Rarely"/>
    <n v="1082"/>
    <x v="1"/>
    <n v="1"/>
    <n v="4"/>
    <s v="Medical"/>
    <x v="0"/>
    <n v="95"/>
    <n v="3"/>
    <s v="Male"/>
    <n v="87"/>
    <n v="3"/>
    <n v="1"/>
    <s v="Research Scientist"/>
    <n v="2"/>
    <s v="Single"/>
    <n v="2501"/>
    <n v="18775"/>
    <n v="1"/>
    <s v="Y"/>
    <x v="1"/>
    <n v="17"/>
    <n v="3"/>
    <n v="2"/>
    <n v="80"/>
    <n v="0"/>
    <n v="1"/>
    <n v="4"/>
    <n v="3"/>
    <n v="1"/>
    <n v="1"/>
    <n v="1"/>
    <n v="0"/>
    <s v="Low"/>
    <s v="Low"/>
    <s v="new"/>
  </r>
  <r>
    <n v="32"/>
    <x v="1"/>
    <s v="Travel_Rarely"/>
    <n v="548"/>
    <x v="1"/>
    <n v="1"/>
    <n v="3"/>
    <s v="Life Sciences"/>
    <x v="0"/>
    <n v="96"/>
    <n v="2"/>
    <s v="Male"/>
    <n v="66"/>
    <n v="3"/>
    <n v="2"/>
    <s v="Research Scientist"/>
    <n v="2"/>
    <s v="Married"/>
    <n v="6220"/>
    <n v="7346"/>
    <n v="1"/>
    <s v="Y"/>
    <x v="1"/>
    <n v="17"/>
    <n v="3"/>
    <n v="2"/>
    <n v="80"/>
    <n v="2"/>
    <n v="10"/>
    <n v="3"/>
    <n v="3"/>
    <n v="10"/>
    <n v="4"/>
    <n v="0"/>
    <n v="9"/>
    <s v="Low"/>
    <s v="Medium"/>
    <s v="High"/>
  </r>
  <r>
    <n v="36"/>
    <x v="1"/>
    <s v="Travel_Rarely"/>
    <n v="132"/>
    <x v="1"/>
    <n v="6"/>
    <n v="3"/>
    <s v="Life Sciences"/>
    <x v="0"/>
    <n v="97"/>
    <n v="2"/>
    <s v="Female"/>
    <n v="55"/>
    <n v="4"/>
    <n v="1"/>
    <s v="Laboratory Technician"/>
    <n v="4"/>
    <s v="Married"/>
    <n v="3038"/>
    <n v="22002"/>
    <n v="3"/>
    <s v="Y"/>
    <x v="1"/>
    <n v="12"/>
    <n v="3"/>
    <n v="2"/>
    <n v="80"/>
    <n v="0"/>
    <n v="5"/>
    <n v="3"/>
    <n v="3"/>
    <n v="1"/>
    <n v="0"/>
    <n v="0"/>
    <n v="0"/>
    <s v="Low"/>
    <s v="Low"/>
    <s v="new"/>
  </r>
  <r>
    <n v="31"/>
    <x v="1"/>
    <s v="Travel_Rarely"/>
    <n v="746"/>
    <x v="1"/>
    <n v="8"/>
    <n v="4"/>
    <s v="Life Sciences"/>
    <x v="0"/>
    <n v="98"/>
    <n v="3"/>
    <s v="Female"/>
    <n v="61"/>
    <n v="3"/>
    <n v="2"/>
    <s v="Manufacturing Director"/>
    <n v="4"/>
    <s v="Single"/>
    <n v="4424"/>
    <n v="20682"/>
    <n v="1"/>
    <s v="Y"/>
    <x v="1"/>
    <n v="23"/>
    <n v="4"/>
    <n v="4"/>
    <n v="80"/>
    <n v="0"/>
    <n v="11"/>
    <n v="2"/>
    <n v="3"/>
    <n v="11"/>
    <n v="7"/>
    <n v="1"/>
    <n v="8"/>
    <s v="Low"/>
    <s v="Medium"/>
    <s v="High"/>
  </r>
  <r>
    <n v="35"/>
    <x v="1"/>
    <s v="Travel_Rarely"/>
    <n v="776"/>
    <x v="0"/>
    <n v="1"/>
    <n v="4"/>
    <s v="Marketing"/>
    <x v="0"/>
    <n v="100"/>
    <n v="3"/>
    <s v="Male"/>
    <n v="32"/>
    <n v="2"/>
    <n v="2"/>
    <s v="Sales Executive"/>
    <n v="1"/>
    <s v="Single"/>
    <n v="4312"/>
    <n v="23016"/>
    <n v="0"/>
    <s v="Y"/>
    <x v="1"/>
    <n v="14"/>
    <n v="3"/>
    <n v="2"/>
    <n v="80"/>
    <n v="0"/>
    <n v="16"/>
    <n v="2"/>
    <n v="3"/>
    <n v="15"/>
    <n v="13"/>
    <n v="2"/>
    <n v="8"/>
    <s v="Low"/>
    <s v="Medium"/>
    <s v="High"/>
  </r>
  <r>
    <n v="45"/>
    <x v="1"/>
    <s v="Travel_Rarely"/>
    <n v="193"/>
    <x v="1"/>
    <n v="6"/>
    <n v="4"/>
    <s v="Other"/>
    <x v="0"/>
    <n v="101"/>
    <n v="4"/>
    <s v="Male"/>
    <n v="52"/>
    <n v="3"/>
    <n v="3"/>
    <s v="Research Director"/>
    <n v="1"/>
    <s v="Married"/>
    <n v="13245"/>
    <n v="15067"/>
    <n v="4"/>
    <s v="Y"/>
    <x v="0"/>
    <n v="14"/>
    <n v="3"/>
    <n v="2"/>
    <n v="80"/>
    <n v="0"/>
    <n v="17"/>
    <n v="3"/>
    <n v="4"/>
    <n v="0"/>
    <n v="0"/>
    <n v="0"/>
    <n v="0"/>
    <s v="High"/>
    <s v="High"/>
    <s v="new"/>
  </r>
  <r>
    <n v="37"/>
    <x v="1"/>
    <s v="Travel_Rarely"/>
    <n v="397"/>
    <x v="1"/>
    <n v="7"/>
    <n v="4"/>
    <s v="Medical"/>
    <x v="0"/>
    <n v="102"/>
    <n v="1"/>
    <s v="Male"/>
    <n v="30"/>
    <n v="3"/>
    <n v="3"/>
    <s v="Research Director"/>
    <n v="3"/>
    <s v="Single"/>
    <n v="13664"/>
    <n v="25258"/>
    <n v="4"/>
    <s v="Y"/>
    <x v="1"/>
    <n v="13"/>
    <n v="3"/>
    <n v="1"/>
    <n v="80"/>
    <n v="0"/>
    <n v="16"/>
    <n v="3"/>
    <n v="4"/>
    <n v="5"/>
    <n v="2"/>
    <n v="0"/>
    <n v="2"/>
    <s v="High"/>
    <s v="High"/>
    <s v="Experienced"/>
  </r>
  <r>
    <n v="46"/>
    <x v="1"/>
    <s v="Travel_Rarely"/>
    <n v="945"/>
    <x v="2"/>
    <n v="5"/>
    <n v="2"/>
    <s v="Medical"/>
    <x v="0"/>
    <n v="103"/>
    <n v="2"/>
    <s v="Male"/>
    <n v="80"/>
    <n v="3"/>
    <n v="2"/>
    <s v="Human Resources"/>
    <n v="2"/>
    <s v="Divorced"/>
    <n v="5021"/>
    <n v="10425"/>
    <n v="8"/>
    <s v="Y"/>
    <x v="0"/>
    <n v="22"/>
    <n v="4"/>
    <n v="4"/>
    <n v="80"/>
    <n v="1"/>
    <n v="16"/>
    <n v="2"/>
    <n v="3"/>
    <n v="4"/>
    <n v="2"/>
    <n v="0"/>
    <n v="2"/>
    <s v="Low"/>
    <s v="Medium"/>
    <s v="Experienced"/>
  </r>
  <r>
    <n v="30"/>
    <x v="1"/>
    <s v="Travel_Rarely"/>
    <n v="852"/>
    <x v="1"/>
    <n v="1"/>
    <n v="1"/>
    <s v="Life Sciences"/>
    <x v="0"/>
    <n v="104"/>
    <n v="4"/>
    <s v="Male"/>
    <n v="55"/>
    <n v="2"/>
    <n v="2"/>
    <s v="Laboratory Technician"/>
    <n v="4"/>
    <s v="Married"/>
    <n v="5126"/>
    <n v="15998"/>
    <n v="1"/>
    <s v="Y"/>
    <x v="0"/>
    <n v="12"/>
    <n v="3"/>
    <n v="3"/>
    <n v="80"/>
    <n v="2"/>
    <n v="10"/>
    <n v="1"/>
    <n v="2"/>
    <n v="10"/>
    <n v="8"/>
    <n v="3"/>
    <n v="0"/>
    <s v="Low"/>
    <s v="Medium"/>
    <s v="High"/>
  </r>
  <r>
    <n v="35"/>
    <x v="1"/>
    <s v="Travel_Rarely"/>
    <n v="1214"/>
    <x v="1"/>
    <n v="1"/>
    <n v="3"/>
    <s v="Medical"/>
    <x v="0"/>
    <n v="105"/>
    <n v="2"/>
    <s v="Male"/>
    <n v="30"/>
    <n v="2"/>
    <n v="1"/>
    <s v="Research Scientist"/>
    <n v="3"/>
    <s v="Single"/>
    <n v="2859"/>
    <n v="26278"/>
    <n v="1"/>
    <s v="Y"/>
    <x v="1"/>
    <n v="18"/>
    <n v="3"/>
    <n v="1"/>
    <n v="80"/>
    <n v="0"/>
    <n v="6"/>
    <n v="3"/>
    <n v="3"/>
    <n v="6"/>
    <n v="4"/>
    <n v="0"/>
    <n v="4"/>
    <s v="Low"/>
    <s v="Low"/>
    <s v="Experienced"/>
  </r>
  <r>
    <n v="55"/>
    <x v="1"/>
    <s v="Travel_Rarely"/>
    <n v="111"/>
    <x v="0"/>
    <n v="1"/>
    <n v="2"/>
    <s v="Life Sciences"/>
    <x v="0"/>
    <n v="106"/>
    <n v="1"/>
    <s v="Male"/>
    <n v="70"/>
    <n v="3"/>
    <n v="3"/>
    <s v="Sales Executive"/>
    <n v="4"/>
    <s v="Married"/>
    <n v="10239"/>
    <n v="18092"/>
    <n v="3"/>
    <s v="Y"/>
    <x v="1"/>
    <n v="14"/>
    <n v="3"/>
    <n v="4"/>
    <n v="80"/>
    <n v="1"/>
    <n v="24"/>
    <n v="4"/>
    <n v="3"/>
    <n v="1"/>
    <n v="0"/>
    <n v="1"/>
    <n v="0"/>
    <s v="High"/>
    <s v="High"/>
    <s v="new"/>
  </r>
  <r>
    <n v="38"/>
    <x v="1"/>
    <s v="Non-Travel"/>
    <n v="573"/>
    <x v="1"/>
    <n v="6"/>
    <n v="3"/>
    <s v="Medical"/>
    <x v="0"/>
    <n v="107"/>
    <n v="2"/>
    <s v="Female"/>
    <n v="79"/>
    <n v="1"/>
    <n v="2"/>
    <s v="Research Scientist"/>
    <n v="4"/>
    <s v="Divorced"/>
    <n v="5329"/>
    <n v="15717"/>
    <n v="7"/>
    <s v="Y"/>
    <x v="0"/>
    <n v="12"/>
    <n v="3"/>
    <n v="4"/>
    <n v="80"/>
    <n v="3"/>
    <n v="17"/>
    <n v="3"/>
    <n v="3"/>
    <n v="13"/>
    <n v="11"/>
    <n v="1"/>
    <n v="9"/>
    <s v="Low"/>
    <s v="Medium"/>
    <s v="High"/>
  </r>
  <r>
    <n v="34"/>
    <x v="1"/>
    <s v="Travel_Rarely"/>
    <n v="1153"/>
    <x v="1"/>
    <n v="1"/>
    <n v="2"/>
    <s v="Medical"/>
    <x v="0"/>
    <n v="110"/>
    <n v="1"/>
    <s v="Male"/>
    <n v="94"/>
    <n v="3"/>
    <n v="2"/>
    <s v="Manufacturing Director"/>
    <n v="2"/>
    <s v="Married"/>
    <n v="4325"/>
    <n v="17736"/>
    <n v="1"/>
    <s v="Y"/>
    <x v="1"/>
    <n v="15"/>
    <n v="3"/>
    <n v="3"/>
    <n v="80"/>
    <n v="0"/>
    <n v="5"/>
    <n v="2"/>
    <n v="3"/>
    <n v="5"/>
    <n v="2"/>
    <n v="1"/>
    <n v="3"/>
    <s v="Low"/>
    <s v="Medium"/>
    <s v="Experienced"/>
  </r>
  <r>
    <n v="56"/>
    <x v="1"/>
    <s v="Travel_Rarely"/>
    <n v="1400"/>
    <x v="1"/>
    <n v="7"/>
    <n v="3"/>
    <s v="Life Sciences"/>
    <x v="0"/>
    <n v="112"/>
    <n v="4"/>
    <s v="Male"/>
    <n v="49"/>
    <n v="1"/>
    <n v="3"/>
    <s v="Manufacturing Director"/>
    <n v="4"/>
    <s v="Single"/>
    <n v="7260"/>
    <n v="21698"/>
    <n v="4"/>
    <s v="Y"/>
    <x v="1"/>
    <n v="11"/>
    <n v="3"/>
    <n v="1"/>
    <n v="80"/>
    <n v="0"/>
    <n v="37"/>
    <n v="3"/>
    <n v="2"/>
    <n v="6"/>
    <n v="4"/>
    <n v="0"/>
    <n v="2"/>
    <s v="High"/>
    <s v="Medium"/>
    <s v="Experienced"/>
  </r>
  <r>
    <n v="23"/>
    <x v="1"/>
    <s v="Travel_Rarely"/>
    <n v="541"/>
    <x v="0"/>
    <n v="2"/>
    <n v="1"/>
    <s v="Technical Degree"/>
    <x v="0"/>
    <n v="113"/>
    <n v="3"/>
    <s v="Male"/>
    <n v="62"/>
    <n v="3"/>
    <n v="1"/>
    <s v="Sales Representative"/>
    <n v="1"/>
    <s v="Divorced"/>
    <n v="2322"/>
    <n v="9518"/>
    <n v="3"/>
    <s v="Y"/>
    <x v="1"/>
    <n v="13"/>
    <n v="3"/>
    <n v="3"/>
    <n v="80"/>
    <n v="1"/>
    <n v="3"/>
    <n v="3"/>
    <n v="3"/>
    <n v="0"/>
    <n v="0"/>
    <n v="0"/>
    <n v="0"/>
    <s v="Low"/>
    <s v="Low"/>
    <s v="new"/>
  </r>
  <r>
    <n v="51"/>
    <x v="1"/>
    <s v="Travel_Rarely"/>
    <n v="432"/>
    <x v="1"/>
    <n v="9"/>
    <n v="4"/>
    <s v="Life Sciences"/>
    <x v="0"/>
    <n v="116"/>
    <n v="4"/>
    <s v="Male"/>
    <n v="96"/>
    <n v="3"/>
    <n v="1"/>
    <s v="Laboratory Technician"/>
    <n v="4"/>
    <s v="Married"/>
    <n v="2075"/>
    <n v="18725"/>
    <n v="3"/>
    <s v="Y"/>
    <x v="1"/>
    <n v="23"/>
    <n v="4"/>
    <n v="2"/>
    <n v="80"/>
    <n v="2"/>
    <n v="10"/>
    <n v="4"/>
    <n v="3"/>
    <n v="4"/>
    <n v="2"/>
    <n v="0"/>
    <n v="3"/>
    <s v="Low"/>
    <s v="Low"/>
    <s v="Experienced"/>
  </r>
  <r>
    <n v="30"/>
    <x v="1"/>
    <s v="Travel_Rarely"/>
    <n v="288"/>
    <x v="1"/>
    <n v="2"/>
    <n v="3"/>
    <s v="Life Sciences"/>
    <x v="0"/>
    <n v="117"/>
    <n v="3"/>
    <s v="Male"/>
    <n v="99"/>
    <n v="2"/>
    <n v="2"/>
    <s v="Healthcare Representative"/>
    <n v="4"/>
    <s v="Married"/>
    <n v="4152"/>
    <n v="15830"/>
    <n v="1"/>
    <s v="Y"/>
    <x v="1"/>
    <n v="19"/>
    <n v="3"/>
    <n v="1"/>
    <n v="80"/>
    <n v="3"/>
    <n v="11"/>
    <n v="3"/>
    <n v="3"/>
    <n v="11"/>
    <n v="10"/>
    <n v="10"/>
    <n v="8"/>
    <s v="Low"/>
    <s v="Medium"/>
    <s v="High"/>
  </r>
  <r>
    <n v="46"/>
    <x v="0"/>
    <s v="Travel_Rarely"/>
    <n v="669"/>
    <x v="0"/>
    <n v="9"/>
    <n v="2"/>
    <s v="Medical"/>
    <x v="0"/>
    <n v="118"/>
    <n v="3"/>
    <s v="Male"/>
    <n v="64"/>
    <n v="2"/>
    <n v="3"/>
    <s v="Sales Executive"/>
    <n v="4"/>
    <s v="Single"/>
    <n v="9619"/>
    <n v="13596"/>
    <n v="1"/>
    <s v="Y"/>
    <x v="1"/>
    <n v="16"/>
    <n v="3"/>
    <n v="4"/>
    <n v="80"/>
    <n v="0"/>
    <n v="9"/>
    <n v="3"/>
    <n v="3"/>
    <n v="9"/>
    <n v="8"/>
    <n v="4"/>
    <n v="7"/>
    <s v="High"/>
    <s v="High"/>
    <s v="High"/>
  </r>
  <r>
    <n v="40"/>
    <x v="1"/>
    <s v="Travel_Frequently"/>
    <n v="530"/>
    <x v="1"/>
    <n v="1"/>
    <n v="4"/>
    <s v="Life Sciences"/>
    <x v="0"/>
    <n v="119"/>
    <n v="3"/>
    <s v="Male"/>
    <n v="78"/>
    <n v="2"/>
    <n v="4"/>
    <s v="Healthcare Representative"/>
    <n v="2"/>
    <s v="Married"/>
    <n v="13503"/>
    <n v="14115"/>
    <n v="1"/>
    <s v="Y"/>
    <x v="1"/>
    <n v="22"/>
    <n v="4"/>
    <n v="4"/>
    <n v="80"/>
    <n v="1"/>
    <n v="22"/>
    <n v="3"/>
    <n v="2"/>
    <n v="22"/>
    <n v="3"/>
    <n v="11"/>
    <n v="11"/>
    <s v="High"/>
    <s v="High"/>
    <s v="High"/>
  </r>
  <r>
    <n v="51"/>
    <x v="1"/>
    <s v="Travel_Rarely"/>
    <n v="632"/>
    <x v="0"/>
    <n v="21"/>
    <n v="4"/>
    <s v="Marketing"/>
    <x v="0"/>
    <n v="120"/>
    <n v="3"/>
    <s v="Male"/>
    <n v="71"/>
    <n v="3"/>
    <n v="2"/>
    <s v="Sales Executive"/>
    <n v="4"/>
    <s v="Single"/>
    <n v="5441"/>
    <n v="8423"/>
    <n v="0"/>
    <s v="Y"/>
    <x v="0"/>
    <n v="22"/>
    <n v="4"/>
    <n v="4"/>
    <n v="80"/>
    <n v="0"/>
    <n v="11"/>
    <n v="2"/>
    <n v="1"/>
    <n v="10"/>
    <n v="7"/>
    <n v="1"/>
    <n v="0"/>
    <s v="Low"/>
    <s v="Medium"/>
    <s v="High"/>
  </r>
  <r>
    <n v="30"/>
    <x v="1"/>
    <s v="Travel_Rarely"/>
    <n v="1334"/>
    <x v="0"/>
    <n v="4"/>
    <n v="2"/>
    <s v="Medical"/>
    <x v="0"/>
    <n v="121"/>
    <n v="3"/>
    <s v="Female"/>
    <n v="63"/>
    <n v="2"/>
    <n v="2"/>
    <s v="Sales Executive"/>
    <n v="2"/>
    <s v="Divorced"/>
    <n v="5209"/>
    <n v="19760"/>
    <n v="1"/>
    <s v="Y"/>
    <x v="0"/>
    <n v="12"/>
    <n v="3"/>
    <n v="2"/>
    <n v="80"/>
    <n v="3"/>
    <n v="11"/>
    <n v="4"/>
    <n v="2"/>
    <n v="11"/>
    <n v="8"/>
    <n v="2"/>
    <n v="7"/>
    <s v="Low"/>
    <s v="Medium"/>
    <s v="High"/>
  </r>
  <r>
    <n v="46"/>
    <x v="1"/>
    <s v="Travel_Frequently"/>
    <n v="638"/>
    <x v="1"/>
    <n v="1"/>
    <n v="3"/>
    <s v="Medical"/>
    <x v="0"/>
    <n v="124"/>
    <n v="3"/>
    <s v="Male"/>
    <n v="40"/>
    <n v="2"/>
    <n v="3"/>
    <s v="Healthcare Representative"/>
    <n v="1"/>
    <s v="Married"/>
    <n v="10673"/>
    <n v="3142"/>
    <n v="2"/>
    <s v="Y"/>
    <x v="0"/>
    <n v="13"/>
    <n v="3"/>
    <n v="3"/>
    <n v="80"/>
    <n v="1"/>
    <n v="21"/>
    <n v="5"/>
    <n v="2"/>
    <n v="10"/>
    <n v="9"/>
    <n v="9"/>
    <n v="5"/>
    <s v="High"/>
    <s v="High"/>
    <s v="High"/>
  </r>
  <r>
    <n v="32"/>
    <x v="1"/>
    <s v="Travel_Rarely"/>
    <n v="1093"/>
    <x v="0"/>
    <n v="6"/>
    <n v="4"/>
    <s v="Medical"/>
    <x v="0"/>
    <n v="125"/>
    <n v="2"/>
    <s v="Male"/>
    <n v="87"/>
    <n v="3"/>
    <n v="2"/>
    <s v="Sales Executive"/>
    <n v="3"/>
    <s v="Single"/>
    <n v="5010"/>
    <n v="24301"/>
    <n v="1"/>
    <s v="Y"/>
    <x v="1"/>
    <n v="16"/>
    <n v="3"/>
    <n v="1"/>
    <n v="80"/>
    <n v="0"/>
    <n v="12"/>
    <n v="0"/>
    <n v="3"/>
    <n v="11"/>
    <n v="8"/>
    <n v="5"/>
    <n v="7"/>
    <s v="Low"/>
    <s v="Medium"/>
    <s v="High"/>
  </r>
  <r>
    <n v="54"/>
    <x v="1"/>
    <s v="Travel_Rarely"/>
    <n v="1217"/>
    <x v="1"/>
    <n v="2"/>
    <n v="4"/>
    <s v="Technical Degree"/>
    <x v="0"/>
    <n v="126"/>
    <n v="1"/>
    <s v="Female"/>
    <n v="60"/>
    <n v="3"/>
    <n v="3"/>
    <s v="Research Director"/>
    <n v="3"/>
    <s v="Married"/>
    <n v="13549"/>
    <n v="24001"/>
    <n v="9"/>
    <s v="Y"/>
    <x v="1"/>
    <n v="12"/>
    <n v="3"/>
    <n v="1"/>
    <n v="80"/>
    <n v="1"/>
    <n v="16"/>
    <n v="5"/>
    <n v="1"/>
    <n v="4"/>
    <n v="3"/>
    <n v="0"/>
    <n v="3"/>
    <s v="High"/>
    <s v="High"/>
    <s v="Experienced"/>
  </r>
  <r>
    <n v="24"/>
    <x v="1"/>
    <s v="Travel_Rarely"/>
    <n v="1353"/>
    <x v="0"/>
    <n v="3"/>
    <n v="2"/>
    <s v="Other"/>
    <x v="0"/>
    <n v="128"/>
    <n v="1"/>
    <s v="Female"/>
    <n v="33"/>
    <n v="3"/>
    <n v="2"/>
    <s v="Sales Executive"/>
    <n v="3"/>
    <s v="Married"/>
    <n v="4999"/>
    <n v="17519"/>
    <n v="0"/>
    <s v="Y"/>
    <x v="1"/>
    <n v="21"/>
    <n v="4"/>
    <n v="1"/>
    <n v="80"/>
    <n v="1"/>
    <n v="4"/>
    <n v="2"/>
    <n v="2"/>
    <n v="3"/>
    <n v="2"/>
    <n v="0"/>
    <n v="2"/>
    <s v="Low"/>
    <s v="Medium"/>
    <s v="Experienced"/>
  </r>
  <r>
    <n v="28"/>
    <x v="1"/>
    <s v="Non-Travel"/>
    <n v="120"/>
    <x v="0"/>
    <n v="4"/>
    <n v="3"/>
    <s v="Medical"/>
    <x v="0"/>
    <n v="129"/>
    <n v="2"/>
    <s v="Male"/>
    <n v="43"/>
    <n v="3"/>
    <n v="2"/>
    <s v="Sales Executive"/>
    <n v="3"/>
    <s v="Married"/>
    <n v="4221"/>
    <n v="8863"/>
    <n v="1"/>
    <s v="Y"/>
    <x v="1"/>
    <n v="15"/>
    <n v="3"/>
    <n v="2"/>
    <n v="80"/>
    <n v="0"/>
    <n v="5"/>
    <n v="3"/>
    <n v="4"/>
    <n v="5"/>
    <n v="4"/>
    <n v="0"/>
    <n v="4"/>
    <s v="Low"/>
    <s v="Medium"/>
    <s v="Experienced"/>
  </r>
  <r>
    <n v="58"/>
    <x v="1"/>
    <s v="Travel_Rarely"/>
    <n v="682"/>
    <x v="0"/>
    <n v="10"/>
    <n v="4"/>
    <s v="Medical"/>
    <x v="0"/>
    <n v="131"/>
    <n v="4"/>
    <s v="Male"/>
    <n v="37"/>
    <n v="3"/>
    <n v="4"/>
    <s v="Sales Executive"/>
    <n v="3"/>
    <s v="Single"/>
    <n v="13872"/>
    <n v="24409"/>
    <n v="0"/>
    <s v="Y"/>
    <x v="1"/>
    <n v="13"/>
    <n v="3"/>
    <n v="3"/>
    <n v="80"/>
    <n v="0"/>
    <n v="38"/>
    <n v="1"/>
    <n v="2"/>
    <n v="37"/>
    <n v="10"/>
    <n v="1"/>
    <n v="8"/>
    <s v="High"/>
    <s v="High"/>
    <s v="High"/>
  </r>
  <r>
    <n v="44"/>
    <x v="1"/>
    <s v="Non-Travel"/>
    <n v="489"/>
    <x v="1"/>
    <n v="23"/>
    <n v="3"/>
    <s v="Medical"/>
    <x v="0"/>
    <n v="132"/>
    <n v="2"/>
    <s v="Male"/>
    <n v="67"/>
    <n v="3"/>
    <n v="2"/>
    <s v="Laboratory Technician"/>
    <n v="2"/>
    <s v="Married"/>
    <n v="2042"/>
    <n v="25043"/>
    <n v="4"/>
    <s v="Y"/>
    <x v="1"/>
    <n v="12"/>
    <n v="3"/>
    <n v="3"/>
    <n v="80"/>
    <n v="1"/>
    <n v="17"/>
    <n v="3"/>
    <n v="4"/>
    <n v="3"/>
    <n v="2"/>
    <n v="1"/>
    <n v="2"/>
    <s v="Low"/>
    <s v="Low"/>
    <s v="Experienced"/>
  </r>
  <r>
    <n v="37"/>
    <x v="0"/>
    <s v="Travel_Rarely"/>
    <n v="807"/>
    <x v="2"/>
    <n v="6"/>
    <n v="4"/>
    <s v="Human Resources"/>
    <x v="0"/>
    <n v="133"/>
    <n v="3"/>
    <s v="Male"/>
    <n v="63"/>
    <n v="3"/>
    <n v="1"/>
    <s v="Human Resources"/>
    <n v="1"/>
    <s v="Divorced"/>
    <n v="2073"/>
    <n v="23648"/>
    <n v="4"/>
    <s v="Y"/>
    <x v="0"/>
    <n v="22"/>
    <n v="4"/>
    <n v="4"/>
    <n v="80"/>
    <n v="0"/>
    <n v="7"/>
    <n v="3"/>
    <n v="3"/>
    <n v="3"/>
    <n v="2"/>
    <n v="0"/>
    <n v="2"/>
    <s v="Low"/>
    <s v="Low"/>
    <s v="Experienced"/>
  </r>
  <r>
    <n v="32"/>
    <x v="1"/>
    <s v="Travel_Rarely"/>
    <n v="827"/>
    <x v="1"/>
    <n v="1"/>
    <n v="1"/>
    <s v="Life Sciences"/>
    <x v="0"/>
    <n v="134"/>
    <n v="4"/>
    <s v="Male"/>
    <n v="71"/>
    <n v="3"/>
    <n v="1"/>
    <s v="Research Scientist"/>
    <n v="1"/>
    <s v="Single"/>
    <n v="2956"/>
    <n v="15178"/>
    <n v="1"/>
    <s v="Y"/>
    <x v="1"/>
    <n v="13"/>
    <n v="3"/>
    <n v="4"/>
    <n v="80"/>
    <n v="0"/>
    <n v="1"/>
    <n v="2"/>
    <n v="3"/>
    <n v="1"/>
    <n v="0"/>
    <n v="0"/>
    <n v="0"/>
    <s v="Low"/>
    <s v="Low"/>
    <s v="new"/>
  </r>
  <r>
    <n v="20"/>
    <x v="0"/>
    <s v="Travel_Frequently"/>
    <n v="871"/>
    <x v="1"/>
    <n v="6"/>
    <n v="3"/>
    <s v="Life Sciences"/>
    <x v="0"/>
    <n v="137"/>
    <n v="4"/>
    <s v="Female"/>
    <n v="66"/>
    <n v="2"/>
    <n v="1"/>
    <s v="Laboratory Technician"/>
    <n v="4"/>
    <s v="Single"/>
    <n v="2926"/>
    <n v="19783"/>
    <n v="1"/>
    <s v="Y"/>
    <x v="0"/>
    <n v="18"/>
    <n v="3"/>
    <n v="2"/>
    <n v="80"/>
    <n v="0"/>
    <n v="1"/>
    <n v="5"/>
    <n v="3"/>
    <n v="1"/>
    <n v="0"/>
    <n v="1"/>
    <n v="0"/>
    <s v="Low"/>
    <s v="Low"/>
    <s v="new"/>
  </r>
  <r>
    <n v="34"/>
    <x v="1"/>
    <s v="Travel_Rarely"/>
    <n v="665"/>
    <x v="1"/>
    <n v="6"/>
    <n v="4"/>
    <s v="Other"/>
    <x v="0"/>
    <n v="138"/>
    <n v="1"/>
    <s v="Female"/>
    <n v="41"/>
    <n v="3"/>
    <n v="2"/>
    <s v="Research Scientist"/>
    <n v="3"/>
    <s v="Single"/>
    <n v="4809"/>
    <n v="12482"/>
    <n v="1"/>
    <s v="Y"/>
    <x v="1"/>
    <n v="14"/>
    <n v="3"/>
    <n v="3"/>
    <n v="80"/>
    <n v="0"/>
    <n v="16"/>
    <n v="3"/>
    <n v="3"/>
    <n v="16"/>
    <n v="13"/>
    <n v="2"/>
    <n v="10"/>
    <s v="Low"/>
    <s v="Medium"/>
    <s v="High"/>
  </r>
  <r>
    <n v="37"/>
    <x v="1"/>
    <s v="Non-Travel"/>
    <n v="1040"/>
    <x v="1"/>
    <n v="2"/>
    <n v="2"/>
    <s v="Life Sciences"/>
    <x v="0"/>
    <n v="139"/>
    <n v="3"/>
    <s v="Male"/>
    <n v="100"/>
    <n v="2"/>
    <n v="2"/>
    <s v="Healthcare Representative"/>
    <n v="4"/>
    <s v="Divorced"/>
    <n v="5163"/>
    <n v="15850"/>
    <n v="5"/>
    <s v="Y"/>
    <x v="1"/>
    <n v="14"/>
    <n v="3"/>
    <n v="4"/>
    <n v="80"/>
    <n v="1"/>
    <n v="17"/>
    <n v="2"/>
    <n v="4"/>
    <n v="1"/>
    <n v="0"/>
    <n v="0"/>
    <n v="0"/>
    <s v="Low"/>
    <s v="Medium"/>
    <s v="new"/>
  </r>
  <r>
    <n v="59"/>
    <x v="1"/>
    <s v="Non-Travel"/>
    <n v="1420"/>
    <x v="2"/>
    <n v="2"/>
    <n v="4"/>
    <s v="Human Resources"/>
    <x v="0"/>
    <n v="140"/>
    <n v="3"/>
    <s v="Female"/>
    <n v="32"/>
    <n v="2"/>
    <n v="5"/>
    <s v="Manager"/>
    <n v="4"/>
    <s v="Married"/>
    <n v="18844"/>
    <n v="21922"/>
    <n v="9"/>
    <s v="Y"/>
    <x v="1"/>
    <n v="21"/>
    <n v="4"/>
    <n v="4"/>
    <n v="80"/>
    <n v="1"/>
    <n v="30"/>
    <n v="3"/>
    <n v="3"/>
    <n v="3"/>
    <n v="2"/>
    <n v="2"/>
    <n v="2"/>
    <s v="High"/>
    <s v="High"/>
    <s v="Experienced"/>
  </r>
  <r>
    <n v="50"/>
    <x v="1"/>
    <s v="Travel_Frequently"/>
    <n v="1115"/>
    <x v="1"/>
    <n v="1"/>
    <n v="3"/>
    <s v="Life Sciences"/>
    <x v="0"/>
    <n v="141"/>
    <n v="1"/>
    <s v="Female"/>
    <n v="73"/>
    <n v="3"/>
    <n v="5"/>
    <s v="Research Director"/>
    <n v="2"/>
    <s v="Married"/>
    <n v="18172"/>
    <n v="9755"/>
    <n v="3"/>
    <s v="Y"/>
    <x v="0"/>
    <n v="19"/>
    <n v="3"/>
    <n v="1"/>
    <n v="80"/>
    <n v="0"/>
    <n v="28"/>
    <n v="1"/>
    <n v="2"/>
    <n v="8"/>
    <n v="3"/>
    <n v="0"/>
    <n v="7"/>
    <s v="High"/>
    <s v="High"/>
    <s v="High"/>
  </r>
  <r>
    <n v="25"/>
    <x v="0"/>
    <s v="Travel_Rarely"/>
    <n v="240"/>
    <x v="0"/>
    <n v="5"/>
    <n v="3"/>
    <s v="Marketing"/>
    <x v="0"/>
    <n v="142"/>
    <n v="3"/>
    <s v="Male"/>
    <n v="46"/>
    <n v="2"/>
    <n v="2"/>
    <s v="Sales Executive"/>
    <n v="3"/>
    <s v="Single"/>
    <n v="5744"/>
    <n v="26959"/>
    <n v="1"/>
    <s v="Y"/>
    <x v="0"/>
    <n v="11"/>
    <n v="3"/>
    <n v="4"/>
    <n v="80"/>
    <n v="0"/>
    <n v="6"/>
    <n v="1"/>
    <n v="3"/>
    <n v="6"/>
    <n v="4"/>
    <n v="0"/>
    <n v="3"/>
    <s v="Low"/>
    <s v="Medium"/>
    <s v="Experienced"/>
  </r>
  <r>
    <n v="25"/>
    <x v="1"/>
    <s v="Travel_Rarely"/>
    <n v="1280"/>
    <x v="1"/>
    <n v="7"/>
    <n v="1"/>
    <s v="Medical"/>
    <x v="0"/>
    <n v="143"/>
    <n v="4"/>
    <s v="Male"/>
    <n v="64"/>
    <n v="2"/>
    <n v="1"/>
    <s v="Research Scientist"/>
    <n v="4"/>
    <s v="Married"/>
    <n v="2889"/>
    <n v="26897"/>
    <n v="1"/>
    <s v="Y"/>
    <x v="1"/>
    <n v="11"/>
    <n v="3"/>
    <n v="3"/>
    <n v="80"/>
    <n v="2"/>
    <n v="2"/>
    <n v="2"/>
    <n v="3"/>
    <n v="2"/>
    <n v="2"/>
    <n v="2"/>
    <n v="1"/>
    <s v="Low"/>
    <s v="Low"/>
    <s v="new"/>
  </r>
  <r>
    <n v="22"/>
    <x v="1"/>
    <s v="Travel_Rarely"/>
    <n v="534"/>
    <x v="1"/>
    <n v="15"/>
    <n v="3"/>
    <s v="Medical"/>
    <x v="0"/>
    <n v="144"/>
    <n v="2"/>
    <s v="Female"/>
    <n v="59"/>
    <n v="3"/>
    <n v="1"/>
    <s v="Laboratory Technician"/>
    <n v="4"/>
    <s v="Single"/>
    <n v="2871"/>
    <n v="23785"/>
    <n v="1"/>
    <s v="Y"/>
    <x v="1"/>
    <n v="15"/>
    <n v="3"/>
    <n v="3"/>
    <n v="80"/>
    <n v="0"/>
    <n v="1"/>
    <n v="5"/>
    <n v="3"/>
    <n v="0"/>
    <n v="0"/>
    <n v="0"/>
    <n v="0"/>
    <s v="Low"/>
    <s v="Low"/>
    <s v="new"/>
  </r>
  <r>
    <n v="51"/>
    <x v="1"/>
    <s v="Travel_Frequently"/>
    <n v="1456"/>
    <x v="1"/>
    <n v="1"/>
    <n v="4"/>
    <s v="Medical"/>
    <x v="0"/>
    <n v="145"/>
    <n v="1"/>
    <s v="Female"/>
    <n v="30"/>
    <n v="2"/>
    <n v="3"/>
    <s v="Healthcare Representative"/>
    <n v="1"/>
    <s v="Single"/>
    <n v="7484"/>
    <n v="25796"/>
    <n v="3"/>
    <s v="Y"/>
    <x v="1"/>
    <n v="20"/>
    <n v="4"/>
    <n v="3"/>
    <n v="80"/>
    <n v="0"/>
    <n v="23"/>
    <n v="1"/>
    <n v="2"/>
    <n v="13"/>
    <n v="12"/>
    <n v="12"/>
    <n v="8"/>
    <s v="High"/>
    <s v="Medium"/>
    <s v="High"/>
  </r>
  <r>
    <n v="34"/>
    <x v="0"/>
    <s v="Travel_Frequently"/>
    <n v="658"/>
    <x v="1"/>
    <n v="7"/>
    <n v="3"/>
    <s v="Life Sciences"/>
    <x v="0"/>
    <n v="147"/>
    <n v="1"/>
    <s v="Male"/>
    <n v="66"/>
    <n v="1"/>
    <n v="2"/>
    <s v="Laboratory Technician"/>
    <n v="3"/>
    <s v="Single"/>
    <n v="6074"/>
    <n v="22887"/>
    <n v="1"/>
    <s v="Y"/>
    <x v="0"/>
    <n v="24"/>
    <n v="4"/>
    <n v="4"/>
    <n v="80"/>
    <n v="0"/>
    <n v="9"/>
    <n v="3"/>
    <n v="3"/>
    <n v="9"/>
    <n v="7"/>
    <n v="0"/>
    <n v="6"/>
    <s v="Low"/>
    <s v="Medium"/>
    <s v="High"/>
  </r>
  <r>
    <n v="54"/>
    <x v="1"/>
    <s v="Non-Travel"/>
    <n v="142"/>
    <x v="2"/>
    <n v="26"/>
    <n v="3"/>
    <s v="Human Resources"/>
    <x v="0"/>
    <n v="148"/>
    <n v="4"/>
    <s v="Female"/>
    <n v="30"/>
    <n v="4"/>
    <n v="4"/>
    <s v="Manager"/>
    <n v="4"/>
    <s v="Single"/>
    <n v="17328"/>
    <n v="13871"/>
    <n v="2"/>
    <s v="Y"/>
    <x v="0"/>
    <n v="12"/>
    <n v="3"/>
    <n v="3"/>
    <n v="80"/>
    <n v="0"/>
    <n v="23"/>
    <n v="3"/>
    <n v="3"/>
    <n v="5"/>
    <n v="3"/>
    <n v="4"/>
    <n v="4"/>
    <s v="High"/>
    <s v="High"/>
    <s v="Experienced"/>
  </r>
  <r>
    <n v="24"/>
    <x v="1"/>
    <s v="Travel_Rarely"/>
    <n v="1127"/>
    <x v="1"/>
    <n v="18"/>
    <n v="1"/>
    <s v="Life Sciences"/>
    <x v="0"/>
    <n v="150"/>
    <n v="2"/>
    <s v="Male"/>
    <n v="52"/>
    <n v="3"/>
    <n v="1"/>
    <s v="Laboratory Technician"/>
    <n v="3"/>
    <s v="Married"/>
    <n v="2774"/>
    <n v="13257"/>
    <n v="0"/>
    <s v="Y"/>
    <x v="1"/>
    <n v="12"/>
    <n v="3"/>
    <n v="3"/>
    <n v="80"/>
    <n v="1"/>
    <n v="6"/>
    <n v="2"/>
    <n v="3"/>
    <n v="5"/>
    <n v="3"/>
    <n v="1"/>
    <n v="2"/>
    <s v="Low"/>
    <s v="Low"/>
    <s v="Experienced"/>
  </r>
  <r>
    <n v="34"/>
    <x v="1"/>
    <s v="Travel_Rarely"/>
    <n v="1031"/>
    <x v="1"/>
    <n v="6"/>
    <n v="4"/>
    <s v="Life Sciences"/>
    <x v="0"/>
    <n v="151"/>
    <n v="3"/>
    <s v="Female"/>
    <n v="45"/>
    <n v="2"/>
    <n v="2"/>
    <s v="Research Scientist"/>
    <n v="2"/>
    <s v="Divorced"/>
    <n v="4505"/>
    <n v="15000"/>
    <n v="6"/>
    <s v="Y"/>
    <x v="1"/>
    <n v="15"/>
    <n v="3"/>
    <n v="3"/>
    <n v="80"/>
    <n v="1"/>
    <n v="12"/>
    <n v="3"/>
    <n v="3"/>
    <n v="1"/>
    <n v="0"/>
    <n v="0"/>
    <n v="0"/>
    <s v="Low"/>
    <s v="Medium"/>
    <s v="new"/>
  </r>
  <r>
    <n v="37"/>
    <x v="1"/>
    <s v="Travel_Rarely"/>
    <n v="1189"/>
    <x v="0"/>
    <n v="3"/>
    <n v="3"/>
    <s v="Life Sciences"/>
    <x v="0"/>
    <n v="152"/>
    <n v="3"/>
    <s v="Male"/>
    <n v="87"/>
    <n v="3"/>
    <n v="3"/>
    <s v="Sales Executive"/>
    <n v="4"/>
    <s v="Single"/>
    <n v="7428"/>
    <n v="14506"/>
    <n v="2"/>
    <s v="Y"/>
    <x v="1"/>
    <n v="12"/>
    <n v="3"/>
    <n v="1"/>
    <n v="80"/>
    <n v="0"/>
    <n v="12"/>
    <n v="3"/>
    <n v="3"/>
    <n v="5"/>
    <n v="3"/>
    <n v="1"/>
    <n v="3"/>
    <s v="High"/>
    <s v="Medium"/>
    <s v="Experienced"/>
  </r>
  <r>
    <n v="34"/>
    <x v="1"/>
    <s v="Travel_Rarely"/>
    <n v="1354"/>
    <x v="1"/>
    <n v="5"/>
    <n v="3"/>
    <s v="Medical"/>
    <x v="0"/>
    <n v="153"/>
    <n v="3"/>
    <s v="Female"/>
    <n v="45"/>
    <n v="2"/>
    <n v="3"/>
    <s v="Manager"/>
    <n v="1"/>
    <s v="Single"/>
    <n v="11631"/>
    <n v="5615"/>
    <n v="2"/>
    <s v="Y"/>
    <x v="1"/>
    <n v="12"/>
    <n v="3"/>
    <n v="4"/>
    <n v="80"/>
    <n v="0"/>
    <n v="14"/>
    <n v="6"/>
    <n v="3"/>
    <n v="11"/>
    <n v="10"/>
    <n v="5"/>
    <n v="8"/>
    <s v="High"/>
    <s v="High"/>
    <s v="High"/>
  </r>
  <r>
    <n v="36"/>
    <x v="1"/>
    <s v="Travel_Frequently"/>
    <n v="1467"/>
    <x v="0"/>
    <n v="11"/>
    <n v="2"/>
    <s v="Technical Degree"/>
    <x v="0"/>
    <n v="154"/>
    <n v="2"/>
    <s v="Female"/>
    <n v="92"/>
    <n v="3"/>
    <n v="3"/>
    <s v="Sales Executive"/>
    <n v="4"/>
    <s v="Married"/>
    <n v="9738"/>
    <n v="22952"/>
    <n v="0"/>
    <s v="Y"/>
    <x v="1"/>
    <n v="14"/>
    <n v="3"/>
    <n v="3"/>
    <n v="80"/>
    <n v="1"/>
    <n v="10"/>
    <n v="6"/>
    <n v="3"/>
    <n v="9"/>
    <n v="7"/>
    <n v="2"/>
    <n v="8"/>
    <s v="High"/>
    <s v="High"/>
    <s v="High"/>
  </r>
  <r>
    <n v="36"/>
    <x v="1"/>
    <s v="Travel_Rarely"/>
    <n v="922"/>
    <x v="1"/>
    <n v="3"/>
    <n v="2"/>
    <s v="Life Sciences"/>
    <x v="0"/>
    <n v="155"/>
    <n v="1"/>
    <s v="Female"/>
    <n v="39"/>
    <n v="3"/>
    <n v="1"/>
    <s v="Laboratory Technician"/>
    <n v="4"/>
    <s v="Divorced"/>
    <n v="2835"/>
    <n v="2561"/>
    <n v="5"/>
    <s v="Y"/>
    <x v="1"/>
    <n v="22"/>
    <n v="4"/>
    <n v="1"/>
    <n v="80"/>
    <n v="1"/>
    <n v="7"/>
    <n v="2"/>
    <n v="3"/>
    <n v="1"/>
    <n v="0"/>
    <n v="0"/>
    <n v="0"/>
    <s v="Low"/>
    <s v="Low"/>
    <s v="new"/>
  </r>
  <r>
    <n v="43"/>
    <x v="1"/>
    <s v="Travel_Frequently"/>
    <n v="394"/>
    <x v="0"/>
    <n v="26"/>
    <n v="2"/>
    <s v="Life Sciences"/>
    <x v="0"/>
    <n v="158"/>
    <n v="3"/>
    <s v="Male"/>
    <n v="92"/>
    <n v="3"/>
    <n v="4"/>
    <s v="Manager"/>
    <n v="4"/>
    <s v="Married"/>
    <n v="16959"/>
    <n v="19494"/>
    <n v="1"/>
    <s v="Y"/>
    <x v="0"/>
    <n v="12"/>
    <n v="3"/>
    <n v="4"/>
    <n v="80"/>
    <n v="2"/>
    <n v="25"/>
    <n v="3"/>
    <n v="4"/>
    <n v="25"/>
    <n v="12"/>
    <n v="4"/>
    <n v="12"/>
    <s v="High"/>
    <s v="High"/>
    <s v="High"/>
  </r>
  <r>
    <n v="30"/>
    <x v="1"/>
    <s v="Travel_Frequently"/>
    <n v="1312"/>
    <x v="1"/>
    <n v="23"/>
    <n v="3"/>
    <s v="Life Sciences"/>
    <x v="0"/>
    <n v="159"/>
    <n v="1"/>
    <s v="Male"/>
    <n v="96"/>
    <n v="1"/>
    <n v="1"/>
    <s v="Research Scientist"/>
    <n v="3"/>
    <s v="Divorced"/>
    <n v="2613"/>
    <n v="22310"/>
    <n v="1"/>
    <s v="Y"/>
    <x v="1"/>
    <n v="25"/>
    <n v="4"/>
    <n v="3"/>
    <n v="80"/>
    <n v="3"/>
    <n v="10"/>
    <n v="2"/>
    <n v="2"/>
    <n v="10"/>
    <n v="7"/>
    <n v="0"/>
    <n v="9"/>
    <s v="Low"/>
    <s v="Low"/>
    <s v="High"/>
  </r>
  <r>
    <n v="33"/>
    <x v="1"/>
    <s v="Non-Travel"/>
    <n v="750"/>
    <x v="0"/>
    <n v="22"/>
    <n v="2"/>
    <s v="Marketing"/>
    <x v="0"/>
    <n v="160"/>
    <n v="3"/>
    <s v="Male"/>
    <n v="95"/>
    <n v="3"/>
    <n v="2"/>
    <s v="Sales Executive"/>
    <n v="2"/>
    <s v="Married"/>
    <n v="6146"/>
    <n v="15480"/>
    <n v="0"/>
    <s v="Y"/>
    <x v="1"/>
    <n v="13"/>
    <n v="3"/>
    <n v="1"/>
    <n v="80"/>
    <n v="1"/>
    <n v="8"/>
    <n v="2"/>
    <n v="4"/>
    <n v="7"/>
    <n v="7"/>
    <n v="0"/>
    <n v="7"/>
    <s v="Low"/>
    <s v="Medium"/>
    <s v="Experienced"/>
  </r>
  <r>
    <n v="56"/>
    <x v="0"/>
    <s v="Travel_Rarely"/>
    <n v="441"/>
    <x v="1"/>
    <n v="14"/>
    <n v="4"/>
    <s v="Life Sciences"/>
    <x v="0"/>
    <n v="161"/>
    <n v="2"/>
    <s v="Female"/>
    <n v="72"/>
    <n v="3"/>
    <n v="1"/>
    <s v="Research Scientist"/>
    <n v="2"/>
    <s v="Married"/>
    <n v="4963"/>
    <n v="4510"/>
    <n v="9"/>
    <s v="Y"/>
    <x v="0"/>
    <n v="18"/>
    <n v="3"/>
    <n v="1"/>
    <n v="80"/>
    <n v="3"/>
    <n v="7"/>
    <n v="2"/>
    <n v="3"/>
    <n v="5"/>
    <n v="4"/>
    <n v="4"/>
    <n v="3"/>
    <s v="Low"/>
    <s v="Medium"/>
    <s v="Experienced"/>
  </r>
  <r>
    <n v="51"/>
    <x v="1"/>
    <s v="Travel_Rarely"/>
    <n v="684"/>
    <x v="1"/>
    <n v="6"/>
    <n v="3"/>
    <s v="Life Sciences"/>
    <x v="0"/>
    <n v="162"/>
    <n v="1"/>
    <s v="Male"/>
    <n v="51"/>
    <n v="3"/>
    <n v="5"/>
    <s v="Research Director"/>
    <n v="3"/>
    <s v="Single"/>
    <n v="19537"/>
    <n v="6462"/>
    <n v="7"/>
    <s v="Y"/>
    <x v="1"/>
    <n v="13"/>
    <n v="3"/>
    <n v="3"/>
    <n v="80"/>
    <n v="0"/>
    <n v="23"/>
    <n v="5"/>
    <n v="3"/>
    <n v="20"/>
    <n v="18"/>
    <n v="15"/>
    <n v="15"/>
    <s v="High"/>
    <s v="High"/>
    <s v="High"/>
  </r>
  <r>
    <n v="31"/>
    <x v="0"/>
    <s v="Travel_Rarely"/>
    <n v="249"/>
    <x v="0"/>
    <n v="6"/>
    <n v="4"/>
    <s v="Life Sciences"/>
    <x v="0"/>
    <n v="163"/>
    <n v="2"/>
    <s v="Male"/>
    <n v="76"/>
    <n v="1"/>
    <n v="2"/>
    <s v="Sales Executive"/>
    <n v="3"/>
    <s v="Married"/>
    <n v="6172"/>
    <n v="20739"/>
    <n v="4"/>
    <s v="Y"/>
    <x v="0"/>
    <n v="18"/>
    <n v="3"/>
    <n v="2"/>
    <n v="80"/>
    <n v="0"/>
    <n v="12"/>
    <n v="3"/>
    <n v="2"/>
    <n v="7"/>
    <n v="7"/>
    <n v="7"/>
    <n v="7"/>
    <s v="Low"/>
    <s v="Medium"/>
    <s v="Experienced"/>
  </r>
  <r>
    <n v="26"/>
    <x v="1"/>
    <s v="Travel_Rarely"/>
    <n v="841"/>
    <x v="1"/>
    <n v="6"/>
    <n v="3"/>
    <s v="Other"/>
    <x v="0"/>
    <n v="164"/>
    <n v="3"/>
    <s v="Female"/>
    <n v="46"/>
    <n v="2"/>
    <n v="1"/>
    <s v="Research Scientist"/>
    <n v="2"/>
    <s v="Married"/>
    <n v="2368"/>
    <n v="23300"/>
    <n v="1"/>
    <s v="Y"/>
    <x v="1"/>
    <n v="19"/>
    <n v="3"/>
    <n v="3"/>
    <n v="80"/>
    <n v="0"/>
    <n v="5"/>
    <n v="3"/>
    <n v="2"/>
    <n v="5"/>
    <n v="4"/>
    <n v="4"/>
    <n v="3"/>
    <s v="Low"/>
    <s v="Low"/>
    <s v="Experienced"/>
  </r>
  <r>
    <n v="58"/>
    <x v="0"/>
    <s v="Travel_Rarely"/>
    <n v="147"/>
    <x v="1"/>
    <n v="23"/>
    <n v="4"/>
    <s v="Medical"/>
    <x v="0"/>
    <n v="165"/>
    <n v="4"/>
    <s v="Female"/>
    <n v="94"/>
    <n v="3"/>
    <n v="3"/>
    <s v="Healthcare Representative"/>
    <n v="4"/>
    <s v="Married"/>
    <n v="10312"/>
    <n v="3465"/>
    <n v="1"/>
    <s v="Y"/>
    <x v="1"/>
    <n v="12"/>
    <n v="3"/>
    <n v="4"/>
    <n v="80"/>
    <n v="1"/>
    <n v="40"/>
    <n v="3"/>
    <n v="2"/>
    <n v="40"/>
    <n v="10"/>
    <n v="15"/>
    <n v="6"/>
    <s v="High"/>
    <s v="High"/>
    <s v="High"/>
  </r>
  <r>
    <n v="19"/>
    <x v="0"/>
    <s v="Travel_Rarely"/>
    <n v="528"/>
    <x v="0"/>
    <n v="22"/>
    <n v="1"/>
    <s v="Marketing"/>
    <x v="0"/>
    <n v="167"/>
    <n v="4"/>
    <s v="Male"/>
    <n v="50"/>
    <n v="3"/>
    <n v="1"/>
    <s v="Sales Representative"/>
    <n v="3"/>
    <s v="Single"/>
    <n v="1675"/>
    <n v="26820"/>
    <n v="1"/>
    <s v="Y"/>
    <x v="0"/>
    <n v="19"/>
    <n v="3"/>
    <n v="4"/>
    <n v="80"/>
    <n v="0"/>
    <n v="0"/>
    <n v="2"/>
    <n v="2"/>
    <n v="0"/>
    <n v="0"/>
    <n v="0"/>
    <n v="0"/>
    <s v="Low"/>
    <s v="Low"/>
    <s v="new"/>
  </r>
  <r>
    <n v="22"/>
    <x v="1"/>
    <s v="Travel_Rarely"/>
    <n v="594"/>
    <x v="1"/>
    <n v="2"/>
    <n v="1"/>
    <s v="Technical Degree"/>
    <x v="0"/>
    <n v="169"/>
    <n v="3"/>
    <s v="Male"/>
    <n v="100"/>
    <n v="3"/>
    <n v="1"/>
    <s v="Laboratory Technician"/>
    <n v="4"/>
    <s v="Married"/>
    <n v="2523"/>
    <n v="19299"/>
    <n v="0"/>
    <s v="Y"/>
    <x v="1"/>
    <n v="14"/>
    <n v="3"/>
    <n v="3"/>
    <n v="80"/>
    <n v="1"/>
    <n v="3"/>
    <n v="2"/>
    <n v="3"/>
    <n v="2"/>
    <n v="1"/>
    <n v="2"/>
    <n v="1"/>
    <s v="Low"/>
    <s v="Low"/>
    <s v="new"/>
  </r>
  <r>
    <n v="49"/>
    <x v="1"/>
    <s v="Travel_Rarely"/>
    <n v="470"/>
    <x v="1"/>
    <n v="20"/>
    <n v="4"/>
    <s v="Medical"/>
    <x v="0"/>
    <n v="170"/>
    <n v="3"/>
    <s v="Female"/>
    <n v="96"/>
    <n v="3"/>
    <n v="2"/>
    <s v="Manufacturing Director"/>
    <n v="1"/>
    <s v="Married"/>
    <n v="6567"/>
    <n v="5549"/>
    <n v="1"/>
    <s v="Y"/>
    <x v="1"/>
    <n v="14"/>
    <n v="3"/>
    <n v="3"/>
    <n v="80"/>
    <n v="0"/>
    <n v="16"/>
    <n v="2"/>
    <n v="2"/>
    <n v="15"/>
    <n v="11"/>
    <n v="5"/>
    <n v="11"/>
    <s v="High"/>
    <s v="Medium"/>
    <s v="High"/>
  </r>
  <r>
    <n v="43"/>
    <x v="1"/>
    <s v="Travel_Frequently"/>
    <n v="957"/>
    <x v="1"/>
    <n v="28"/>
    <n v="3"/>
    <s v="Medical"/>
    <x v="0"/>
    <n v="171"/>
    <n v="2"/>
    <s v="Female"/>
    <n v="72"/>
    <n v="4"/>
    <n v="1"/>
    <s v="Research Scientist"/>
    <n v="3"/>
    <s v="Single"/>
    <n v="4739"/>
    <n v="16090"/>
    <n v="4"/>
    <s v="Y"/>
    <x v="1"/>
    <n v="12"/>
    <n v="3"/>
    <n v="4"/>
    <n v="80"/>
    <n v="0"/>
    <n v="18"/>
    <n v="2"/>
    <n v="3"/>
    <n v="3"/>
    <n v="2"/>
    <n v="1"/>
    <n v="2"/>
    <s v="Low"/>
    <s v="Medium"/>
    <s v="Experienced"/>
  </r>
  <r>
    <n v="50"/>
    <x v="1"/>
    <s v="Travel_Frequently"/>
    <n v="809"/>
    <x v="0"/>
    <n v="12"/>
    <n v="3"/>
    <s v="Marketing"/>
    <x v="0"/>
    <n v="174"/>
    <n v="3"/>
    <s v="Female"/>
    <n v="77"/>
    <n v="3"/>
    <n v="3"/>
    <s v="Sales Executive"/>
    <n v="4"/>
    <s v="Single"/>
    <n v="9208"/>
    <n v="6645"/>
    <n v="4"/>
    <s v="Y"/>
    <x v="1"/>
    <n v="11"/>
    <n v="3"/>
    <n v="4"/>
    <n v="80"/>
    <n v="0"/>
    <n v="16"/>
    <n v="3"/>
    <n v="3"/>
    <n v="2"/>
    <n v="2"/>
    <n v="2"/>
    <n v="1"/>
    <s v="High"/>
    <s v="High"/>
    <s v="new"/>
  </r>
  <r>
    <n v="31"/>
    <x v="0"/>
    <s v="Travel_Rarely"/>
    <n v="542"/>
    <x v="0"/>
    <n v="20"/>
    <n v="3"/>
    <s v="Life Sciences"/>
    <x v="0"/>
    <n v="175"/>
    <n v="2"/>
    <s v="Female"/>
    <n v="71"/>
    <n v="1"/>
    <n v="2"/>
    <s v="Sales Executive"/>
    <n v="3"/>
    <s v="Married"/>
    <n v="4559"/>
    <n v="24788"/>
    <n v="3"/>
    <s v="Y"/>
    <x v="0"/>
    <n v="11"/>
    <n v="3"/>
    <n v="3"/>
    <n v="80"/>
    <n v="1"/>
    <n v="4"/>
    <n v="2"/>
    <n v="3"/>
    <n v="2"/>
    <n v="2"/>
    <n v="2"/>
    <n v="2"/>
    <s v="Low"/>
    <s v="Medium"/>
    <s v="new"/>
  </r>
  <r>
    <n v="41"/>
    <x v="1"/>
    <s v="Travel_Rarely"/>
    <n v="802"/>
    <x v="0"/>
    <n v="9"/>
    <n v="1"/>
    <s v="Life Sciences"/>
    <x v="0"/>
    <n v="176"/>
    <n v="3"/>
    <s v="Male"/>
    <n v="96"/>
    <n v="3"/>
    <n v="3"/>
    <s v="Sales Executive"/>
    <n v="3"/>
    <s v="Divorced"/>
    <n v="8189"/>
    <n v="21196"/>
    <n v="3"/>
    <s v="Y"/>
    <x v="0"/>
    <n v="13"/>
    <n v="3"/>
    <n v="3"/>
    <n v="80"/>
    <n v="1"/>
    <n v="12"/>
    <n v="2"/>
    <n v="3"/>
    <n v="9"/>
    <n v="7"/>
    <n v="0"/>
    <n v="7"/>
    <s v="High"/>
    <s v="High"/>
    <s v="High"/>
  </r>
  <r>
    <n v="26"/>
    <x v="1"/>
    <s v="Travel_Rarely"/>
    <n v="1355"/>
    <x v="2"/>
    <n v="25"/>
    <n v="1"/>
    <s v="Life Sciences"/>
    <x v="0"/>
    <n v="177"/>
    <n v="3"/>
    <s v="Female"/>
    <n v="61"/>
    <n v="3"/>
    <n v="1"/>
    <s v="Human Resources"/>
    <n v="3"/>
    <s v="Married"/>
    <n v="2942"/>
    <n v="8916"/>
    <n v="1"/>
    <s v="Y"/>
    <x v="1"/>
    <n v="23"/>
    <n v="4"/>
    <n v="4"/>
    <n v="80"/>
    <n v="1"/>
    <n v="8"/>
    <n v="3"/>
    <n v="3"/>
    <n v="8"/>
    <n v="7"/>
    <n v="5"/>
    <n v="7"/>
    <s v="Low"/>
    <s v="Low"/>
    <s v="High"/>
  </r>
  <r>
    <n v="36"/>
    <x v="1"/>
    <s v="Travel_Rarely"/>
    <n v="216"/>
    <x v="1"/>
    <n v="6"/>
    <n v="2"/>
    <s v="Medical"/>
    <x v="0"/>
    <n v="178"/>
    <n v="2"/>
    <s v="Male"/>
    <n v="84"/>
    <n v="3"/>
    <n v="2"/>
    <s v="Manufacturing Director"/>
    <n v="2"/>
    <s v="Divorced"/>
    <n v="4941"/>
    <n v="2819"/>
    <n v="6"/>
    <s v="Y"/>
    <x v="1"/>
    <n v="20"/>
    <n v="4"/>
    <n v="4"/>
    <n v="80"/>
    <n v="2"/>
    <n v="7"/>
    <n v="0"/>
    <n v="3"/>
    <n v="3"/>
    <n v="2"/>
    <n v="0"/>
    <n v="1"/>
    <s v="Low"/>
    <s v="Medium"/>
    <s v="Experienced"/>
  </r>
  <r>
    <n v="51"/>
    <x v="0"/>
    <s v="Travel_Frequently"/>
    <n v="1150"/>
    <x v="1"/>
    <n v="8"/>
    <n v="4"/>
    <s v="Life Sciences"/>
    <x v="0"/>
    <n v="179"/>
    <n v="1"/>
    <s v="Male"/>
    <n v="53"/>
    <n v="1"/>
    <n v="3"/>
    <s v="Manufacturing Director"/>
    <n v="4"/>
    <s v="Single"/>
    <n v="10650"/>
    <n v="25150"/>
    <n v="2"/>
    <s v="Y"/>
    <x v="1"/>
    <n v="15"/>
    <n v="3"/>
    <n v="4"/>
    <n v="80"/>
    <n v="0"/>
    <n v="18"/>
    <n v="2"/>
    <n v="3"/>
    <n v="4"/>
    <n v="2"/>
    <n v="0"/>
    <n v="3"/>
    <s v="High"/>
    <s v="High"/>
    <s v="Experienced"/>
  </r>
  <r>
    <n v="39"/>
    <x v="1"/>
    <s v="Travel_Rarely"/>
    <n v="1329"/>
    <x v="0"/>
    <n v="4"/>
    <n v="4"/>
    <s v="Life Sciences"/>
    <x v="0"/>
    <n v="182"/>
    <n v="4"/>
    <s v="Female"/>
    <n v="47"/>
    <n v="2"/>
    <n v="2"/>
    <s v="Sales Executive"/>
    <n v="3"/>
    <s v="Married"/>
    <n v="5902"/>
    <n v="14590"/>
    <n v="4"/>
    <s v="Y"/>
    <x v="1"/>
    <n v="14"/>
    <n v="3"/>
    <n v="3"/>
    <n v="80"/>
    <n v="1"/>
    <n v="17"/>
    <n v="1"/>
    <n v="4"/>
    <n v="15"/>
    <n v="11"/>
    <n v="5"/>
    <n v="9"/>
    <s v="Low"/>
    <s v="Medium"/>
    <s v="High"/>
  </r>
  <r>
    <n v="25"/>
    <x v="1"/>
    <s v="Travel_Rarely"/>
    <n v="959"/>
    <x v="0"/>
    <n v="28"/>
    <n v="3"/>
    <s v="Life Sciences"/>
    <x v="0"/>
    <n v="183"/>
    <n v="1"/>
    <s v="Male"/>
    <n v="41"/>
    <n v="2"/>
    <n v="2"/>
    <s v="Sales Executive"/>
    <n v="3"/>
    <s v="Married"/>
    <n v="8639"/>
    <n v="24835"/>
    <n v="2"/>
    <s v="Y"/>
    <x v="1"/>
    <n v="18"/>
    <n v="3"/>
    <n v="4"/>
    <n v="80"/>
    <n v="0"/>
    <n v="6"/>
    <n v="3"/>
    <n v="3"/>
    <n v="2"/>
    <n v="2"/>
    <n v="2"/>
    <n v="2"/>
    <s v="High"/>
    <s v="High"/>
    <s v="new"/>
  </r>
  <r>
    <n v="30"/>
    <x v="1"/>
    <s v="Travel_Rarely"/>
    <n v="1240"/>
    <x v="2"/>
    <n v="9"/>
    <n v="3"/>
    <s v="Human Resources"/>
    <x v="0"/>
    <n v="184"/>
    <n v="3"/>
    <s v="Male"/>
    <n v="48"/>
    <n v="3"/>
    <n v="2"/>
    <s v="Human Resources"/>
    <n v="4"/>
    <s v="Married"/>
    <n v="6347"/>
    <n v="13982"/>
    <n v="0"/>
    <s v="Y"/>
    <x v="0"/>
    <n v="19"/>
    <n v="3"/>
    <n v="4"/>
    <n v="80"/>
    <n v="0"/>
    <n v="12"/>
    <n v="2"/>
    <n v="1"/>
    <n v="11"/>
    <n v="9"/>
    <n v="4"/>
    <n v="7"/>
    <s v="Low"/>
    <s v="Medium"/>
    <s v="High"/>
  </r>
  <r>
    <n v="32"/>
    <x v="0"/>
    <s v="Travel_Rarely"/>
    <n v="1033"/>
    <x v="1"/>
    <n v="9"/>
    <n v="3"/>
    <s v="Medical"/>
    <x v="0"/>
    <n v="190"/>
    <n v="1"/>
    <s v="Female"/>
    <n v="41"/>
    <n v="3"/>
    <n v="1"/>
    <s v="Laboratory Technician"/>
    <n v="1"/>
    <s v="Single"/>
    <n v="4200"/>
    <n v="10224"/>
    <n v="7"/>
    <s v="Y"/>
    <x v="1"/>
    <n v="22"/>
    <n v="4"/>
    <n v="1"/>
    <n v="80"/>
    <n v="0"/>
    <n v="10"/>
    <n v="2"/>
    <n v="4"/>
    <n v="5"/>
    <n v="4"/>
    <n v="0"/>
    <n v="4"/>
    <s v="Low"/>
    <s v="Medium"/>
    <s v="Experienced"/>
  </r>
  <r>
    <n v="45"/>
    <x v="1"/>
    <s v="Travel_Rarely"/>
    <n v="1316"/>
    <x v="1"/>
    <n v="29"/>
    <n v="3"/>
    <s v="Medical"/>
    <x v="0"/>
    <n v="192"/>
    <n v="3"/>
    <s v="Male"/>
    <n v="83"/>
    <n v="3"/>
    <n v="1"/>
    <s v="Research Scientist"/>
    <n v="4"/>
    <s v="Single"/>
    <n v="3452"/>
    <n v="9752"/>
    <n v="5"/>
    <s v="Y"/>
    <x v="1"/>
    <n v="13"/>
    <n v="3"/>
    <n v="2"/>
    <n v="80"/>
    <n v="0"/>
    <n v="9"/>
    <n v="2"/>
    <n v="2"/>
    <n v="6"/>
    <n v="5"/>
    <n v="0"/>
    <n v="3"/>
    <s v="Low"/>
    <s v="Low"/>
    <s v="Experienced"/>
  </r>
  <r>
    <n v="38"/>
    <x v="1"/>
    <s v="Travel_Rarely"/>
    <n v="364"/>
    <x v="1"/>
    <n v="3"/>
    <n v="5"/>
    <s v="Technical Degree"/>
    <x v="0"/>
    <n v="193"/>
    <n v="4"/>
    <s v="Female"/>
    <n v="32"/>
    <n v="3"/>
    <n v="2"/>
    <s v="Research Scientist"/>
    <n v="3"/>
    <s v="Single"/>
    <n v="4317"/>
    <n v="2302"/>
    <n v="3"/>
    <s v="Y"/>
    <x v="0"/>
    <n v="20"/>
    <n v="4"/>
    <n v="2"/>
    <n v="80"/>
    <n v="0"/>
    <n v="19"/>
    <n v="2"/>
    <n v="3"/>
    <n v="3"/>
    <n v="2"/>
    <n v="2"/>
    <n v="2"/>
    <s v="Low"/>
    <s v="Medium"/>
    <s v="Experienced"/>
  </r>
  <r>
    <n v="30"/>
    <x v="1"/>
    <s v="Travel_Rarely"/>
    <n v="438"/>
    <x v="1"/>
    <n v="18"/>
    <n v="3"/>
    <s v="Life Sciences"/>
    <x v="0"/>
    <n v="194"/>
    <n v="1"/>
    <s v="Female"/>
    <n v="75"/>
    <n v="3"/>
    <n v="1"/>
    <s v="Research Scientist"/>
    <n v="3"/>
    <s v="Single"/>
    <n v="2632"/>
    <n v="23910"/>
    <n v="1"/>
    <s v="Y"/>
    <x v="1"/>
    <n v="14"/>
    <n v="3"/>
    <n v="3"/>
    <n v="80"/>
    <n v="0"/>
    <n v="5"/>
    <n v="4"/>
    <n v="2"/>
    <n v="5"/>
    <n v="4"/>
    <n v="0"/>
    <n v="4"/>
    <s v="Low"/>
    <s v="Low"/>
    <s v="Experienced"/>
  </r>
  <r>
    <n v="32"/>
    <x v="1"/>
    <s v="Travel_Frequently"/>
    <n v="689"/>
    <x v="0"/>
    <n v="9"/>
    <n v="2"/>
    <s v="Medical"/>
    <x v="0"/>
    <n v="195"/>
    <n v="4"/>
    <s v="Male"/>
    <n v="35"/>
    <n v="1"/>
    <n v="2"/>
    <s v="Sales Executive"/>
    <n v="4"/>
    <s v="Divorced"/>
    <n v="4668"/>
    <n v="22812"/>
    <n v="0"/>
    <s v="Y"/>
    <x v="1"/>
    <n v="17"/>
    <n v="3"/>
    <n v="4"/>
    <n v="80"/>
    <n v="3"/>
    <n v="9"/>
    <n v="2"/>
    <n v="4"/>
    <n v="8"/>
    <n v="7"/>
    <n v="0"/>
    <n v="7"/>
    <s v="Low"/>
    <s v="Medium"/>
    <s v="High"/>
  </r>
  <r>
    <n v="30"/>
    <x v="1"/>
    <s v="Travel_Rarely"/>
    <n v="201"/>
    <x v="1"/>
    <n v="5"/>
    <n v="3"/>
    <s v="Technical Degree"/>
    <x v="0"/>
    <n v="197"/>
    <n v="4"/>
    <s v="Female"/>
    <n v="84"/>
    <n v="3"/>
    <n v="1"/>
    <s v="Research Scientist"/>
    <n v="1"/>
    <s v="Divorced"/>
    <n v="3204"/>
    <n v="10415"/>
    <n v="5"/>
    <s v="Y"/>
    <x v="1"/>
    <n v="14"/>
    <n v="3"/>
    <n v="4"/>
    <n v="80"/>
    <n v="1"/>
    <n v="8"/>
    <n v="3"/>
    <n v="3"/>
    <n v="3"/>
    <n v="2"/>
    <n v="2"/>
    <n v="2"/>
    <s v="Low"/>
    <s v="Low"/>
    <s v="Experienced"/>
  </r>
  <r>
    <n v="30"/>
    <x v="1"/>
    <s v="Travel_Rarely"/>
    <n v="1427"/>
    <x v="1"/>
    <n v="2"/>
    <n v="1"/>
    <s v="Medical"/>
    <x v="0"/>
    <n v="198"/>
    <n v="2"/>
    <s v="Male"/>
    <n v="35"/>
    <n v="2"/>
    <n v="1"/>
    <s v="Laboratory Technician"/>
    <n v="4"/>
    <s v="Single"/>
    <n v="2720"/>
    <n v="11162"/>
    <n v="0"/>
    <s v="Y"/>
    <x v="1"/>
    <n v="13"/>
    <n v="3"/>
    <n v="4"/>
    <n v="80"/>
    <n v="0"/>
    <n v="6"/>
    <n v="3"/>
    <n v="3"/>
    <n v="5"/>
    <n v="3"/>
    <n v="1"/>
    <n v="2"/>
    <s v="Low"/>
    <s v="Low"/>
    <s v="Experienced"/>
  </r>
  <r>
    <n v="41"/>
    <x v="1"/>
    <s v="Travel_Frequently"/>
    <n v="857"/>
    <x v="1"/>
    <n v="10"/>
    <n v="3"/>
    <s v="Life Sciences"/>
    <x v="0"/>
    <n v="199"/>
    <n v="4"/>
    <s v="Male"/>
    <n v="91"/>
    <n v="2"/>
    <n v="4"/>
    <s v="Manager"/>
    <n v="1"/>
    <s v="Divorced"/>
    <n v="17181"/>
    <n v="12888"/>
    <n v="4"/>
    <s v="Y"/>
    <x v="1"/>
    <n v="13"/>
    <n v="3"/>
    <n v="2"/>
    <n v="80"/>
    <n v="1"/>
    <n v="21"/>
    <n v="2"/>
    <n v="2"/>
    <n v="7"/>
    <n v="6"/>
    <n v="7"/>
    <n v="7"/>
    <s v="High"/>
    <s v="High"/>
    <s v="Experienced"/>
  </r>
  <r>
    <n v="41"/>
    <x v="1"/>
    <s v="Travel_Rarely"/>
    <n v="933"/>
    <x v="1"/>
    <n v="9"/>
    <n v="4"/>
    <s v="Life Sciences"/>
    <x v="0"/>
    <n v="200"/>
    <n v="3"/>
    <s v="Male"/>
    <n v="94"/>
    <n v="3"/>
    <n v="1"/>
    <s v="Laboratory Technician"/>
    <n v="1"/>
    <s v="Married"/>
    <n v="2238"/>
    <n v="6961"/>
    <n v="2"/>
    <s v="Y"/>
    <x v="1"/>
    <n v="21"/>
    <n v="4"/>
    <n v="4"/>
    <n v="80"/>
    <n v="1"/>
    <n v="7"/>
    <n v="2"/>
    <n v="3"/>
    <n v="5"/>
    <n v="0"/>
    <n v="1"/>
    <n v="4"/>
    <s v="Low"/>
    <s v="Low"/>
    <s v="Experienced"/>
  </r>
  <r>
    <n v="19"/>
    <x v="1"/>
    <s v="Travel_Rarely"/>
    <n v="1181"/>
    <x v="1"/>
    <n v="3"/>
    <n v="1"/>
    <s v="Medical"/>
    <x v="0"/>
    <n v="201"/>
    <n v="2"/>
    <s v="Female"/>
    <n v="79"/>
    <n v="3"/>
    <n v="1"/>
    <s v="Laboratory Technician"/>
    <n v="2"/>
    <s v="Single"/>
    <n v="1483"/>
    <n v="16102"/>
    <n v="1"/>
    <s v="Y"/>
    <x v="1"/>
    <n v="14"/>
    <n v="3"/>
    <n v="4"/>
    <n v="80"/>
    <n v="0"/>
    <n v="1"/>
    <n v="3"/>
    <n v="3"/>
    <n v="1"/>
    <n v="0"/>
    <n v="0"/>
    <n v="0"/>
    <s v="Low"/>
    <s v="Low"/>
    <s v="new"/>
  </r>
  <r>
    <n v="40"/>
    <x v="1"/>
    <s v="Travel_Frequently"/>
    <n v="1395"/>
    <x v="1"/>
    <n v="26"/>
    <n v="3"/>
    <s v="Medical"/>
    <x v="0"/>
    <n v="202"/>
    <n v="2"/>
    <s v="Female"/>
    <n v="54"/>
    <n v="3"/>
    <n v="2"/>
    <s v="Research Scientist"/>
    <n v="2"/>
    <s v="Divorced"/>
    <n v="5605"/>
    <n v="8504"/>
    <n v="1"/>
    <s v="Y"/>
    <x v="1"/>
    <n v="11"/>
    <n v="3"/>
    <n v="1"/>
    <n v="80"/>
    <n v="1"/>
    <n v="20"/>
    <n v="2"/>
    <n v="3"/>
    <n v="20"/>
    <n v="7"/>
    <n v="2"/>
    <n v="13"/>
    <s v="Low"/>
    <s v="Medium"/>
    <s v="High"/>
  </r>
  <r>
    <n v="35"/>
    <x v="1"/>
    <s v="Travel_Rarely"/>
    <n v="662"/>
    <x v="0"/>
    <n v="1"/>
    <n v="5"/>
    <s v="Marketing"/>
    <x v="0"/>
    <n v="204"/>
    <n v="3"/>
    <s v="Male"/>
    <n v="94"/>
    <n v="3"/>
    <n v="3"/>
    <s v="Sales Executive"/>
    <n v="2"/>
    <s v="Married"/>
    <n v="7295"/>
    <n v="11439"/>
    <n v="1"/>
    <s v="Y"/>
    <x v="1"/>
    <n v="13"/>
    <n v="3"/>
    <n v="1"/>
    <n v="80"/>
    <n v="2"/>
    <n v="10"/>
    <n v="3"/>
    <n v="3"/>
    <n v="10"/>
    <n v="8"/>
    <n v="0"/>
    <n v="6"/>
    <s v="High"/>
    <s v="Medium"/>
    <s v="High"/>
  </r>
  <r>
    <n v="53"/>
    <x v="1"/>
    <s v="Travel_Rarely"/>
    <n v="1436"/>
    <x v="0"/>
    <n v="6"/>
    <n v="2"/>
    <s v="Marketing"/>
    <x v="0"/>
    <n v="205"/>
    <n v="2"/>
    <s v="Male"/>
    <n v="34"/>
    <n v="3"/>
    <n v="2"/>
    <s v="Sales Representative"/>
    <n v="3"/>
    <s v="Married"/>
    <n v="2306"/>
    <n v="16047"/>
    <n v="2"/>
    <s v="Y"/>
    <x v="0"/>
    <n v="20"/>
    <n v="4"/>
    <n v="4"/>
    <n v="80"/>
    <n v="1"/>
    <n v="13"/>
    <n v="3"/>
    <n v="1"/>
    <n v="7"/>
    <n v="7"/>
    <n v="4"/>
    <n v="5"/>
    <s v="Low"/>
    <s v="Low"/>
    <s v="Experienced"/>
  </r>
  <r>
    <n v="45"/>
    <x v="1"/>
    <s v="Travel_Rarely"/>
    <n v="194"/>
    <x v="1"/>
    <n v="9"/>
    <n v="3"/>
    <s v="Life Sciences"/>
    <x v="0"/>
    <n v="206"/>
    <n v="2"/>
    <s v="Male"/>
    <n v="60"/>
    <n v="3"/>
    <n v="2"/>
    <s v="Laboratory Technician"/>
    <n v="2"/>
    <s v="Divorced"/>
    <n v="2348"/>
    <n v="10901"/>
    <n v="8"/>
    <s v="Y"/>
    <x v="1"/>
    <n v="18"/>
    <n v="3"/>
    <n v="3"/>
    <n v="80"/>
    <n v="1"/>
    <n v="20"/>
    <n v="2"/>
    <n v="1"/>
    <n v="17"/>
    <n v="9"/>
    <n v="0"/>
    <n v="15"/>
    <s v="Low"/>
    <s v="Low"/>
    <s v="High"/>
  </r>
  <r>
    <n v="32"/>
    <x v="1"/>
    <s v="Travel_Frequently"/>
    <n v="967"/>
    <x v="0"/>
    <n v="8"/>
    <n v="3"/>
    <s v="Marketing"/>
    <x v="0"/>
    <n v="207"/>
    <n v="2"/>
    <s v="Female"/>
    <n v="43"/>
    <n v="3"/>
    <n v="3"/>
    <s v="Sales Executive"/>
    <n v="4"/>
    <s v="Single"/>
    <n v="8998"/>
    <n v="15589"/>
    <n v="1"/>
    <s v="Y"/>
    <x v="1"/>
    <n v="14"/>
    <n v="3"/>
    <n v="4"/>
    <n v="80"/>
    <n v="0"/>
    <n v="9"/>
    <n v="2"/>
    <n v="3"/>
    <n v="9"/>
    <n v="8"/>
    <n v="3"/>
    <n v="7"/>
    <s v="High"/>
    <s v="High"/>
    <s v="High"/>
  </r>
  <r>
    <n v="29"/>
    <x v="1"/>
    <s v="Non-Travel"/>
    <n v="1496"/>
    <x v="1"/>
    <n v="1"/>
    <n v="1"/>
    <s v="Technical Degree"/>
    <x v="0"/>
    <n v="208"/>
    <n v="4"/>
    <s v="Male"/>
    <n v="41"/>
    <n v="3"/>
    <n v="2"/>
    <s v="Manufacturing Director"/>
    <n v="3"/>
    <s v="Married"/>
    <n v="4319"/>
    <n v="26283"/>
    <n v="1"/>
    <s v="Y"/>
    <x v="1"/>
    <n v="13"/>
    <n v="3"/>
    <n v="1"/>
    <n v="80"/>
    <n v="1"/>
    <n v="10"/>
    <n v="1"/>
    <n v="3"/>
    <n v="10"/>
    <n v="7"/>
    <n v="0"/>
    <n v="9"/>
    <s v="Low"/>
    <s v="Medium"/>
    <s v="High"/>
  </r>
  <r>
    <n v="51"/>
    <x v="1"/>
    <s v="Travel_Rarely"/>
    <n v="1169"/>
    <x v="1"/>
    <n v="7"/>
    <n v="4"/>
    <s v="Medical"/>
    <x v="0"/>
    <n v="211"/>
    <n v="2"/>
    <s v="Male"/>
    <n v="34"/>
    <n v="2"/>
    <n v="2"/>
    <s v="Manufacturing Director"/>
    <n v="3"/>
    <s v="Married"/>
    <n v="6132"/>
    <n v="13983"/>
    <n v="2"/>
    <s v="Y"/>
    <x v="1"/>
    <n v="17"/>
    <n v="3"/>
    <n v="3"/>
    <n v="80"/>
    <n v="0"/>
    <n v="10"/>
    <n v="2"/>
    <n v="3"/>
    <n v="1"/>
    <n v="0"/>
    <n v="0"/>
    <n v="0"/>
    <s v="Low"/>
    <s v="Medium"/>
    <s v="new"/>
  </r>
  <r>
    <n v="58"/>
    <x v="1"/>
    <s v="Travel_Rarely"/>
    <n v="1145"/>
    <x v="1"/>
    <n v="9"/>
    <n v="3"/>
    <s v="Medical"/>
    <x v="0"/>
    <n v="214"/>
    <n v="2"/>
    <s v="Female"/>
    <n v="75"/>
    <n v="2"/>
    <n v="1"/>
    <s v="Research Scientist"/>
    <n v="2"/>
    <s v="Married"/>
    <n v="3346"/>
    <n v="11873"/>
    <n v="4"/>
    <s v="Y"/>
    <x v="0"/>
    <n v="20"/>
    <n v="4"/>
    <n v="2"/>
    <n v="80"/>
    <n v="1"/>
    <n v="9"/>
    <n v="3"/>
    <n v="2"/>
    <n v="1"/>
    <n v="0"/>
    <n v="0"/>
    <n v="0"/>
    <s v="Low"/>
    <s v="Low"/>
    <s v="new"/>
  </r>
  <r>
    <n v="40"/>
    <x v="1"/>
    <s v="Travel_Rarely"/>
    <n v="630"/>
    <x v="0"/>
    <n v="4"/>
    <n v="4"/>
    <s v="Marketing"/>
    <x v="0"/>
    <n v="215"/>
    <n v="3"/>
    <s v="Male"/>
    <n v="67"/>
    <n v="2"/>
    <n v="3"/>
    <s v="Sales Executive"/>
    <n v="4"/>
    <s v="Married"/>
    <n v="10855"/>
    <n v="8552"/>
    <n v="7"/>
    <s v="Y"/>
    <x v="1"/>
    <n v="11"/>
    <n v="3"/>
    <n v="1"/>
    <n v="80"/>
    <n v="1"/>
    <n v="15"/>
    <n v="2"/>
    <n v="2"/>
    <n v="12"/>
    <n v="11"/>
    <n v="2"/>
    <n v="11"/>
    <s v="High"/>
    <s v="High"/>
    <s v="High"/>
  </r>
  <r>
    <n v="34"/>
    <x v="1"/>
    <s v="Travel_Frequently"/>
    <n v="303"/>
    <x v="0"/>
    <n v="2"/>
    <n v="4"/>
    <s v="Marketing"/>
    <x v="0"/>
    <n v="216"/>
    <n v="3"/>
    <s v="Female"/>
    <n v="75"/>
    <n v="3"/>
    <n v="1"/>
    <s v="Sales Representative"/>
    <n v="3"/>
    <s v="Married"/>
    <n v="2231"/>
    <n v="11314"/>
    <n v="6"/>
    <s v="Y"/>
    <x v="1"/>
    <n v="18"/>
    <n v="3"/>
    <n v="4"/>
    <n v="80"/>
    <n v="1"/>
    <n v="6"/>
    <n v="3"/>
    <n v="3"/>
    <n v="4"/>
    <n v="3"/>
    <n v="1"/>
    <n v="2"/>
    <s v="Low"/>
    <s v="Low"/>
    <s v="Experienced"/>
  </r>
  <r>
    <n v="22"/>
    <x v="1"/>
    <s v="Travel_Rarely"/>
    <n v="1256"/>
    <x v="1"/>
    <n v="19"/>
    <n v="1"/>
    <s v="Medical"/>
    <x v="0"/>
    <n v="217"/>
    <n v="3"/>
    <s v="Male"/>
    <n v="80"/>
    <n v="3"/>
    <n v="1"/>
    <s v="Research Scientist"/>
    <n v="4"/>
    <s v="Married"/>
    <n v="2323"/>
    <n v="11992"/>
    <n v="1"/>
    <s v="Y"/>
    <x v="1"/>
    <n v="24"/>
    <n v="4"/>
    <n v="1"/>
    <n v="80"/>
    <n v="2"/>
    <n v="2"/>
    <n v="6"/>
    <n v="3"/>
    <n v="2"/>
    <n v="2"/>
    <n v="2"/>
    <n v="2"/>
    <s v="Low"/>
    <s v="Low"/>
    <s v="new"/>
  </r>
  <r>
    <n v="27"/>
    <x v="1"/>
    <s v="Non-Travel"/>
    <n v="691"/>
    <x v="1"/>
    <n v="9"/>
    <n v="3"/>
    <s v="Medical"/>
    <x v="0"/>
    <n v="218"/>
    <n v="4"/>
    <s v="Male"/>
    <n v="57"/>
    <n v="3"/>
    <n v="1"/>
    <s v="Research Scientist"/>
    <n v="2"/>
    <s v="Divorced"/>
    <n v="2024"/>
    <n v="5970"/>
    <n v="6"/>
    <s v="Y"/>
    <x v="1"/>
    <n v="18"/>
    <n v="3"/>
    <n v="4"/>
    <n v="80"/>
    <n v="1"/>
    <n v="6"/>
    <n v="1"/>
    <n v="1"/>
    <n v="2"/>
    <n v="2"/>
    <n v="2"/>
    <n v="2"/>
    <s v="Low"/>
    <s v="Low"/>
    <s v="new"/>
  </r>
  <r>
    <n v="28"/>
    <x v="1"/>
    <s v="Travel_Rarely"/>
    <n v="440"/>
    <x v="1"/>
    <n v="21"/>
    <n v="3"/>
    <s v="Medical"/>
    <x v="0"/>
    <n v="221"/>
    <n v="3"/>
    <s v="Male"/>
    <n v="42"/>
    <n v="3"/>
    <n v="1"/>
    <s v="Research Scientist"/>
    <n v="4"/>
    <s v="Married"/>
    <n v="2713"/>
    <n v="6672"/>
    <n v="1"/>
    <s v="Y"/>
    <x v="1"/>
    <n v="11"/>
    <n v="3"/>
    <n v="3"/>
    <n v="80"/>
    <n v="1"/>
    <n v="5"/>
    <n v="2"/>
    <n v="1"/>
    <n v="5"/>
    <n v="2"/>
    <n v="0"/>
    <n v="2"/>
    <s v="Low"/>
    <s v="Low"/>
    <s v="Experienced"/>
  </r>
  <r>
    <n v="57"/>
    <x v="1"/>
    <s v="Travel_Rarely"/>
    <n v="334"/>
    <x v="1"/>
    <n v="24"/>
    <n v="2"/>
    <s v="Life Sciences"/>
    <x v="0"/>
    <n v="223"/>
    <n v="3"/>
    <s v="Male"/>
    <n v="83"/>
    <n v="4"/>
    <n v="3"/>
    <s v="Healthcare Representative"/>
    <n v="4"/>
    <s v="Divorced"/>
    <n v="9439"/>
    <n v="23402"/>
    <n v="3"/>
    <s v="Y"/>
    <x v="0"/>
    <n v="16"/>
    <n v="3"/>
    <n v="2"/>
    <n v="80"/>
    <n v="1"/>
    <n v="12"/>
    <n v="2"/>
    <n v="1"/>
    <n v="5"/>
    <n v="3"/>
    <n v="1"/>
    <n v="4"/>
    <s v="High"/>
    <s v="High"/>
    <s v="Experienced"/>
  </r>
  <r>
    <n v="27"/>
    <x v="1"/>
    <s v="Non-Travel"/>
    <n v="1450"/>
    <x v="1"/>
    <n v="3"/>
    <n v="3"/>
    <s v="Medical"/>
    <x v="0"/>
    <n v="224"/>
    <n v="3"/>
    <s v="Male"/>
    <n v="79"/>
    <n v="2"/>
    <n v="1"/>
    <s v="Research Scientist"/>
    <n v="3"/>
    <s v="Divorced"/>
    <n v="2566"/>
    <n v="25326"/>
    <n v="1"/>
    <s v="Y"/>
    <x v="0"/>
    <n v="15"/>
    <n v="3"/>
    <n v="4"/>
    <n v="80"/>
    <n v="1"/>
    <n v="1"/>
    <n v="2"/>
    <n v="2"/>
    <n v="1"/>
    <n v="1"/>
    <n v="0"/>
    <n v="1"/>
    <s v="Low"/>
    <s v="Low"/>
    <s v="new"/>
  </r>
  <r>
    <n v="50"/>
    <x v="1"/>
    <s v="Travel_Rarely"/>
    <n v="1452"/>
    <x v="1"/>
    <n v="11"/>
    <n v="3"/>
    <s v="Life Sciences"/>
    <x v="0"/>
    <n v="226"/>
    <n v="3"/>
    <s v="Female"/>
    <n v="53"/>
    <n v="3"/>
    <n v="5"/>
    <s v="Manager"/>
    <n v="2"/>
    <s v="Single"/>
    <n v="19926"/>
    <n v="17053"/>
    <n v="3"/>
    <s v="Y"/>
    <x v="1"/>
    <n v="15"/>
    <n v="3"/>
    <n v="2"/>
    <n v="80"/>
    <n v="0"/>
    <n v="21"/>
    <n v="5"/>
    <n v="3"/>
    <n v="5"/>
    <n v="4"/>
    <n v="4"/>
    <n v="4"/>
    <s v="High"/>
    <s v="High"/>
    <s v="Experienced"/>
  </r>
  <r>
    <n v="41"/>
    <x v="1"/>
    <s v="Travel_Rarely"/>
    <n v="465"/>
    <x v="1"/>
    <n v="14"/>
    <n v="3"/>
    <s v="Life Sciences"/>
    <x v="0"/>
    <n v="227"/>
    <n v="1"/>
    <s v="Male"/>
    <n v="56"/>
    <n v="3"/>
    <n v="1"/>
    <s v="Research Scientist"/>
    <n v="3"/>
    <s v="Divorced"/>
    <n v="2451"/>
    <n v="4609"/>
    <n v="4"/>
    <s v="Y"/>
    <x v="1"/>
    <n v="12"/>
    <n v="3"/>
    <n v="1"/>
    <n v="80"/>
    <n v="1"/>
    <n v="13"/>
    <n v="2"/>
    <n v="3"/>
    <n v="9"/>
    <n v="8"/>
    <n v="1"/>
    <n v="8"/>
    <s v="Low"/>
    <s v="Low"/>
    <s v="High"/>
  </r>
  <r>
    <n v="30"/>
    <x v="1"/>
    <s v="Travel_Rarely"/>
    <n v="1339"/>
    <x v="0"/>
    <n v="5"/>
    <n v="3"/>
    <s v="Life Sciences"/>
    <x v="0"/>
    <n v="228"/>
    <n v="2"/>
    <s v="Female"/>
    <n v="41"/>
    <n v="3"/>
    <n v="3"/>
    <s v="Sales Executive"/>
    <n v="4"/>
    <s v="Married"/>
    <n v="9419"/>
    <n v="8053"/>
    <n v="2"/>
    <s v="Y"/>
    <x v="1"/>
    <n v="12"/>
    <n v="3"/>
    <n v="3"/>
    <n v="80"/>
    <n v="1"/>
    <n v="12"/>
    <n v="2"/>
    <n v="3"/>
    <n v="10"/>
    <n v="9"/>
    <n v="7"/>
    <n v="4"/>
    <s v="High"/>
    <s v="High"/>
    <s v="High"/>
  </r>
  <r>
    <n v="38"/>
    <x v="1"/>
    <s v="Travel_Rarely"/>
    <n v="702"/>
    <x v="0"/>
    <n v="1"/>
    <n v="4"/>
    <s v="Life Sciences"/>
    <x v="0"/>
    <n v="230"/>
    <n v="1"/>
    <s v="Female"/>
    <n v="59"/>
    <n v="2"/>
    <n v="2"/>
    <s v="Sales Executive"/>
    <n v="4"/>
    <s v="Single"/>
    <n v="8686"/>
    <n v="12930"/>
    <n v="4"/>
    <s v="Y"/>
    <x v="1"/>
    <n v="22"/>
    <n v="4"/>
    <n v="3"/>
    <n v="80"/>
    <n v="0"/>
    <n v="12"/>
    <n v="2"/>
    <n v="4"/>
    <n v="8"/>
    <n v="3"/>
    <n v="0"/>
    <n v="7"/>
    <s v="High"/>
    <s v="High"/>
    <s v="High"/>
  </r>
  <r>
    <n v="32"/>
    <x v="1"/>
    <s v="Travel_Rarely"/>
    <n v="120"/>
    <x v="1"/>
    <n v="6"/>
    <n v="5"/>
    <s v="Life Sciences"/>
    <x v="0"/>
    <n v="231"/>
    <n v="3"/>
    <s v="Male"/>
    <n v="43"/>
    <n v="3"/>
    <n v="1"/>
    <s v="Research Scientist"/>
    <n v="3"/>
    <s v="Single"/>
    <n v="3038"/>
    <n v="12430"/>
    <n v="3"/>
    <s v="Y"/>
    <x v="1"/>
    <n v="20"/>
    <n v="4"/>
    <n v="1"/>
    <n v="80"/>
    <n v="0"/>
    <n v="8"/>
    <n v="2"/>
    <n v="3"/>
    <n v="5"/>
    <n v="4"/>
    <n v="1"/>
    <n v="4"/>
    <s v="Low"/>
    <s v="Low"/>
    <s v="Experienced"/>
  </r>
  <r>
    <n v="27"/>
    <x v="1"/>
    <s v="Travel_Rarely"/>
    <n v="1157"/>
    <x v="1"/>
    <n v="17"/>
    <n v="3"/>
    <s v="Technical Degree"/>
    <x v="0"/>
    <n v="233"/>
    <n v="3"/>
    <s v="Male"/>
    <n v="51"/>
    <n v="3"/>
    <n v="1"/>
    <s v="Research Scientist"/>
    <n v="2"/>
    <s v="Married"/>
    <n v="3058"/>
    <n v="13364"/>
    <n v="0"/>
    <s v="Y"/>
    <x v="0"/>
    <n v="16"/>
    <n v="3"/>
    <n v="4"/>
    <n v="80"/>
    <n v="1"/>
    <n v="6"/>
    <n v="3"/>
    <n v="2"/>
    <n v="5"/>
    <n v="2"/>
    <n v="1"/>
    <n v="1"/>
    <s v="Low"/>
    <s v="Low"/>
    <s v="Experienced"/>
  </r>
  <r>
    <n v="19"/>
    <x v="0"/>
    <s v="Travel_Frequently"/>
    <n v="602"/>
    <x v="0"/>
    <n v="1"/>
    <n v="1"/>
    <s v="Technical Degree"/>
    <x v="0"/>
    <n v="235"/>
    <n v="3"/>
    <s v="Female"/>
    <n v="100"/>
    <n v="1"/>
    <n v="1"/>
    <s v="Sales Representative"/>
    <n v="1"/>
    <s v="Single"/>
    <n v="2325"/>
    <n v="20989"/>
    <n v="0"/>
    <s v="Y"/>
    <x v="1"/>
    <n v="21"/>
    <n v="4"/>
    <n v="1"/>
    <n v="80"/>
    <n v="0"/>
    <n v="1"/>
    <n v="5"/>
    <n v="4"/>
    <n v="0"/>
    <n v="0"/>
    <n v="0"/>
    <n v="0"/>
    <s v="Low"/>
    <s v="Low"/>
    <s v="new"/>
  </r>
  <r>
    <n v="36"/>
    <x v="1"/>
    <s v="Travel_Frequently"/>
    <n v="1480"/>
    <x v="1"/>
    <n v="3"/>
    <n v="2"/>
    <s v="Medical"/>
    <x v="0"/>
    <n v="238"/>
    <n v="4"/>
    <s v="Male"/>
    <n v="30"/>
    <n v="3"/>
    <n v="1"/>
    <s v="Laboratory Technician"/>
    <n v="2"/>
    <s v="Single"/>
    <n v="2088"/>
    <n v="15062"/>
    <n v="4"/>
    <s v="Y"/>
    <x v="1"/>
    <n v="12"/>
    <n v="3"/>
    <n v="3"/>
    <n v="80"/>
    <n v="0"/>
    <n v="13"/>
    <n v="3"/>
    <n v="2"/>
    <n v="8"/>
    <n v="7"/>
    <n v="7"/>
    <n v="2"/>
    <s v="Low"/>
    <s v="Low"/>
    <s v="High"/>
  </r>
  <r>
    <n v="30"/>
    <x v="1"/>
    <s v="Non-Travel"/>
    <n v="111"/>
    <x v="1"/>
    <n v="9"/>
    <n v="3"/>
    <s v="Medical"/>
    <x v="0"/>
    <n v="239"/>
    <n v="3"/>
    <s v="Male"/>
    <n v="66"/>
    <n v="3"/>
    <n v="2"/>
    <s v="Laboratory Technician"/>
    <n v="1"/>
    <s v="Divorced"/>
    <n v="3072"/>
    <n v="11012"/>
    <n v="1"/>
    <s v="Y"/>
    <x v="1"/>
    <n v="11"/>
    <n v="3"/>
    <n v="3"/>
    <n v="80"/>
    <n v="2"/>
    <n v="12"/>
    <n v="4"/>
    <n v="3"/>
    <n v="12"/>
    <n v="9"/>
    <n v="6"/>
    <n v="10"/>
    <s v="Low"/>
    <s v="Low"/>
    <s v="High"/>
  </r>
  <r>
    <n v="45"/>
    <x v="1"/>
    <s v="Travel_Rarely"/>
    <n v="1268"/>
    <x v="0"/>
    <n v="4"/>
    <n v="2"/>
    <s v="Life Sciences"/>
    <x v="0"/>
    <n v="240"/>
    <n v="3"/>
    <s v="Female"/>
    <n v="30"/>
    <n v="3"/>
    <n v="2"/>
    <s v="Sales Executive"/>
    <n v="1"/>
    <s v="Divorced"/>
    <n v="5006"/>
    <n v="6319"/>
    <n v="4"/>
    <s v="Y"/>
    <x v="0"/>
    <n v="11"/>
    <n v="3"/>
    <n v="1"/>
    <n v="80"/>
    <n v="1"/>
    <n v="9"/>
    <n v="3"/>
    <n v="4"/>
    <n v="5"/>
    <n v="4"/>
    <n v="0"/>
    <n v="3"/>
    <s v="Low"/>
    <s v="Medium"/>
    <s v="Experienced"/>
  </r>
  <r>
    <n v="56"/>
    <x v="1"/>
    <s v="Travel_Rarely"/>
    <n v="713"/>
    <x v="1"/>
    <n v="8"/>
    <n v="3"/>
    <s v="Life Sciences"/>
    <x v="0"/>
    <n v="241"/>
    <n v="3"/>
    <s v="Female"/>
    <n v="67"/>
    <n v="3"/>
    <n v="1"/>
    <s v="Research Scientist"/>
    <n v="1"/>
    <s v="Divorced"/>
    <n v="4257"/>
    <n v="13939"/>
    <n v="4"/>
    <s v="Y"/>
    <x v="0"/>
    <n v="18"/>
    <n v="3"/>
    <n v="3"/>
    <n v="80"/>
    <n v="1"/>
    <n v="19"/>
    <n v="3"/>
    <n v="3"/>
    <n v="2"/>
    <n v="2"/>
    <n v="2"/>
    <n v="2"/>
    <s v="Low"/>
    <s v="Medium"/>
    <s v="new"/>
  </r>
  <r>
    <n v="33"/>
    <x v="1"/>
    <s v="Travel_Rarely"/>
    <n v="134"/>
    <x v="1"/>
    <n v="2"/>
    <n v="3"/>
    <s v="Life Sciences"/>
    <x v="0"/>
    <n v="242"/>
    <n v="3"/>
    <s v="Male"/>
    <n v="90"/>
    <n v="3"/>
    <n v="1"/>
    <s v="Research Scientist"/>
    <n v="4"/>
    <s v="Single"/>
    <n v="2500"/>
    <n v="10515"/>
    <n v="0"/>
    <s v="Y"/>
    <x v="1"/>
    <n v="14"/>
    <n v="3"/>
    <n v="1"/>
    <n v="80"/>
    <n v="0"/>
    <n v="4"/>
    <n v="2"/>
    <n v="4"/>
    <n v="3"/>
    <n v="1"/>
    <n v="0"/>
    <n v="2"/>
    <s v="Low"/>
    <s v="Low"/>
    <s v="Experienced"/>
  </r>
  <r>
    <n v="19"/>
    <x v="0"/>
    <s v="Travel_Rarely"/>
    <n v="303"/>
    <x v="1"/>
    <n v="2"/>
    <n v="3"/>
    <s v="Life Sciences"/>
    <x v="0"/>
    <n v="243"/>
    <n v="2"/>
    <s v="Male"/>
    <n v="47"/>
    <n v="2"/>
    <n v="1"/>
    <s v="Laboratory Technician"/>
    <n v="4"/>
    <s v="Single"/>
    <n v="1102"/>
    <n v="9241"/>
    <n v="1"/>
    <s v="Y"/>
    <x v="1"/>
    <n v="22"/>
    <n v="4"/>
    <n v="3"/>
    <n v="80"/>
    <n v="0"/>
    <n v="1"/>
    <n v="3"/>
    <n v="2"/>
    <n v="1"/>
    <n v="0"/>
    <n v="1"/>
    <n v="0"/>
    <s v="Low"/>
    <s v="Low"/>
    <s v="new"/>
  </r>
  <r>
    <n v="46"/>
    <x v="1"/>
    <s v="Travel_Rarely"/>
    <n v="526"/>
    <x v="0"/>
    <n v="1"/>
    <n v="2"/>
    <s v="Marketing"/>
    <x v="0"/>
    <n v="244"/>
    <n v="2"/>
    <s v="Female"/>
    <n v="92"/>
    <n v="3"/>
    <n v="3"/>
    <s v="Sales Executive"/>
    <n v="1"/>
    <s v="Divorced"/>
    <n v="10453"/>
    <n v="2137"/>
    <n v="1"/>
    <s v="Y"/>
    <x v="1"/>
    <n v="25"/>
    <n v="4"/>
    <n v="3"/>
    <n v="80"/>
    <n v="3"/>
    <n v="24"/>
    <n v="2"/>
    <n v="3"/>
    <n v="24"/>
    <n v="13"/>
    <n v="15"/>
    <n v="7"/>
    <s v="High"/>
    <s v="High"/>
    <s v="High"/>
  </r>
  <r>
    <n v="38"/>
    <x v="1"/>
    <s v="Travel_Rarely"/>
    <n v="1380"/>
    <x v="1"/>
    <n v="9"/>
    <n v="2"/>
    <s v="Life Sciences"/>
    <x v="0"/>
    <n v="245"/>
    <n v="3"/>
    <s v="Female"/>
    <n v="75"/>
    <n v="3"/>
    <n v="1"/>
    <s v="Laboratory Technician"/>
    <n v="4"/>
    <s v="Single"/>
    <n v="2288"/>
    <n v="6319"/>
    <n v="1"/>
    <s v="Y"/>
    <x v="1"/>
    <n v="12"/>
    <n v="3"/>
    <n v="3"/>
    <n v="80"/>
    <n v="0"/>
    <n v="2"/>
    <n v="3"/>
    <n v="3"/>
    <n v="2"/>
    <n v="2"/>
    <n v="2"/>
    <n v="1"/>
    <s v="Low"/>
    <s v="Low"/>
    <s v="new"/>
  </r>
  <r>
    <n v="31"/>
    <x v="1"/>
    <s v="Travel_Rarely"/>
    <n v="140"/>
    <x v="1"/>
    <n v="12"/>
    <n v="1"/>
    <s v="Medical"/>
    <x v="0"/>
    <n v="246"/>
    <n v="3"/>
    <s v="Female"/>
    <n v="95"/>
    <n v="3"/>
    <n v="1"/>
    <s v="Research Scientist"/>
    <n v="4"/>
    <s v="Married"/>
    <n v="3929"/>
    <n v="6984"/>
    <n v="8"/>
    <s v="Y"/>
    <x v="0"/>
    <n v="23"/>
    <n v="4"/>
    <n v="3"/>
    <n v="80"/>
    <n v="1"/>
    <n v="7"/>
    <n v="0"/>
    <n v="3"/>
    <n v="4"/>
    <n v="2"/>
    <n v="0"/>
    <n v="2"/>
    <s v="Low"/>
    <s v="Low"/>
    <s v="Experienced"/>
  </r>
  <r>
    <n v="34"/>
    <x v="1"/>
    <s v="Travel_Rarely"/>
    <n v="629"/>
    <x v="1"/>
    <n v="27"/>
    <n v="2"/>
    <s v="Medical"/>
    <x v="0"/>
    <n v="247"/>
    <n v="4"/>
    <s v="Female"/>
    <n v="95"/>
    <n v="3"/>
    <n v="1"/>
    <s v="Research Scientist"/>
    <n v="2"/>
    <s v="Single"/>
    <n v="2311"/>
    <n v="5711"/>
    <n v="2"/>
    <s v="Y"/>
    <x v="1"/>
    <n v="15"/>
    <n v="3"/>
    <n v="4"/>
    <n v="80"/>
    <n v="0"/>
    <n v="9"/>
    <n v="3"/>
    <n v="3"/>
    <n v="3"/>
    <n v="2"/>
    <n v="1"/>
    <n v="2"/>
    <s v="Low"/>
    <s v="Low"/>
    <s v="Experienced"/>
  </r>
  <r>
    <n v="41"/>
    <x v="0"/>
    <s v="Travel_Rarely"/>
    <n v="1356"/>
    <x v="0"/>
    <n v="20"/>
    <n v="2"/>
    <s v="Marketing"/>
    <x v="0"/>
    <n v="248"/>
    <n v="2"/>
    <s v="Female"/>
    <n v="70"/>
    <n v="3"/>
    <n v="1"/>
    <s v="Sales Representative"/>
    <n v="2"/>
    <s v="Single"/>
    <n v="3140"/>
    <n v="21728"/>
    <n v="1"/>
    <s v="Y"/>
    <x v="0"/>
    <n v="22"/>
    <n v="4"/>
    <n v="4"/>
    <n v="80"/>
    <n v="0"/>
    <n v="4"/>
    <n v="5"/>
    <n v="2"/>
    <n v="4"/>
    <n v="3"/>
    <n v="0"/>
    <n v="2"/>
    <s v="Low"/>
    <s v="Low"/>
    <s v="Experienced"/>
  </r>
  <r>
    <n v="50"/>
    <x v="1"/>
    <s v="Travel_Rarely"/>
    <n v="328"/>
    <x v="1"/>
    <n v="1"/>
    <n v="3"/>
    <s v="Medical"/>
    <x v="0"/>
    <n v="249"/>
    <n v="3"/>
    <s v="Male"/>
    <n v="86"/>
    <n v="2"/>
    <n v="1"/>
    <s v="Laboratory Technician"/>
    <n v="3"/>
    <s v="Married"/>
    <n v="3690"/>
    <n v="3425"/>
    <n v="2"/>
    <s v="Y"/>
    <x v="1"/>
    <n v="15"/>
    <n v="3"/>
    <n v="4"/>
    <n v="80"/>
    <n v="1"/>
    <n v="5"/>
    <n v="2"/>
    <n v="2"/>
    <n v="3"/>
    <n v="2"/>
    <n v="0"/>
    <n v="2"/>
    <s v="Low"/>
    <s v="Low"/>
    <s v="Experienced"/>
  </r>
  <r>
    <n v="53"/>
    <x v="1"/>
    <s v="Travel_Rarely"/>
    <n v="1084"/>
    <x v="1"/>
    <n v="13"/>
    <n v="2"/>
    <s v="Medical"/>
    <x v="0"/>
    <n v="250"/>
    <n v="4"/>
    <s v="Female"/>
    <n v="57"/>
    <n v="4"/>
    <n v="2"/>
    <s v="Manufacturing Director"/>
    <n v="1"/>
    <s v="Divorced"/>
    <n v="4450"/>
    <n v="26250"/>
    <n v="1"/>
    <s v="Y"/>
    <x v="1"/>
    <n v="11"/>
    <n v="3"/>
    <n v="3"/>
    <n v="80"/>
    <n v="2"/>
    <n v="5"/>
    <n v="3"/>
    <n v="3"/>
    <n v="4"/>
    <n v="2"/>
    <n v="1"/>
    <n v="3"/>
    <s v="Low"/>
    <s v="Medium"/>
    <s v="Experienced"/>
  </r>
  <r>
    <n v="33"/>
    <x v="1"/>
    <s v="Travel_Rarely"/>
    <n v="931"/>
    <x v="1"/>
    <n v="14"/>
    <n v="3"/>
    <s v="Medical"/>
    <x v="0"/>
    <n v="252"/>
    <n v="4"/>
    <s v="Female"/>
    <n v="72"/>
    <n v="3"/>
    <n v="1"/>
    <s v="Research Scientist"/>
    <n v="2"/>
    <s v="Married"/>
    <n v="2756"/>
    <n v="4673"/>
    <n v="1"/>
    <s v="Y"/>
    <x v="1"/>
    <n v="13"/>
    <n v="3"/>
    <n v="4"/>
    <n v="80"/>
    <n v="1"/>
    <n v="8"/>
    <n v="5"/>
    <n v="3"/>
    <n v="8"/>
    <n v="7"/>
    <n v="1"/>
    <n v="6"/>
    <s v="Low"/>
    <s v="Low"/>
    <s v="High"/>
  </r>
  <r>
    <n v="40"/>
    <x v="1"/>
    <s v="Travel_Rarely"/>
    <n v="989"/>
    <x v="1"/>
    <n v="4"/>
    <n v="1"/>
    <s v="Medical"/>
    <x v="0"/>
    <n v="253"/>
    <n v="4"/>
    <s v="Female"/>
    <n v="46"/>
    <n v="3"/>
    <n v="5"/>
    <s v="Manager"/>
    <n v="3"/>
    <s v="Married"/>
    <n v="19033"/>
    <n v="6499"/>
    <n v="1"/>
    <s v="Y"/>
    <x v="1"/>
    <n v="14"/>
    <n v="3"/>
    <n v="2"/>
    <n v="80"/>
    <n v="1"/>
    <n v="21"/>
    <n v="2"/>
    <n v="3"/>
    <n v="20"/>
    <n v="8"/>
    <n v="9"/>
    <n v="9"/>
    <s v="High"/>
    <s v="High"/>
    <s v="High"/>
  </r>
  <r>
    <n v="55"/>
    <x v="1"/>
    <s v="Travel_Rarely"/>
    <n v="692"/>
    <x v="1"/>
    <n v="14"/>
    <n v="4"/>
    <s v="Medical"/>
    <x v="0"/>
    <n v="254"/>
    <n v="3"/>
    <s v="Male"/>
    <n v="61"/>
    <n v="4"/>
    <n v="5"/>
    <s v="Research Director"/>
    <n v="2"/>
    <s v="Single"/>
    <n v="18722"/>
    <n v="13339"/>
    <n v="8"/>
    <s v="Y"/>
    <x v="1"/>
    <n v="11"/>
    <n v="3"/>
    <n v="4"/>
    <n v="80"/>
    <n v="0"/>
    <n v="36"/>
    <n v="3"/>
    <n v="3"/>
    <n v="24"/>
    <n v="15"/>
    <n v="2"/>
    <n v="15"/>
    <s v="High"/>
    <s v="High"/>
    <s v="High"/>
  </r>
  <r>
    <n v="34"/>
    <x v="1"/>
    <s v="Travel_Frequently"/>
    <n v="1069"/>
    <x v="1"/>
    <n v="2"/>
    <n v="1"/>
    <s v="Life Sciences"/>
    <x v="0"/>
    <n v="256"/>
    <n v="4"/>
    <s v="Male"/>
    <n v="45"/>
    <n v="2"/>
    <n v="2"/>
    <s v="Manufacturing Director"/>
    <n v="3"/>
    <s v="Married"/>
    <n v="9547"/>
    <n v="14074"/>
    <n v="1"/>
    <s v="Y"/>
    <x v="1"/>
    <n v="17"/>
    <n v="3"/>
    <n v="3"/>
    <n v="80"/>
    <n v="0"/>
    <n v="10"/>
    <n v="2"/>
    <n v="2"/>
    <n v="10"/>
    <n v="9"/>
    <n v="1"/>
    <n v="9"/>
    <s v="High"/>
    <s v="High"/>
    <s v="High"/>
  </r>
  <r>
    <n v="51"/>
    <x v="1"/>
    <s v="Travel_Rarely"/>
    <n v="313"/>
    <x v="1"/>
    <n v="3"/>
    <n v="3"/>
    <s v="Medical"/>
    <x v="0"/>
    <n v="258"/>
    <n v="4"/>
    <s v="Female"/>
    <n v="98"/>
    <n v="3"/>
    <n v="4"/>
    <s v="Healthcare Representative"/>
    <n v="2"/>
    <s v="Single"/>
    <n v="13734"/>
    <n v="7192"/>
    <n v="3"/>
    <s v="Y"/>
    <x v="1"/>
    <n v="18"/>
    <n v="3"/>
    <n v="3"/>
    <n v="80"/>
    <n v="0"/>
    <n v="21"/>
    <n v="6"/>
    <n v="3"/>
    <n v="7"/>
    <n v="7"/>
    <n v="1"/>
    <n v="0"/>
    <s v="High"/>
    <s v="High"/>
    <s v="Experienced"/>
  </r>
  <r>
    <n v="52"/>
    <x v="1"/>
    <s v="Travel_Rarely"/>
    <n v="699"/>
    <x v="1"/>
    <n v="1"/>
    <n v="4"/>
    <s v="Life Sciences"/>
    <x v="0"/>
    <n v="259"/>
    <n v="3"/>
    <s v="Male"/>
    <n v="65"/>
    <n v="2"/>
    <n v="5"/>
    <s v="Manager"/>
    <n v="3"/>
    <s v="Married"/>
    <n v="19999"/>
    <n v="5678"/>
    <n v="0"/>
    <s v="Y"/>
    <x v="1"/>
    <n v="14"/>
    <n v="3"/>
    <n v="1"/>
    <n v="80"/>
    <n v="1"/>
    <n v="34"/>
    <n v="5"/>
    <n v="3"/>
    <n v="33"/>
    <n v="18"/>
    <n v="11"/>
    <n v="9"/>
    <s v="High"/>
    <s v="High"/>
    <s v="High"/>
  </r>
  <r>
    <n v="27"/>
    <x v="1"/>
    <s v="Travel_Rarely"/>
    <n v="894"/>
    <x v="1"/>
    <n v="9"/>
    <n v="3"/>
    <s v="Medical"/>
    <x v="0"/>
    <n v="260"/>
    <n v="4"/>
    <s v="Female"/>
    <n v="99"/>
    <n v="3"/>
    <n v="1"/>
    <s v="Research Scientist"/>
    <n v="2"/>
    <s v="Single"/>
    <n v="2279"/>
    <n v="11781"/>
    <n v="1"/>
    <s v="Y"/>
    <x v="1"/>
    <n v="16"/>
    <n v="3"/>
    <n v="4"/>
    <n v="80"/>
    <n v="0"/>
    <n v="7"/>
    <n v="2"/>
    <n v="2"/>
    <n v="7"/>
    <n v="7"/>
    <n v="0"/>
    <n v="3"/>
    <s v="Low"/>
    <s v="Low"/>
    <s v="Experienced"/>
  </r>
  <r>
    <n v="35"/>
    <x v="0"/>
    <s v="Travel_Rarely"/>
    <n v="556"/>
    <x v="1"/>
    <n v="23"/>
    <n v="2"/>
    <s v="Life Sciences"/>
    <x v="0"/>
    <n v="261"/>
    <n v="2"/>
    <s v="Male"/>
    <n v="50"/>
    <n v="2"/>
    <n v="2"/>
    <s v="Manufacturing Director"/>
    <n v="3"/>
    <s v="Married"/>
    <n v="5916"/>
    <n v="15497"/>
    <n v="3"/>
    <s v="Y"/>
    <x v="0"/>
    <n v="13"/>
    <n v="3"/>
    <n v="1"/>
    <n v="80"/>
    <n v="0"/>
    <n v="8"/>
    <n v="1"/>
    <n v="3"/>
    <n v="1"/>
    <n v="0"/>
    <n v="0"/>
    <n v="1"/>
    <s v="Low"/>
    <s v="Medium"/>
    <s v="new"/>
  </r>
  <r>
    <n v="43"/>
    <x v="1"/>
    <s v="Non-Travel"/>
    <n v="1344"/>
    <x v="1"/>
    <n v="7"/>
    <n v="3"/>
    <s v="Medical"/>
    <x v="0"/>
    <n v="262"/>
    <n v="4"/>
    <s v="Male"/>
    <n v="37"/>
    <n v="4"/>
    <n v="1"/>
    <s v="Research Scientist"/>
    <n v="4"/>
    <s v="Divorced"/>
    <n v="2089"/>
    <n v="5228"/>
    <n v="4"/>
    <s v="Y"/>
    <x v="1"/>
    <n v="14"/>
    <n v="3"/>
    <n v="4"/>
    <n v="80"/>
    <n v="3"/>
    <n v="7"/>
    <n v="3"/>
    <n v="4"/>
    <n v="5"/>
    <n v="4"/>
    <n v="2"/>
    <n v="2"/>
    <s v="Low"/>
    <s v="Low"/>
    <s v="Experienced"/>
  </r>
  <r>
    <n v="45"/>
    <x v="1"/>
    <s v="Non-Travel"/>
    <n v="1195"/>
    <x v="1"/>
    <n v="2"/>
    <n v="2"/>
    <s v="Medical"/>
    <x v="0"/>
    <n v="264"/>
    <n v="1"/>
    <s v="Male"/>
    <n v="65"/>
    <n v="2"/>
    <n v="4"/>
    <s v="Manager"/>
    <n v="4"/>
    <s v="Married"/>
    <n v="16792"/>
    <n v="20462"/>
    <n v="9"/>
    <s v="Y"/>
    <x v="1"/>
    <n v="23"/>
    <n v="4"/>
    <n v="4"/>
    <n v="80"/>
    <n v="1"/>
    <n v="22"/>
    <n v="1"/>
    <n v="3"/>
    <n v="20"/>
    <n v="8"/>
    <n v="11"/>
    <n v="8"/>
    <s v="High"/>
    <s v="High"/>
    <s v="High"/>
  </r>
  <r>
    <n v="37"/>
    <x v="1"/>
    <s v="Travel_Rarely"/>
    <n v="290"/>
    <x v="1"/>
    <n v="21"/>
    <n v="3"/>
    <s v="Life Sciences"/>
    <x v="0"/>
    <n v="267"/>
    <n v="2"/>
    <s v="Male"/>
    <n v="65"/>
    <n v="4"/>
    <n v="1"/>
    <s v="Research Scientist"/>
    <n v="1"/>
    <s v="Married"/>
    <n v="3564"/>
    <n v="22977"/>
    <n v="1"/>
    <s v="Y"/>
    <x v="0"/>
    <n v="12"/>
    <n v="3"/>
    <n v="1"/>
    <n v="80"/>
    <n v="1"/>
    <n v="8"/>
    <n v="3"/>
    <n v="2"/>
    <n v="8"/>
    <n v="7"/>
    <n v="1"/>
    <n v="7"/>
    <s v="Low"/>
    <s v="Low"/>
    <s v="High"/>
  </r>
  <r>
    <n v="35"/>
    <x v="1"/>
    <s v="Travel_Frequently"/>
    <n v="138"/>
    <x v="1"/>
    <n v="2"/>
    <n v="3"/>
    <s v="Medical"/>
    <x v="0"/>
    <n v="269"/>
    <n v="2"/>
    <s v="Female"/>
    <n v="37"/>
    <n v="3"/>
    <n v="2"/>
    <s v="Laboratory Technician"/>
    <n v="2"/>
    <s v="Single"/>
    <n v="4425"/>
    <n v="15986"/>
    <n v="5"/>
    <s v="Y"/>
    <x v="1"/>
    <n v="11"/>
    <n v="3"/>
    <n v="4"/>
    <n v="80"/>
    <n v="0"/>
    <n v="10"/>
    <n v="5"/>
    <n v="3"/>
    <n v="6"/>
    <n v="2"/>
    <n v="1"/>
    <n v="2"/>
    <s v="Low"/>
    <s v="Medium"/>
    <s v="Experienced"/>
  </r>
  <r>
    <n v="42"/>
    <x v="1"/>
    <s v="Non-Travel"/>
    <n v="926"/>
    <x v="1"/>
    <n v="21"/>
    <n v="2"/>
    <s v="Medical"/>
    <x v="0"/>
    <n v="270"/>
    <n v="3"/>
    <s v="Female"/>
    <n v="36"/>
    <n v="3"/>
    <n v="2"/>
    <s v="Manufacturing Director"/>
    <n v="3"/>
    <s v="Divorced"/>
    <n v="5265"/>
    <n v="16439"/>
    <n v="2"/>
    <s v="Y"/>
    <x v="1"/>
    <n v="16"/>
    <n v="3"/>
    <n v="2"/>
    <n v="80"/>
    <n v="1"/>
    <n v="11"/>
    <n v="5"/>
    <n v="3"/>
    <n v="5"/>
    <n v="3"/>
    <n v="0"/>
    <n v="2"/>
    <s v="Low"/>
    <s v="Medium"/>
    <s v="Experienced"/>
  </r>
  <r>
    <n v="38"/>
    <x v="1"/>
    <s v="Travel_Rarely"/>
    <n v="1261"/>
    <x v="1"/>
    <n v="2"/>
    <n v="4"/>
    <s v="Life Sciences"/>
    <x v="0"/>
    <n v="271"/>
    <n v="4"/>
    <s v="Male"/>
    <n v="88"/>
    <n v="3"/>
    <n v="2"/>
    <s v="Manufacturing Director"/>
    <n v="3"/>
    <s v="Married"/>
    <n v="6553"/>
    <n v="7259"/>
    <n v="9"/>
    <s v="Y"/>
    <x v="1"/>
    <n v="14"/>
    <n v="3"/>
    <n v="2"/>
    <n v="80"/>
    <n v="0"/>
    <n v="14"/>
    <n v="3"/>
    <n v="3"/>
    <n v="1"/>
    <n v="0"/>
    <n v="0"/>
    <n v="0"/>
    <s v="High"/>
    <s v="Medium"/>
    <s v="new"/>
  </r>
  <r>
    <n v="38"/>
    <x v="1"/>
    <s v="Travel_Rarely"/>
    <n v="1084"/>
    <x v="1"/>
    <n v="29"/>
    <n v="3"/>
    <s v="Technical Degree"/>
    <x v="0"/>
    <n v="273"/>
    <n v="4"/>
    <s v="Male"/>
    <n v="54"/>
    <n v="3"/>
    <n v="2"/>
    <s v="Manufacturing Director"/>
    <n v="4"/>
    <s v="Married"/>
    <n v="6261"/>
    <n v="4185"/>
    <n v="3"/>
    <s v="Y"/>
    <x v="1"/>
    <n v="18"/>
    <n v="3"/>
    <n v="1"/>
    <n v="80"/>
    <n v="1"/>
    <n v="9"/>
    <n v="3"/>
    <n v="1"/>
    <n v="7"/>
    <n v="7"/>
    <n v="1"/>
    <n v="7"/>
    <s v="Low"/>
    <s v="Medium"/>
    <s v="Experienced"/>
  </r>
  <r>
    <n v="27"/>
    <x v="1"/>
    <s v="Travel_Frequently"/>
    <n v="472"/>
    <x v="1"/>
    <n v="1"/>
    <n v="1"/>
    <s v="Technical Degree"/>
    <x v="0"/>
    <n v="274"/>
    <n v="3"/>
    <s v="Male"/>
    <n v="60"/>
    <n v="2"/>
    <n v="2"/>
    <s v="Manufacturing Director"/>
    <n v="1"/>
    <s v="Married"/>
    <n v="4298"/>
    <n v="9679"/>
    <n v="5"/>
    <s v="Y"/>
    <x v="1"/>
    <n v="19"/>
    <n v="3"/>
    <n v="3"/>
    <n v="80"/>
    <n v="1"/>
    <n v="6"/>
    <n v="1"/>
    <n v="3"/>
    <n v="2"/>
    <n v="2"/>
    <n v="2"/>
    <n v="0"/>
    <s v="Low"/>
    <s v="Medium"/>
    <s v="new"/>
  </r>
  <r>
    <n v="49"/>
    <x v="1"/>
    <s v="Non-Travel"/>
    <n v="1002"/>
    <x v="1"/>
    <n v="18"/>
    <n v="4"/>
    <s v="Life Sciences"/>
    <x v="0"/>
    <n v="275"/>
    <n v="4"/>
    <s v="Male"/>
    <n v="92"/>
    <n v="3"/>
    <n v="2"/>
    <s v="Manufacturing Director"/>
    <n v="4"/>
    <s v="Divorced"/>
    <n v="6804"/>
    <n v="23793"/>
    <n v="1"/>
    <s v="Y"/>
    <x v="0"/>
    <n v="15"/>
    <n v="3"/>
    <n v="1"/>
    <n v="80"/>
    <n v="2"/>
    <n v="7"/>
    <n v="0"/>
    <n v="3"/>
    <n v="7"/>
    <n v="7"/>
    <n v="1"/>
    <n v="7"/>
    <s v="High"/>
    <s v="Medium"/>
    <s v="Experienced"/>
  </r>
  <r>
    <n v="34"/>
    <x v="1"/>
    <s v="Travel_Frequently"/>
    <n v="878"/>
    <x v="1"/>
    <n v="10"/>
    <n v="4"/>
    <s v="Medical"/>
    <x v="0"/>
    <n v="277"/>
    <n v="4"/>
    <s v="Male"/>
    <n v="43"/>
    <n v="3"/>
    <n v="1"/>
    <s v="Research Scientist"/>
    <n v="3"/>
    <s v="Divorced"/>
    <n v="3815"/>
    <n v="5972"/>
    <n v="1"/>
    <s v="Y"/>
    <x v="0"/>
    <n v="17"/>
    <n v="3"/>
    <n v="4"/>
    <n v="80"/>
    <n v="1"/>
    <n v="5"/>
    <n v="4"/>
    <n v="4"/>
    <n v="5"/>
    <n v="3"/>
    <n v="2"/>
    <n v="0"/>
    <s v="Low"/>
    <s v="Low"/>
    <s v="Experienced"/>
  </r>
  <r>
    <n v="40"/>
    <x v="1"/>
    <s v="Travel_Rarely"/>
    <n v="905"/>
    <x v="1"/>
    <n v="19"/>
    <n v="2"/>
    <s v="Medical"/>
    <x v="0"/>
    <n v="281"/>
    <n v="3"/>
    <s v="Male"/>
    <n v="99"/>
    <n v="3"/>
    <n v="2"/>
    <s v="Laboratory Technician"/>
    <n v="4"/>
    <s v="Married"/>
    <n v="2741"/>
    <n v="16523"/>
    <n v="8"/>
    <s v="Y"/>
    <x v="0"/>
    <n v="15"/>
    <n v="3"/>
    <n v="3"/>
    <n v="80"/>
    <n v="1"/>
    <n v="15"/>
    <n v="2"/>
    <n v="4"/>
    <n v="7"/>
    <n v="2"/>
    <n v="3"/>
    <n v="7"/>
    <s v="Low"/>
    <s v="Low"/>
    <s v="Experienced"/>
  </r>
  <r>
    <n v="38"/>
    <x v="0"/>
    <s v="Travel_Rarely"/>
    <n v="1180"/>
    <x v="1"/>
    <n v="29"/>
    <n v="1"/>
    <s v="Medical"/>
    <x v="0"/>
    <n v="282"/>
    <n v="2"/>
    <s v="Male"/>
    <n v="70"/>
    <n v="3"/>
    <n v="2"/>
    <s v="Healthcare Representative"/>
    <n v="1"/>
    <s v="Married"/>
    <n v="6673"/>
    <n v="11354"/>
    <n v="7"/>
    <s v="Y"/>
    <x v="0"/>
    <n v="19"/>
    <n v="3"/>
    <n v="2"/>
    <n v="80"/>
    <n v="0"/>
    <n v="17"/>
    <n v="2"/>
    <n v="3"/>
    <n v="1"/>
    <n v="0"/>
    <n v="0"/>
    <n v="0"/>
    <s v="High"/>
    <s v="Medium"/>
    <s v="new"/>
  </r>
  <r>
    <n v="29"/>
    <x v="0"/>
    <s v="Travel_Rarely"/>
    <n v="121"/>
    <x v="0"/>
    <n v="27"/>
    <n v="3"/>
    <s v="Marketing"/>
    <x v="0"/>
    <n v="283"/>
    <n v="2"/>
    <s v="Female"/>
    <n v="35"/>
    <n v="3"/>
    <n v="3"/>
    <s v="Sales Executive"/>
    <n v="4"/>
    <s v="Married"/>
    <n v="7639"/>
    <n v="24525"/>
    <n v="1"/>
    <s v="Y"/>
    <x v="1"/>
    <n v="22"/>
    <n v="4"/>
    <n v="4"/>
    <n v="80"/>
    <n v="3"/>
    <n v="10"/>
    <n v="3"/>
    <n v="2"/>
    <n v="10"/>
    <n v="4"/>
    <n v="1"/>
    <n v="9"/>
    <s v="High"/>
    <s v="Medium"/>
    <s v="High"/>
  </r>
  <r>
    <n v="22"/>
    <x v="1"/>
    <s v="Travel_Rarely"/>
    <n v="1136"/>
    <x v="1"/>
    <n v="5"/>
    <n v="3"/>
    <s v="Life Sciences"/>
    <x v="0"/>
    <n v="284"/>
    <n v="4"/>
    <s v="Male"/>
    <n v="60"/>
    <n v="4"/>
    <n v="1"/>
    <s v="Research Scientist"/>
    <n v="2"/>
    <s v="Divorced"/>
    <n v="2328"/>
    <n v="12392"/>
    <n v="1"/>
    <s v="Y"/>
    <x v="0"/>
    <n v="16"/>
    <n v="3"/>
    <n v="1"/>
    <n v="80"/>
    <n v="1"/>
    <n v="4"/>
    <n v="2"/>
    <n v="2"/>
    <n v="4"/>
    <n v="2"/>
    <n v="2"/>
    <n v="2"/>
    <s v="Low"/>
    <s v="Low"/>
    <s v="Experienced"/>
  </r>
  <r>
    <n v="36"/>
    <x v="1"/>
    <s v="Travel_Frequently"/>
    <n v="635"/>
    <x v="1"/>
    <n v="18"/>
    <n v="1"/>
    <s v="Medical"/>
    <x v="0"/>
    <n v="286"/>
    <n v="2"/>
    <s v="Female"/>
    <n v="73"/>
    <n v="3"/>
    <n v="1"/>
    <s v="Laboratory Technician"/>
    <n v="4"/>
    <s v="Single"/>
    <n v="2153"/>
    <n v="7703"/>
    <n v="1"/>
    <s v="Y"/>
    <x v="1"/>
    <n v="13"/>
    <n v="3"/>
    <n v="1"/>
    <n v="80"/>
    <n v="0"/>
    <n v="8"/>
    <n v="2"/>
    <n v="3"/>
    <n v="8"/>
    <n v="1"/>
    <n v="1"/>
    <n v="7"/>
    <s v="Low"/>
    <s v="Low"/>
    <s v="High"/>
  </r>
  <r>
    <n v="40"/>
    <x v="1"/>
    <s v="Non-Travel"/>
    <n v="1151"/>
    <x v="1"/>
    <n v="9"/>
    <n v="5"/>
    <s v="Life Sciences"/>
    <x v="0"/>
    <n v="287"/>
    <n v="4"/>
    <s v="Male"/>
    <n v="63"/>
    <n v="2"/>
    <n v="2"/>
    <s v="Healthcare Representative"/>
    <n v="4"/>
    <s v="Married"/>
    <n v="4876"/>
    <n v="14242"/>
    <n v="9"/>
    <s v="Y"/>
    <x v="1"/>
    <n v="14"/>
    <n v="3"/>
    <n v="4"/>
    <n v="80"/>
    <n v="1"/>
    <n v="5"/>
    <n v="5"/>
    <n v="1"/>
    <n v="3"/>
    <n v="2"/>
    <n v="0"/>
    <n v="2"/>
    <s v="Low"/>
    <s v="Medium"/>
    <s v="Experienced"/>
  </r>
  <r>
    <n v="46"/>
    <x v="1"/>
    <s v="Travel_Rarely"/>
    <n v="644"/>
    <x v="1"/>
    <n v="1"/>
    <n v="4"/>
    <s v="Medical"/>
    <x v="0"/>
    <n v="288"/>
    <n v="4"/>
    <s v="Male"/>
    <n v="97"/>
    <n v="3"/>
    <n v="3"/>
    <s v="Healthcare Representative"/>
    <n v="1"/>
    <s v="Divorced"/>
    <n v="9396"/>
    <n v="12368"/>
    <n v="7"/>
    <s v="Y"/>
    <x v="1"/>
    <n v="16"/>
    <n v="3"/>
    <n v="3"/>
    <n v="80"/>
    <n v="1"/>
    <n v="17"/>
    <n v="3"/>
    <n v="3"/>
    <n v="4"/>
    <n v="2"/>
    <n v="0"/>
    <n v="3"/>
    <s v="High"/>
    <s v="High"/>
    <s v="Experienced"/>
  </r>
  <r>
    <n v="32"/>
    <x v="0"/>
    <s v="Travel_Rarely"/>
    <n v="1045"/>
    <x v="0"/>
    <n v="4"/>
    <n v="4"/>
    <s v="Medical"/>
    <x v="0"/>
    <n v="291"/>
    <n v="4"/>
    <s v="Male"/>
    <n v="32"/>
    <n v="1"/>
    <n v="3"/>
    <s v="Sales Executive"/>
    <n v="4"/>
    <s v="Married"/>
    <n v="10400"/>
    <n v="25812"/>
    <n v="1"/>
    <s v="Y"/>
    <x v="1"/>
    <n v="11"/>
    <n v="3"/>
    <n v="3"/>
    <n v="80"/>
    <n v="0"/>
    <n v="14"/>
    <n v="2"/>
    <n v="2"/>
    <n v="14"/>
    <n v="8"/>
    <n v="9"/>
    <n v="8"/>
    <s v="High"/>
    <s v="High"/>
    <s v="High"/>
  </r>
  <r>
    <n v="30"/>
    <x v="1"/>
    <s v="Non-Travel"/>
    <n v="829"/>
    <x v="1"/>
    <n v="1"/>
    <n v="1"/>
    <s v="Life Sciences"/>
    <x v="0"/>
    <n v="292"/>
    <n v="3"/>
    <s v="Male"/>
    <n v="88"/>
    <n v="2"/>
    <n v="3"/>
    <s v="Manufacturing Director"/>
    <n v="3"/>
    <s v="Single"/>
    <n v="8474"/>
    <n v="20925"/>
    <n v="1"/>
    <s v="Y"/>
    <x v="1"/>
    <n v="22"/>
    <n v="4"/>
    <n v="3"/>
    <n v="80"/>
    <n v="0"/>
    <n v="12"/>
    <n v="2"/>
    <n v="3"/>
    <n v="11"/>
    <n v="8"/>
    <n v="5"/>
    <n v="8"/>
    <s v="High"/>
    <s v="High"/>
    <s v="High"/>
  </r>
  <r>
    <n v="27"/>
    <x v="1"/>
    <s v="Travel_Frequently"/>
    <n v="1242"/>
    <x v="0"/>
    <n v="20"/>
    <n v="3"/>
    <s v="Life Sciences"/>
    <x v="0"/>
    <n v="293"/>
    <n v="4"/>
    <s v="Female"/>
    <n v="90"/>
    <n v="3"/>
    <n v="2"/>
    <s v="Sales Executive"/>
    <n v="3"/>
    <s v="Single"/>
    <n v="9981"/>
    <n v="12916"/>
    <n v="1"/>
    <s v="Y"/>
    <x v="1"/>
    <n v="14"/>
    <n v="3"/>
    <n v="4"/>
    <n v="80"/>
    <n v="0"/>
    <n v="7"/>
    <n v="2"/>
    <n v="3"/>
    <n v="7"/>
    <n v="7"/>
    <n v="0"/>
    <n v="7"/>
    <s v="High"/>
    <s v="High"/>
    <s v="Experienced"/>
  </r>
  <r>
    <n v="51"/>
    <x v="1"/>
    <s v="Travel_Rarely"/>
    <n v="1469"/>
    <x v="1"/>
    <n v="8"/>
    <n v="4"/>
    <s v="Life Sciences"/>
    <x v="0"/>
    <n v="296"/>
    <n v="2"/>
    <s v="Male"/>
    <n v="81"/>
    <n v="2"/>
    <n v="3"/>
    <s v="Research Director"/>
    <n v="2"/>
    <s v="Married"/>
    <n v="12490"/>
    <n v="15736"/>
    <n v="5"/>
    <s v="Y"/>
    <x v="1"/>
    <n v="16"/>
    <n v="3"/>
    <n v="4"/>
    <n v="80"/>
    <n v="2"/>
    <n v="16"/>
    <n v="5"/>
    <n v="1"/>
    <n v="10"/>
    <n v="9"/>
    <n v="4"/>
    <n v="7"/>
    <s v="High"/>
    <s v="High"/>
    <s v="High"/>
  </r>
  <r>
    <n v="30"/>
    <x v="0"/>
    <s v="Travel_Rarely"/>
    <n v="1005"/>
    <x v="1"/>
    <n v="3"/>
    <n v="3"/>
    <s v="Technical Degree"/>
    <x v="0"/>
    <n v="297"/>
    <n v="4"/>
    <s v="Female"/>
    <n v="88"/>
    <n v="3"/>
    <n v="1"/>
    <s v="Research Scientist"/>
    <n v="1"/>
    <s v="Single"/>
    <n v="2657"/>
    <n v="8556"/>
    <n v="5"/>
    <s v="Y"/>
    <x v="0"/>
    <n v="11"/>
    <n v="3"/>
    <n v="3"/>
    <n v="80"/>
    <n v="0"/>
    <n v="8"/>
    <n v="5"/>
    <n v="3"/>
    <n v="5"/>
    <n v="2"/>
    <n v="0"/>
    <n v="4"/>
    <s v="Low"/>
    <s v="Low"/>
    <s v="Experienced"/>
  </r>
  <r>
    <n v="41"/>
    <x v="1"/>
    <s v="Travel_Rarely"/>
    <n v="896"/>
    <x v="0"/>
    <n v="6"/>
    <n v="3"/>
    <s v="Life Sciences"/>
    <x v="0"/>
    <n v="298"/>
    <n v="4"/>
    <s v="Female"/>
    <n v="75"/>
    <n v="3"/>
    <n v="3"/>
    <s v="Manager"/>
    <n v="4"/>
    <s v="Single"/>
    <n v="13591"/>
    <n v="14674"/>
    <n v="3"/>
    <s v="Y"/>
    <x v="0"/>
    <n v="18"/>
    <n v="3"/>
    <n v="3"/>
    <n v="80"/>
    <n v="0"/>
    <n v="16"/>
    <n v="3"/>
    <n v="3"/>
    <n v="1"/>
    <n v="0"/>
    <n v="0"/>
    <n v="0"/>
    <s v="High"/>
    <s v="High"/>
    <s v="new"/>
  </r>
  <r>
    <n v="30"/>
    <x v="0"/>
    <s v="Travel_Frequently"/>
    <n v="334"/>
    <x v="0"/>
    <n v="26"/>
    <n v="4"/>
    <s v="Marketing"/>
    <x v="0"/>
    <n v="299"/>
    <n v="3"/>
    <s v="Female"/>
    <n v="52"/>
    <n v="2"/>
    <n v="2"/>
    <s v="Sales Executive"/>
    <n v="1"/>
    <s v="Single"/>
    <n v="6696"/>
    <n v="22967"/>
    <n v="5"/>
    <s v="Y"/>
    <x v="1"/>
    <n v="15"/>
    <n v="3"/>
    <n v="3"/>
    <n v="80"/>
    <n v="0"/>
    <n v="9"/>
    <n v="5"/>
    <n v="2"/>
    <n v="6"/>
    <n v="3"/>
    <n v="0"/>
    <n v="1"/>
    <s v="High"/>
    <s v="Medium"/>
    <s v="Experienced"/>
  </r>
  <r>
    <n v="29"/>
    <x v="0"/>
    <s v="Travel_Rarely"/>
    <n v="992"/>
    <x v="1"/>
    <n v="1"/>
    <n v="3"/>
    <s v="Technical Degree"/>
    <x v="0"/>
    <n v="300"/>
    <n v="3"/>
    <s v="Male"/>
    <n v="85"/>
    <n v="3"/>
    <n v="1"/>
    <s v="Research Scientist"/>
    <n v="3"/>
    <s v="Single"/>
    <n v="2058"/>
    <n v="19757"/>
    <n v="0"/>
    <s v="Y"/>
    <x v="1"/>
    <n v="14"/>
    <n v="3"/>
    <n v="4"/>
    <n v="80"/>
    <n v="0"/>
    <n v="7"/>
    <n v="1"/>
    <n v="2"/>
    <n v="6"/>
    <n v="2"/>
    <n v="1"/>
    <n v="5"/>
    <s v="Low"/>
    <s v="Low"/>
    <s v="Experienced"/>
  </r>
  <r>
    <n v="45"/>
    <x v="1"/>
    <s v="Non-Travel"/>
    <n v="1052"/>
    <x v="0"/>
    <n v="6"/>
    <n v="3"/>
    <s v="Medical"/>
    <x v="0"/>
    <n v="302"/>
    <n v="4"/>
    <s v="Female"/>
    <n v="57"/>
    <n v="2"/>
    <n v="3"/>
    <s v="Sales Executive"/>
    <n v="4"/>
    <s v="Single"/>
    <n v="8865"/>
    <n v="16840"/>
    <n v="6"/>
    <s v="Y"/>
    <x v="1"/>
    <n v="12"/>
    <n v="3"/>
    <n v="4"/>
    <n v="80"/>
    <n v="0"/>
    <n v="23"/>
    <n v="2"/>
    <n v="3"/>
    <n v="19"/>
    <n v="7"/>
    <n v="12"/>
    <n v="8"/>
    <s v="High"/>
    <s v="High"/>
    <s v="High"/>
  </r>
  <r>
    <n v="54"/>
    <x v="1"/>
    <s v="Travel_Rarely"/>
    <n v="1147"/>
    <x v="0"/>
    <n v="3"/>
    <n v="3"/>
    <s v="Marketing"/>
    <x v="0"/>
    <n v="303"/>
    <n v="4"/>
    <s v="Female"/>
    <n v="52"/>
    <n v="3"/>
    <n v="2"/>
    <s v="Sales Executive"/>
    <n v="1"/>
    <s v="Married"/>
    <n v="5940"/>
    <n v="17011"/>
    <n v="2"/>
    <s v="Y"/>
    <x v="1"/>
    <n v="14"/>
    <n v="3"/>
    <n v="4"/>
    <n v="80"/>
    <n v="1"/>
    <n v="16"/>
    <n v="4"/>
    <n v="3"/>
    <n v="6"/>
    <n v="2"/>
    <n v="0"/>
    <n v="5"/>
    <s v="Low"/>
    <s v="Medium"/>
    <s v="Experienced"/>
  </r>
  <r>
    <n v="36"/>
    <x v="1"/>
    <s v="Travel_Rarely"/>
    <n v="1396"/>
    <x v="1"/>
    <n v="5"/>
    <n v="2"/>
    <s v="Life Sciences"/>
    <x v="0"/>
    <n v="304"/>
    <n v="4"/>
    <s v="Male"/>
    <n v="62"/>
    <n v="3"/>
    <n v="2"/>
    <s v="Laboratory Technician"/>
    <n v="2"/>
    <s v="Single"/>
    <n v="5914"/>
    <n v="9945"/>
    <n v="8"/>
    <s v="Y"/>
    <x v="1"/>
    <n v="16"/>
    <n v="3"/>
    <n v="4"/>
    <n v="80"/>
    <n v="0"/>
    <n v="16"/>
    <n v="3"/>
    <n v="4"/>
    <n v="13"/>
    <n v="11"/>
    <n v="3"/>
    <n v="7"/>
    <s v="Low"/>
    <s v="Medium"/>
    <s v="High"/>
  </r>
  <r>
    <n v="33"/>
    <x v="1"/>
    <s v="Travel_Rarely"/>
    <n v="147"/>
    <x v="1"/>
    <n v="4"/>
    <n v="4"/>
    <s v="Medical"/>
    <x v="0"/>
    <n v="305"/>
    <n v="3"/>
    <s v="Female"/>
    <n v="47"/>
    <n v="2"/>
    <n v="1"/>
    <s v="Research Scientist"/>
    <n v="2"/>
    <s v="Married"/>
    <n v="2622"/>
    <n v="13248"/>
    <n v="6"/>
    <s v="Y"/>
    <x v="1"/>
    <n v="21"/>
    <n v="4"/>
    <n v="4"/>
    <n v="80"/>
    <n v="0"/>
    <n v="7"/>
    <n v="3"/>
    <n v="3"/>
    <n v="3"/>
    <n v="2"/>
    <n v="1"/>
    <n v="1"/>
    <s v="Low"/>
    <s v="Low"/>
    <s v="Experienced"/>
  </r>
  <r>
    <n v="37"/>
    <x v="1"/>
    <s v="Travel_Frequently"/>
    <n v="663"/>
    <x v="1"/>
    <n v="11"/>
    <n v="3"/>
    <s v="Other"/>
    <x v="0"/>
    <n v="306"/>
    <n v="2"/>
    <s v="Male"/>
    <n v="47"/>
    <n v="3"/>
    <n v="3"/>
    <s v="Research Director"/>
    <n v="4"/>
    <s v="Divorced"/>
    <n v="12185"/>
    <n v="10056"/>
    <n v="1"/>
    <s v="Y"/>
    <x v="0"/>
    <n v="14"/>
    <n v="3"/>
    <n v="3"/>
    <n v="80"/>
    <n v="3"/>
    <n v="10"/>
    <n v="1"/>
    <n v="3"/>
    <n v="10"/>
    <n v="8"/>
    <n v="0"/>
    <n v="7"/>
    <s v="High"/>
    <s v="High"/>
    <s v="High"/>
  </r>
  <r>
    <n v="38"/>
    <x v="1"/>
    <s v="Travel_Rarely"/>
    <n v="119"/>
    <x v="0"/>
    <n v="3"/>
    <n v="3"/>
    <s v="Life Sciences"/>
    <x v="0"/>
    <n v="307"/>
    <n v="1"/>
    <s v="Male"/>
    <n v="76"/>
    <n v="3"/>
    <n v="3"/>
    <s v="Sales Executive"/>
    <n v="3"/>
    <s v="Divorced"/>
    <n v="10609"/>
    <n v="9647"/>
    <n v="0"/>
    <s v="Y"/>
    <x v="1"/>
    <n v="12"/>
    <n v="3"/>
    <n v="3"/>
    <n v="80"/>
    <n v="2"/>
    <n v="17"/>
    <n v="6"/>
    <n v="2"/>
    <n v="16"/>
    <n v="10"/>
    <n v="5"/>
    <n v="13"/>
    <s v="High"/>
    <s v="High"/>
    <s v="High"/>
  </r>
  <r>
    <n v="31"/>
    <x v="1"/>
    <s v="Non-Travel"/>
    <n v="979"/>
    <x v="1"/>
    <n v="1"/>
    <n v="4"/>
    <s v="Medical"/>
    <x v="0"/>
    <n v="308"/>
    <n v="3"/>
    <s v="Male"/>
    <n v="90"/>
    <n v="1"/>
    <n v="2"/>
    <s v="Manufacturing Director"/>
    <n v="3"/>
    <s v="Married"/>
    <n v="4345"/>
    <n v="4381"/>
    <n v="0"/>
    <s v="Y"/>
    <x v="1"/>
    <n v="12"/>
    <n v="3"/>
    <n v="4"/>
    <n v="80"/>
    <n v="1"/>
    <n v="6"/>
    <n v="2"/>
    <n v="3"/>
    <n v="5"/>
    <n v="4"/>
    <n v="1"/>
    <n v="4"/>
    <s v="Low"/>
    <s v="Medium"/>
    <s v="Experienced"/>
  </r>
  <r>
    <n v="59"/>
    <x v="1"/>
    <s v="Travel_Rarely"/>
    <n v="142"/>
    <x v="1"/>
    <n v="3"/>
    <n v="3"/>
    <s v="Life Sciences"/>
    <x v="0"/>
    <n v="309"/>
    <n v="3"/>
    <s v="Male"/>
    <n v="70"/>
    <n v="2"/>
    <n v="1"/>
    <s v="Research Scientist"/>
    <n v="4"/>
    <s v="Married"/>
    <n v="2177"/>
    <n v="8456"/>
    <n v="3"/>
    <s v="Y"/>
    <x v="1"/>
    <n v="17"/>
    <n v="3"/>
    <n v="1"/>
    <n v="80"/>
    <n v="1"/>
    <n v="7"/>
    <n v="6"/>
    <n v="3"/>
    <n v="1"/>
    <n v="0"/>
    <n v="0"/>
    <n v="0"/>
    <s v="Low"/>
    <s v="Low"/>
    <s v="new"/>
  </r>
  <r>
    <n v="37"/>
    <x v="1"/>
    <s v="Travel_Frequently"/>
    <n v="319"/>
    <x v="0"/>
    <n v="4"/>
    <n v="4"/>
    <s v="Marketing"/>
    <x v="0"/>
    <n v="311"/>
    <n v="1"/>
    <s v="Male"/>
    <n v="41"/>
    <n v="3"/>
    <n v="1"/>
    <s v="Sales Representative"/>
    <n v="4"/>
    <s v="Divorced"/>
    <n v="2793"/>
    <n v="2539"/>
    <n v="4"/>
    <s v="Y"/>
    <x v="1"/>
    <n v="17"/>
    <n v="3"/>
    <n v="3"/>
    <n v="80"/>
    <n v="1"/>
    <n v="13"/>
    <n v="2"/>
    <n v="3"/>
    <n v="9"/>
    <n v="8"/>
    <n v="5"/>
    <n v="8"/>
    <s v="Low"/>
    <s v="Low"/>
    <s v="High"/>
  </r>
  <r>
    <n v="29"/>
    <x v="1"/>
    <s v="Travel_Frequently"/>
    <n v="1413"/>
    <x v="0"/>
    <n v="1"/>
    <n v="1"/>
    <s v="Medical"/>
    <x v="0"/>
    <n v="312"/>
    <n v="2"/>
    <s v="Female"/>
    <n v="42"/>
    <n v="3"/>
    <n v="3"/>
    <s v="Sales Executive"/>
    <n v="4"/>
    <s v="Married"/>
    <n v="7918"/>
    <n v="6599"/>
    <n v="1"/>
    <s v="Y"/>
    <x v="1"/>
    <n v="14"/>
    <n v="3"/>
    <n v="4"/>
    <n v="80"/>
    <n v="1"/>
    <n v="11"/>
    <n v="5"/>
    <n v="3"/>
    <n v="11"/>
    <n v="10"/>
    <n v="4"/>
    <n v="1"/>
    <s v="High"/>
    <s v="Medium"/>
    <s v="High"/>
  </r>
  <r>
    <n v="35"/>
    <x v="1"/>
    <s v="Travel_Frequently"/>
    <n v="944"/>
    <x v="0"/>
    <n v="1"/>
    <n v="3"/>
    <s v="Marketing"/>
    <x v="0"/>
    <n v="314"/>
    <n v="3"/>
    <s v="Female"/>
    <n v="92"/>
    <n v="3"/>
    <n v="3"/>
    <s v="Sales Executive"/>
    <n v="3"/>
    <s v="Single"/>
    <n v="8789"/>
    <n v="9096"/>
    <n v="1"/>
    <s v="Y"/>
    <x v="1"/>
    <n v="14"/>
    <n v="3"/>
    <n v="1"/>
    <n v="80"/>
    <n v="0"/>
    <n v="10"/>
    <n v="3"/>
    <n v="4"/>
    <n v="10"/>
    <n v="7"/>
    <n v="0"/>
    <n v="8"/>
    <s v="High"/>
    <s v="High"/>
    <s v="High"/>
  </r>
  <r>
    <n v="29"/>
    <x v="0"/>
    <s v="Travel_Rarely"/>
    <n v="896"/>
    <x v="1"/>
    <n v="18"/>
    <n v="1"/>
    <s v="Medical"/>
    <x v="0"/>
    <n v="315"/>
    <n v="3"/>
    <s v="Male"/>
    <n v="86"/>
    <n v="2"/>
    <n v="1"/>
    <s v="Research Scientist"/>
    <n v="4"/>
    <s v="Single"/>
    <n v="2389"/>
    <n v="14961"/>
    <n v="1"/>
    <s v="Y"/>
    <x v="0"/>
    <n v="13"/>
    <n v="3"/>
    <n v="3"/>
    <n v="80"/>
    <n v="0"/>
    <n v="4"/>
    <n v="3"/>
    <n v="2"/>
    <n v="4"/>
    <n v="3"/>
    <n v="0"/>
    <n v="1"/>
    <s v="Low"/>
    <s v="Low"/>
    <s v="Experienced"/>
  </r>
  <r>
    <n v="52"/>
    <x v="1"/>
    <s v="Travel_Rarely"/>
    <n v="1323"/>
    <x v="1"/>
    <n v="2"/>
    <n v="3"/>
    <s v="Life Sciences"/>
    <x v="0"/>
    <n v="316"/>
    <n v="3"/>
    <s v="Female"/>
    <n v="89"/>
    <n v="2"/>
    <n v="1"/>
    <s v="Laboratory Technician"/>
    <n v="4"/>
    <s v="Single"/>
    <n v="3212"/>
    <n v="3300"/>
    <n v="7"/>
    <s v="Y"/>
    <x v="1"/>
    <n v="15"/>
    <n v="3"/>
    <n v="2"/>
    <n v="80"/>
    <n v="0"/>
    <n v="6"/>
    <n v="3"/>
    <n v="2"/>
    <n v="2"/>
    <n v="2"/>
    <n v="2"/>
    <n v="2"/>
    <s v="Low"/>
    <s v="Low"/>
    <s v="new"/>
  </r>
  <r>
    <n v="42"/>
    <x v="1"/>
    <s v="Travel_Rarely"/>
    <n v="532"/>
    <x v="1"/>
    <n v="4"/>
    <n v="2"/>
    <s v="Technical Degree"/>
    <x v="0"/>
    <n v="319"/>
    <n v="3"/>
    <s v="Male"/>
    <n v="58"/>
    <n v="3"/>
    <n v="5"/>
    <s v="Manager"/>
    <n v="4"/>
    <s v="Married"/>
    <n v="19232"/>
    <n v="4933"/>
    <n v="1"/>
    <s v="Y"/>
    <x v="1"/>
    <n v="11"/>
    <n v="3"/>
    <n v="4"/>
    <n v="80"/>
    <n v="0"/>
    <n v="22"/>
    <n v="3"/>
    <n v="3"/>
    <n v="22"/>
    <n v="17"/>
    <n v="11"/>
    <n v="15"/>
    <s v="High"/>
    <s v="High"/>
    <s v="High"/>
  </r>
  <r>
    <n v="59"/>
    <x v="1"/>
    <s v="Travel_Rarely"/>
    <n v="818"/>
    <x v="2"/>
    <n v="6"/>
    <n v="2"/>
    <s v="Medical"/>
    <x v="0"/>
    <n v="321"/>
    <n v="2"/>
    <s v="Male"/>
    <n v="52"/>
    <n v="3"/>
    <n v="1"/>
    <s v="Human Resources"/>
    <n v="3"/>
    <s v="Married"/>
    <n v="2267"/>
    <n v="25657"/>
    <n v="8"/>
    <s v="Y"/>
    <x v="1"/>
    <n v="17"/>
    <n v="3"/>
    <n v="4"/>
    <n v="80"/>
    <n v="0"/>
    <n v="7"/>
    <n v="2"/>
    <n v="2"/>
    <n v="2"/>
    <n v="2"/>
    <n v="2"/>
    <n v="2"/>
    <s v="Low"/>
    <s v="Low"/>
    <s v="new"/>
  </r>
  <r>
    <n v="50"/>
    <x v="1"/>
    <s v="Travel_Rarely"/>
    <n v="854"/>
    <x v="0"/>
    <n v="1"/>
    <n v="4"/>
    <s v="Medical"/>
    <x v="0"/>
    <n v="323"/>
    <n v="4"/>
    <s v="Female"/>
    <n v="68"/>
    <n v="3"/>
    <n v="5"/>
    <s v="Manager"/>
    <n v="4"/>
    <s v="Divorced"/>
    <n v="19517"/>
    <n v="24118"/>
    <n v="3"/>
    <s v="Y"/>
    <x v="1"/>
    <n v="11"/>
    <n v="3"/>
    <n v="3"/>
    <n v="80"/>
    <n v="1"/>
    <n v="32"/>
    <n v="3"/>
    <n v="2"/>
    <n v="7"/>
    <n v="0"/>
    <n v="0"/>
    <n v="6"/>
    <s v="High"/>
    <s v="High"/>
    <s v="Experienced"/>
  </r>
  <r>
    <n v="33"/>
    <x v="0"/>
    <s v="Travel_Rarely"/>
    <n v="813"/>
    <x v="1"/>
    <n v="14"/>
    <n v="3"/>
    <s v="Medical"/>
    <x v="0"/>
    <n v="325"/>
    <n v="3"/>
    <s v="Male"/>
    <n v="58"/>
    <n v="3"/>
    <n v="1"/>
    <s v="Laboratory Technician"/>
    <n v="4"/>
    <s v="Married"/>
    <n v="2436"/>
    <n v="22149"/>
    <n v="5"/>
    <s v="Y"/>
    <x v="0"/>
    <n v="13"/>
    <n v="3"/>
    <n v="3"/>
    <n v="80"/>
    <n v="1"/>
    <n v="8"/>
    <n v="2"/>
    <n v="1"/>
    <n v="5"/>
    <n v="4"/>
    <n v="0"/>
    <n v="4"/>
    <s v="Low"/>
    <s v="Low"/>
    <s v="Experienced"/>
  </r>
  <r>
    <n v="43"/>
    <x v="1"/>
    <s v="Travel_Rarely"/>
    <n v="1034"/>
    <x v="0"/>
    <n v="16"/>
    <n v="3"/>
    <s v="Marketing"/>
    <x v="0"/>
    <n v="327"/>
    <n v="4"/>
    <s v="Female"/>
    <n v="80"/>
    <n v="3"/>
    <n v="4"/>
    <s v="Manager"/>
    <n v="4"/>
    <s v="Married"/>
    <n v="16064"/>
    <n v="7744"/>
    <n v="5"/>
    <s v="Y"/>
    <x v="0"/>
    <n v="22"/>
    <n v="4"/>
    <n v="3"/>
    <n v="80"/>
    <n v="1"/>
    <n v="22"/>
    <n v="3"/>
    <n v="3"/>
    <n v="17"/>
    <n v="13"/>
    <n v="1"/>
    <n v="9"/>
    <s v="High"/>
    <s v="High"/>
    <s v="High"/>
  </r>
  <r>
    <n v="33"/>
    <x v="0"/>
    <s v="Travel_Rarely"/>
    <n v="465"/>
    <x v="1"/>
    <n v="2"/>
    <n v="2"/>
    <s v="Life Sciences"/>
    <x v="0"/>
    <n v="328"/>
    <n v="1"/>
    <s v="Female"/>
    <n v="39"/>
    <n v="3"/>
    <n v="1"/>
    <s v="Laboratory Technician"/>
    <n v="1"/>
    <s v="Married"/>
    <n v="2707"/>
    <n v="21509"/>
    <n v="7"/>
    <s v="Y"/>
    <x v="1"/>
    <n v="20"/>
    <n v="4"/>
    <n v="1"/>
    <n v="80"/>
    <n v="0"/>
    <n v="13"/>
    <n v="3"/>
    <n v="4"/>
    <n v="9"/>
    <n v="7"/>
    <n v="1"/>
    <n v="7"/>
    <s v="Low"/>
    <s v="Low"/>
    <s v="High"/>
  </r>
  <r>
    <n v="52"/>
    <x v="1"/>
    <s v="Non-Travel"/>
    <n v="771"/>
    <x v="0"/>
    <n v="2"/>
    <n v="4"/>
    <s v="Life Sciences"/>
    <x v="0"/>
    <n v="329"/>
    <n v="1"/>
    <s v="Male"/>
    <n v="79"/>
    <n v="2"/>
    <n v="5"/>
    <s v="Manager"/>
    <n v="3"/>
    <s v="Single"/>
    <n v="19068"/>
    <n v="21030"/>
    <n v="1"/>
    <s v="Y"/>
    <x v="0"/>
    <n v="18"/>
    <n v="3"/>
    <n v="4"/>
    <n v="80"/>
    <n v="0"/>
    <n v="33"/>
    <n v="2"/>
    <n v="4"/>
    <n v="33"/>
    <n v="7"/>
    <n v="15"/>
    <n v="12"/>
    <s v="High"/>
    <s v="High"/>
    <s v="High"/>
  </r>
  <r>
    <n v="32"/>
    <x v="1"/>
    <s v="Travel_Rarely"/>
    <n v="1401"/>
    <x v="0"/>
    <n v="4"/>
    <n v="2"/>
    <s v="Life Sciences"/>
    <x v="0"/>
    <n v="330"/>
    <n v="3"/>
    <s v="Female"/>
    <n v="56"/>
    <n v="3"/>
    <n v="1"/>
    <s v="Sales Representative"/>
    <n v="2"/>
    <s v="Married"/>
    <n v="3931"/>
    <n v="20990"/>
    <n v="2"/>
    <s v="Y"/>
    <x v="1"/>
    <n v="11"/>
    <n v="3"/>
    <n v="1"/>
    <n v="80"/>
    <n v="1"/>
    <n v="6"/>
    <n v="5"/>
    <n v="3"/>
    <n v="4"/>
    <n v="3"/>
    <n v="1"/>
    <n v="2"/>
    <s v="Low"/>
    <s v="Low"/>
    <s v="Experienced"/>
  </r>
  <r>
    <n v="32"/>
    <x v="0"/>
    <s v="Travel_Rarely"/>
    <n v="515"/>
    <x v="1"/>
    <n v="1"/>
    <n v="3"/>
    <s v="Life Sciences"/>
    <x v="0"/>
    <n v="331"/>
    <n v="4"/>
    <s v="Male"/>
    <n v="62"/>
    <n v="2"/>
    <n v="1"/>
    <s v="Laboratory Technician"/>
    <n v="3"/>
    <s v="Single"/>
    <n v="3730"/>
    <n v="9571"/>
    <n v="0"/>
    <s v="Y"/>
    <x v="0"/>
    <n v="14"/>
    <n v="3"/>
    <n v="4"/>
    <n v="80"/>
    <n v="0"/>
    <n v="4"/>
    <n v="2"/>
    <n v="1"/>
    <n v="3"/>
    <n v="2"/>
    <n v="1"/>
    <n v="2"/>
    <s v="Low"/>
    <s v="Low"/>
    <s v="Experienced"/>
  </r>
  <r>
    <n v="39"/>
    <x v="1"/>
    <s v="Travel_Rarely"/>
    <n v="1431"/>
    <x v="1"/>
    <n v="1"/>
    <n v="4"/>
    <s v="Medical"/>
    <x v="0"/>
    <n v="332"/>
    <n v="3"/>
    <s v="Female"/>
    <n v="96"/>
    <n v="3"/>
    <n v="1"/>
    <s v="Laboratory Technician"/>
    <n v="3"/>
    <s v="Divorced"/>
    <n v="2232"/>
    <n v="15417"/>
    <n v="7"/>
    <s v="Y"/>
    <x v="1"/>
    <n v="14"/>
    <n v="3"/>
    <n v="3"/>
    <n v="80"/>
    <n v="3"/>
    <n v="7"/>
    <n v="1"/>
    <n v="3"/>
    <n v="3"/>
    <n v="2"/>
    <n v="1"/>
    <n v="2"/>
    <s v="Low"/>
    <s v="Low"/>
    <s v="Experienced"/>
  </r>
  <r>
    <n v="32"/>
    <x v="1"/>
    <s v="Non-Travel"/>
    <n v="976"/>
    <x v="0"/>
    <n v="26"/>
    <n v="4"/>
    <s v="Marketing"/>
    <x v="0"/>
    <n v="333"/>
    <n v="3"/>
    <s v="Male"/>
    <n v="100"/>
    <n v="3"/>
    <n v="2"/>
    <s v="Sales Executive"/>
    <n v="4"/>
    <s v="Married"/>
    <n v="4465"/>
    <n v="12069"/>
    <n v="0"/>
    <s v="Y"/>
    <x v="1"/>
    <n v="18"/>
    <n v="3"/>
    <n v="1"/>
    <n v="80"/>
    <n v="0"/>
    <n v="4"/>
    <n v="2"/>
    <n v="3"/>
    <n v="3"/>
    <n v="2"/>
    <n v="2"/>
    <n v="2"/>
    <s v="Low"/>
    <s v="Medium"/>
    <s v="Experienced"/>
  </r>
  <r>
    <n v="41"/>
    <x v="1"/>
    <s v="Travel_Rarely"/>
    <n v="1411"/>
    <x v="1"/>
    <n v="19"/>
    <n v="2"/>
    <s v="Life Sciences"/>
    <x v="0"/>
    <n v="334"/>
    <n v="3"/>
    <s v="Male"/>
    <n v="36"/>
    <n v="3"/>
    <n v="2"/>
    <s v="Research Scientist"/>
    <n v="1"/>
    <s v="Divorced"/>
    <n v="3072"/>
    <n v="19877"/>
    <n v="2"/>
    <s v="Y"/>
    <x v="1"/>
    <n v="16"/>
    <n v="3"/>
    <n v="1"/>
    <n v="80"/>
    <n v="2"/>
    <n v="17"/>
    <n v="2"/>
    <n v="2"/>
    <n v="1"/>
    <n v="0"/>
    <n v="0"/>
    <n v="0"/>
    <s v="Low"/>
    <s v="Low"/>
    <s v="new"/>
  </r>
  <r>
    <n v="40"/>
    <x v="1"/>
    <s v="Travel_Rarely"/>
    <n v="1300"/>
    <x v="1"/>
    <n v="24"/>
    <n v="2"/>
    <s v="Technical Degree"/>
    <x v="0"/>
    <n v="335"/>
    <n v="1"/>
    <s v="Male"/>
    <n v="62"/>
    <n v="3"/>
    <n v="2"/>
    <s v="Research Scientist"/>
    <n v="4"/>
    <s v="Divorced"/>
    <n v="3319"/>
    <n v="24447"/>
    <n v="1"/>
    <s v="Y"/>
    <x v="1"/>
    <n v="17"/>
    <n v="3"/>
    <n v="1"/>
    <n v="80"/>
    <n v="2"/>
    <n v="9"/>
    <n v="3"/>
    <n v="3"/>
    <n v="9"/>
    <n v="8"/>
    <n v="4"/>
    <n v="7"/>
    <s v="Low"/>
    <s v="Low"/>
    <s v="High"/>
  </r>
  <r>
    <n v="45"/>
    <x v="1"/>
    <s v="Travel_Rarely"/>
    <n v="252"/>
    <x v="1"/>
    <n v="1"/>
    <n v="3"/>
    <s v="Other"/>
    <x v="0"/>
    <n v="336"/>
    <n v="3"/>
    <s v="Male"/>
    <n v="70"/>
    <n v="4"/>
    <n v="5"/>
    <s v="Manager"/>
    <n v="4"/>
    <s v="Married"/>
    <n v="19202"/>
    <n v="15970"/>
    <n v="0"/>
    <s v="Y"/>
    <x v="1"/>
    <n v="11"/>
    <n v="3"/>
    <n v="3"/>
    <n v="80"/>
    <n v="1"/>
    <n v="25"/>
    <n v="2"/>
    <n v="3"/>
    <n v="24"/>
    <n v="0"/>
    <n v="1"/>
    <n v="7"/>
    <s v="High"/>
    <s v="High"/>
    <s v="High"/>
  </r>
  <r>
    <n v="31"/>
    <x v="1"/>
    <s v="Travel_Frequently"/>
    <n v="1327"/>
    <x v="1"/>
    <n v="3"/>
    <n v="4"/>
    <s v="Medical"/>
    <x v="0"/>
    <n v="337"/>
    <n v="2"/>
    <s v="Male"/>
    <n v="73"/>
    <n v="3"/>
    <n v="3"/>
    <s v="Research Director"/>
    <n v="3"/>
    <s v="Divorced"/>
    <n v="13675"/>
    <n v="13523"/>
    <n v="9"/>
    <s v="Y"/>
    <x v="1"/>
    <n v="12"/>
    <n v="3"/>
    <n v="1"/>
    <n v="80"/>
    <n v="1"/>
    <n v="9"/>
    <n v="3"/>
    <n v="3"/>
    <n v="2"/>
    <n v="2"/>
    <n v="2"/>
    <n v="2"/>
    <s v="High"/>
    <s v="High"/>
    <s v="new"/>
  </r>
  <r>
    <n v="33"/>
    <x v="1"/>
    <s v="Travel_Rarely"/>
    <n v="832"/>
    <x v="1"/>
    <n v="5"/>
    <n v="4"/>
    <s v="Life Sciences"/>
    <x v="0"/>
    <n v="338"/>
    <n v="3"/>
    <s v="Female"/>
    <n v="63"/>
    <n v="2"/>
    <n v="1"/>
    <s v="Research Scientist"/>
    <n v="4"/>
    <s v="Married"/>
    <n v="2911"/>
    <n v="14776"/>
    <n v="1"/>
    <s v="Y"/>
    <x v="1"/>
    <n v="13"/>
    <n v="3"/>
    <n v="3"/>
    <n v="80"/>
    <n v="1"/>
    <n v="2"/>
    <n v="2"/>
    <n v="2"/>
    <n v="2"/>
    <n v="2"/>
    <n v="0"/>
    <n v="2"/>
    <s v="Low"/>
    <s v="Low"/>
    <s v="new"/>
  </r>
  <r>
    <n v="34"/>
    <x v="1"/>
    <s v="Travel_Rarely"/>
    <n v="470"/>
    <x v="1"/>
    <n v="2"/>
    <n v="4"/>
    <s v="Life Sciences"/>
    <x v="0"/>
    <n v="339"/>
    <n v="4"/>
    <s v="Male"/>
    <n v="84"/>
    <n v="2"/>
    <n v="2"/>
    <s v="Manufacturing Director"/>
    <n v="1"/>
    <s v="Married"/>
    <n v="5957"/>
    <n v="23687"/>
    <n v="6"/>
    <s v="Y"/>
    <x v="1"/>
    <n v="13"/>
    <n v="3"/>
    <n v="2"/>
    <n v="80"/>
    <n v="1"/>
    <n v="13"/>
    <n v="3"/>
    <n v="3"/>
    <n v="11"/>
    <n v="9"/>
    <n v="5"/>
    <n v="9"/>
    <s v="Low"/>
    <s v="Medium"/>
    <s v="High"/>
  </r>
  <r>
    <n v="37"/>
    <x v="1"/>
    <s v="Travel_Rarely"/>
    <n v="1017"/>
    <x v="1"/>
    <n v="1"/>
    <n v="2"/>
    <s v="Medical"/>
    <x v="0"/>
    <n v="340"/>
    <n v="3"/>
    <s v="Female"/>
    <n v="83"/>
    <n v="2"/>
    <n v="1"/>
    <s v="Research Scientist"/>
    <n v="1"/>
    <s v="Married"/>
    <n v="3920"/>
    <n v="18697"/>
    <n v="2"/>
    <s v="Y"/>
    <x v="1"/>
    <n v="14"/>
    <n v="3"/>
    <n v="1"/>
    <n v="80"/>
    <n v="1"/>
    <n v="17"/>
    <n v="2"/>
    <n v="2"/>
    <n v="3"/>
    <n v="1"/>
    <n v="0"/>
    <n v="2"/>
    <s v="Low"/>
    <s v="Low"/>
    <s v="Experienced"/>
  </r>
  <r>
    <n v="45"/>
    <x v="1"/>
    <s v="Travel_Frequently"/>
    <n v="1199"/>
    <x v="1"/>
    <n v="7"/>
    <n v="4"/>
    <s v="Life Sciences"/>
    <x v="0"/>
    <n v="341"/>
    <n v="1"/>
    <s v="Male"/>
    <n v="77"/>
    <n v="4"/>
    <n v="2"/>
    <s v="Manufacturing Director"/>
    <n v="3"/>
    <s v="Married"/>
    <n v="6434"/>
    <n v="5118"/>
    <n v="4"/>
    <s v="Y"/>
    <x v="1"/>
    <n v="17"/>
    <n v="3"/>
    <n v="4"/>
    <n v="80"/>
    <n v="1"/>
    <n v="9"/>
    <n v="1"/>
    <n v="3"/>
    <n v="3"/>
    <n v="2"/>
    <n v="0"/>
    <n v="2"/>
    <s v="Low"/>
    <s v="Medium"/>
    <s v="Experienced"/>
  </r>
  <r>
    <n v="37"/>
    <x v="0"/>
    <s v="Travel_Frequently"/>
    <n v="504"/>
    <x v="1"/>
    <n v="10"/>
    <n v="3"/>
    <s v="Medical"/>
    <x v="0"/>
    <n v="342"/>
    <n v="1"/>
    <s v="Male"/>
    <n v="61"/>
    <n v="3"/>
    <n v="3"/>
    <s v="Manufacturing Director"/>
    <n v="3"/>
    <s v="Divorced"/>
    <n v="10048"/>
    <n v="22573"/>
    <n v="6"/>
    <s v="Y"/>
    <x v="1"/>
    <n v="11"/>
    <n v="3"/>
    <n v="2"/>
    <n v="80"/>
    <n v="2"/>
    <n v="17"/>
    <n v="5"/>
    <n v="3"/>
    <n v="1"/>
    <n v="0"/>
    <n v="0"/>
    <n v="0"/>
    <s v="High"/>
    <s v="High"/>
    <s v="new"/>
  </r>
  <r>
    <n v="39"/>
    <x v="1"/>
    <s v="Travel_Frequently"/>
    <n v="505"/>
    <x v="1"/>
    <n v="2"/>
    <n v="4"/>
    <s v="Technical Degree"/>
    <x v="0"/>
    <n v="343"/>
    <n v="3"/>
    <s v="Female"/>
    <n v="64"/>
    <n v="3"/>
    <n v="3"/>
    <s v="Healthcare Representative"/>
    <n v="3"/>
    <s v="Single"/>
    <n v="10938"/>
    <n v="6420"/>
    <n v="0"/>
    <s v="Y"/>
    <x v="1"/>
    <n v="25"/>
    <n v="4"/>
    <n v="4"/>
    <n v="80"/>
    <n v="0"/>
    <n v="20"/>
    <n v="1"/>
    <n v="3"/>
    <n v="19"/>
    <n v="6"/>
    <n v="11"/>
    <n v="8"/>
    <s v="High"/>
    <s v="High"/>
    <s v="High"/>
  </r>
  <r>
    <n v="29"/>
    <x v="1"/>
    <s v="Travel_Rarely"/>
    <n v="665"/>
    <x v="1"/>
    <n v="15"/>
    <n v="3"/>
    <s v="Life Sciences"/>
    <x v="0"/>
    <n v="346"/>
    <n v="3"/>
    <s v="Male"/>
    <n v="60"/>
    <n v="3"/>
    <n v="1"/>
    <s v="Research Scientist"/>
    <n v="4"/>
    <s v="Single"/>
    <n v="2340"/>
    <n v="22673"/>
    <n v="1"/>
    <s v="Y"/>
    <x v="1"/>
    <n v="19"/>
    <n v="3"/>
    <n v="1"/>
    <n v="80"/>
    <n v="0"/>
    <n v="6"/>
    <n v="1"/>
    <n v="3"/>
    <n v="6"/>
    <n v="5"/>
    <n v="1"/>
    <n v="5"/>
    <s v="Low"/>
    <s v="Low"/>
    <s v="Experienced"/>
  </r>
  <r>
    <n v="42"/>
    <x v="1"/>
    <s v="Travel_Rarely"/>
    <n v="916"/>
    <x v="1"/>
    <n v="17"/>
    <n v="2"/>
    <s v="Life Sciences"/>
    <x v="0"/>
    <n v="347"/>
    <n v="4"/>
    <s v="Female"/>
    <n v="82"/>
    <n v="4"/>
    <n v="2"/>
    <s v="Research Scientist"/>
    <n v="1"/>
    <s v="Single"/>
    <n v="6545"/>
    <n v="23016"/>
    <n v="3"/>
    <s v="Y"/>
    <x v="0"/>
    <n v="13"/>
    <n v="3"/>
    <n v="3"/>
    <n v="80"/>
    <n v="0"/>
    <n v="10"/>
    <n v="1"/>
    <n v="3"/>
    <n v="3"/>
    <n v="2"/>
    <n v="0"/>
    <n v="2"/>
    <s v="High"/>
    <s v="Medium"/>
    <s v="Experienced"/>
  </r>
  <r>
    <n v="29"/>
    <x v="1"/>
    <s v="Travel_Rarely"/>
    <n v="1247"/>
    <x v="0"/>
    <n v="20"/>
    <n v="2"/>
    <s v="Marketing"/>
    <x v="0"/>
    <n v="349"/>
    <n v="4"/>
    <s v="Male"/>
    <n v="45"/>
    <n v="3"/>
    <n v="2"/>
    <s v="Sales Executive"/>
    <n v="4"/>
    <s v="Divorced"/>
    <n v="6931"/>
    <n v="10732"/>
    <n v="2"/>
    <s v="Y"/>
    <x v="1"/>
    <n v="14"/>
    <n v="3"/>
    <n v="4"/>
    <n v="80"/>
    <n v="1"/>
    <n v="10"/>
    <n v="2"/>
    <n v="3"/>
    <n v="3"/>
    <n v="2"/>
    <n v="0"/>
    <n v="2"/>
    <s v="High"/>
    <s v="Medium"/>
    <s v="Experienced"/>
  </r>
  <r>
    <n v="25"/>
    <x v="1"/>
    <s v="Travel_Rarely"/>
    <n v="685"/>
    <x v="1"/>
    <n v="1"/>
    <n v="3"/>
    <s v="Life Sciences"/>
    <x v="0"/>
    <n v="350"/>
    <n v="1"/>
    <s v="Female"/>
    <n v="62"/>
    <n v="3"/>
    <n v="2"/>
    <s v="Manufacturing Director"/>
    <n v="3"/>
    <s v="Married"/>
    <n v="4898"/>
    <n v="7505"/>
    <n v="0"/>
    <s v="Y"/>
    <x v="1"/>
    <n v="12"/>
    <n v="3"/>
    <n v="4"/>
    <n v="80"/>
    <n v="2"/>
    <n v="5"/>
    <n v="3"/>
    <n v="3"/>
    <n v="4"/>
    <n v="2"/>
    <n v="1"/>
    <n v="2"/>
    <s v="Low"/>
    <s v="Medium"/>
    <s v="Experienced"/>
  </r>
  <r>
    <n v="42"/>
    <x v="1"/>
    <s v="Travel_Rarely"/>
    <n v="269"/>
    <x v="1"/>
    <n v="2"/>
    <n v="3"/>
    <s v="Medical"/>
    <x v="0"/>
    <n v="351"/>
    <n v="4"/>
    <s v="Female"/>
    <n v="56"/>
    <n v="2"/>
    <n v="1"/>
    <s v="Laboratory Technician"/>
    <n v="1"/>
    <s v="Divorced"/>
    <n v="2593"/>
    <n v="8007"/>
    <n v="0"/>
    <s v="Y"/>
    <x v="0"/>
    <n v="11"/>
    <n v="3"/>
    <n v="3"/>
    <n v="80"/>
    <n v="1"/>
    <n v="10"/>
    <n v="4"/>
    <n v="3"/>
    <n v="9"/>
    <n v="6"/>
    <n v="7"/>
    <n v="8"/>
    <s v="Low"/>
    <s v="Low"/>
    <s v="High"/>
  </r>
  <r>
    <n v="40"/>
    <x v="1"/>
    <s v="Travel_Rarely"/>
    <n v="1416"/>
    <x v="1"/>
    <n v="2"/>
    <n v="2"/>
    <s v="Medical"/>
    <x v="0"/>
    <n v="352"/>
    <n v="1"/>
    <s v="Male"/>
    <n v="49"/>
    <n v="3"/>
    <n v="5"/>
    <s v="Research Director"/>
    <n v="3"/>
    <s v="Divorced"/>
    <n v="19436"/>
    <n v="5949"/>
    <n v="0"/>
    <s v="Y"/>
    <x v="1"/>
    <n v="19"/>
    <n v="3"/>
    <n v="4"/>
    <n v="80"/>
    <n v="1"/>
    <n v="22"/>
    <n v="5"/>
    <n v="3"/>
    <n v="21"/>
    <n v="7"/>
    <n v="3"/>
    <n v="9"/>
    <s v="High"/>
    <s v="High"/>
    <s v="High"/>
  </r>
  <r>
    <n v="51"/>
    <x v="1"/>
    <s v="Travel_Rarely"/>
    <n v="833"/>
    <x v="1"/>
    <n v="1"/>
    <n v="3"/>
    <s v="Life Sciences"/>
    <x v="0"/>
    <n v="353"/>
    <n v="3"/>
    <s v="Male"/>
    <n v="96"/>
    <n v="3"/>
    <n v="1"/>
    <s v="Research Scientist"/>
    <n v="4"/>
    <s v="Married"/>
    <n v="2723"/>
    <n v="23231"/>
    <n v="1"/>
    <s v="Y"/>
    <x v="1"/>
    <n v="11"/>
    <n v="3"/>
    <n v="2"/>
    <n v="80"/>
    <n v="0"/>
    <n v="1"/>
    <n v="0"/>
    <n v="2"/>
    <n v="1"/>
    <n v="0"/>
    <n v="0"/>
    <n v="0"/>
    <s v="Low"/>
    <s v="Low"/>
    <s v="new"/>
  </r>
  <r>
    <n v="31"/>
    <x v="0"/>
    <s v="Travel_Frequently"/>
    <n v="307"/>
    <x v="1"/>
    <n v="29"/>
    <n v="2"/>
    <s v="Medical"/>
    <x v="0"/>
    <n v="355"/>
    <n v="3"/>
    <s v="Male"/>
    <n v="71"/>
    <n v="2"/>
    <n v="1"/>
    <s v="Laboratory Technician"/>
    <n v="2"/>
    <s v="Single"/>
    <n v="3479"/>
    <n v="11652"/>
    <n v="0"/>
    <s v="Y"/>
    <x v="1"/>
    <n v="11"/>
    <n v="3"/>
    <n v="2"/>
    <n v="80"/>
    <n v="0"/>
    <n v="6"/>
    <n v="2"/>
    <n v="4"/>
    <n v="5"/>
    <n v="4"/>
    <n v="1"/>
    <n v="4"/>
    <s v="Low"/>
    <s v="Low"/>
    <s v="Experienced"/>
  </r>
  <r>
    <n v="32"/>
    <x v="1"/>
    <s v="Travel_Frequently"/>
    <n v="1311"/>
    <x v="1"/>
    <n v="7"/>
    <n v="3"/>
    <s v="Life Sciences"/>
    <x v="0"/>
    <n v="359"/>
    <n v="2"/>
    <s v="Male"/>
    <n v="100"/>
    <n v="4"/>
    <n v="1"/>
    <s v="Laboratory Technician"/>
    <n v="2"/>
    <s v="Married"/>
    <n v="2794"/>
    <n v="26062"/>
    <n v="1"/>
    <s v="Y"/>
    <x v="1"/>
    <n v="20"/>
    <n v="4"/>
    <n v="3"/>
    <n v="80"/>
    <n v="0"/>
    <n v="5"/>
    <n v="3"/>
    <n v="1"/>
    <n v="5"/>
    <n v="1"/>
    <n v="0"/>
    <n v="3"/>
    <s v="Low"/>
    <s v="Low"/>
    <s v="Experienced"/>
  </r>
  <r>
    <n v="38"/>
    <x v="1"/>
    <s v="Non-Travel"/>
    <n v="1327"/>
    <x v="0"/>
    <n v="2"/>
    <n v="2"/>
    <s v="Life Sciences"/>
    <x v="0"/>
    <n v="361"/>
    <n v="4"/>
    <s v="Male"/>
    <n v="39"/>
    <n v="2"/>
    <n v="2"/>
    <s v="Sales Executive"/>
    <n v="4"/>
    <s v="Married"/>
    <n v="5249"/>
    <n v="19682"/>
    <n v="3"/>
    <s v="Y"/>
    <x v="1"/>
    <n v="18"/>
    <n v="3"/>
    <n v="4"/>
    <n v="80"/>
    <n v="1"/>
    <n v="13"/>
    <n v="0"/>
    <n v="3"/>
    <n v="8"/>
    <n v="7"/>
    <n v="7"/>
    <n v="5"/>
    <s v="Low"/>
    <s v="Medium"/>
    <s v="High"/>
  </r>
  <r>
    <n v="32"/>
    <x v="1"/>
    <s v="Travel_Rarely"/>
    <n v="128"/>
    <x v="1"/>
    <n v="2"/>
    <n v="1"/>
    <s v="Technical Degree"/>
    <x v="0"/>
    <n v="362"/>
    <n v="4"/>
    <s v="Male"/>
    <n v="84"/>
    <n v="2"/>
    <n v="2"/>
    <s v="Laboratory Technician"/>
    <n v="1"/>
    <s v="Single"/>
    <n v="2176"/>
    <n v="19737"/>
    <n v="4"/>
    <s v="Y"/>
    <x v="1"/>
    <n v="13"/>
    <n v="3"/>
    <n v="4"/>
    <n v="80"/>
    <n v="0"/>
    <n v="9"/>
    <n v="5"/>
    <n v="3"/>
    <n v="6"/>
    <n v="2"/>
    <n v="0"/>
    <n v="4"/>
    <s v="Low"/>
    <s v="Low"/>
    <s v="Experienced"/>
  </r>
  <r>
    <n v="46"/>
    <x v="1"/>
    <s v="Travel_Rarely"/>
    <n v="488"/>
    <x v="0"/>
    <n v="2"/>
    <n v="3"/>
    <s v="Technical Degree"/>
    <x v="0"/>
    <n v="363"/>
    <n v="3"/>
    <s v="Female"/>
    <n v="75"/>
    <n v="1"/>
    <n v="4"/>
    <s v="Manager"/>
    <n v="2"/>
    <s v="Married"/>
    <n v="16872"/>
    <n v="14977"/>
    <n v="3"/>
    <s v="Y"/>
    <x v="0"/>
    <n v="12"/>
    <n v="3"/>
    <n v="2"/>
    <n v="80"/>
    <n v="1"/>
    <n v="28"/>
    <n v="2"/>
    <n v="2"/>
    <n v="7"/>
    <n v="7"/>
    <n v="7"/>
    <n v="7"/>
    <s v="High"/>
    <s v="High"/>
    <s v="Experienced"/>
  </r>
  <r>
    <n v="28"/>
    <x v="0"/>
    <s v="Travel_Rarely"/>
    <n v="529"/>
    <x v="1"/>
    <n v="2"/>
    <n v="4"/>
    <s v="Life Sciences"/>
    <x v="0"/>
    <n v="364"/>
    <n v="1"/>
    <s v="Male"/>
    <n v="79"/>
    <n v="3"/>
    <n v="1"/>
    <s v="Laboratory Technician"/>
    <n v="3"/>
    <s v="Single"/>
    <n v="3485"/>
    <n v="14935"/>
    <n v="2"/>
    <s v="Y"/>
    <x v="1"/>
    <n v="11"/>
    <n v="3"/>
    <n v="3"/>
    <n v="80"/>
    <n v="0"/>
    <n v="5"/>
    <n v="5"/>
    <n v="1"/>
    <n v="0"/>
    <n v="0"/>
    <n v="0"/>
    <n v="0"/>
    <s v="Low"/>
    <s v="Low"/>
    <s v="new"/>
  </r>
  <r>
    <n v="29"/>
    <x v="1"/>
    <s v="Travel_Rarely"/>
    <n v="1210"/>
    <x v="0"/>
    <n v="2"/>
    <n v="3"/>
    <s v="Medical"/>
    <x v="0"/>
    <n v="366"/>
    <n v="1"/>
    <s v="Male"/>
    <n v="78"/>
    <n v="2"/>
    <n v="2"/>
    <s v="Sales Executive"/>
    <n v="2"/>
    <s v="Married"/>
    <n v="6644"/>
    <n v="3687"/>
    <n v="2"/>
    <s v="Y"/>
    <x v="1"/>
    <n v="19"/>
    <n v="3"/>
    <n v="2"/>
    <n v="80"/>
    <n v="2"/>
    <n v="10"/>
    <n v="2"/>
    <n v="3"/>
    <n v="0"/>
    <n v="0"/>
    <n v="0"/>
    <n v="0"/>
    <s v="High"/>
    <s v="Medium"/>
    <s v="new"/>
  </r>
  <r>
    <n v="31"/>
    <x v="1"/>
    <s v="Travel_Rarely"/>
    <n v="1463"/>
    <x v="1"/>
    <n v="23"/>
    <n v="3"/>
    <s v="Medical"/>
    <x v="0"/>
    <n v="367"/>
    <n v="2"/>
    <s v="Male"/>
    <n v="64"/>
    <n v="2"/>
    <n v="2"/>
    <s v="Healthcare Representative"/>
    <n v="4"/>
    <s v="Married"/>
    <n v="5582"/>
    <n v="14408"/>
    <n v="0"/>
    <s v="Y"/>
    <x v="1"/>
    <n v="21"/>
    <n v="4"/>
    <n v="2"/>
    <n v="80"/>
    <n v="1"/>
    <n v="10"/>
    <n v="2"/>
    <n v="3"/>
    <n v="9"/>
    <n v="0"/>
    <n v="7"/>
    <n v="8"/>
    <s v="Low"/>
    <s v="Medium"/>
    <s v="High"/>
  </r>
  <r>
    <n v="25"/>
    <x v="1"/>
    <s v="Non-Travel"/>
    <n v="675"/>
    <x v="1"/>
    <n v="5"/>
    <n v="2"/>
    <s v="Life Sciences"/>
    <x v="0"/>
    <n v="369"/>
    <n v="2"/>
    <s v="Male"/>
    <n v="85"/>
    <n v="4"/>
    <n v="2"/>
    <s v="Healthcare Representative"/>
    <n v="1"/>
    <s v="Divorced"/>
    <n v="4000"/>
    <n v="18384"/>
    <n v="1"/>
    <s v="Y"/>
    <x v="1"/>
    <n v="12"/>
    <n v="3"/>
    <n v="4"/>
    <n v="80"/>
    <n v="2"/>
    <n v="6"/>
    <n v="2"/>
    <n v="3"/>
    <n v="6"/>
    <n v="3"/>
    <n v="1"/>
    <n v="5"/>
    <s v="Low"/>
    <s v="Medium"/>
    <s v="Experienced"/>
  </r>
  <r>
    <n v="45"/>
    <x v="1"/>
    <s v="Travel_Rarely"/>
    <n v="1385"/>
    <x v="1"/>
    <n v="20"/>
    <n v="2"/>
    <s v="Medical"/>
    <x v="0"/>
    <n v="372"/>
    <n v="3"/>
    <s v="Male"/>
    <n v="79"/>
    <n v="3"/>
    <n v="4"/>
    <s v="Healthcare Representative"/>
    <n v="4"/>
    <s v="Married"/>
    <n v="13496"/>
    <n v="7501"/>
    <n v="0"/>
    <s v="Y"/>
    <x v="0"/>
    <n v="14"/>
    <n v="3"/>
    <n v="2"/>
    <n v="80"/>
    <n v="0"/>
    <n v="21"/>
    <n v="2"/>
    <n v="3"/>
    <n v="20"/>
    <n v="7"/>
    <n v="4"/>
    <n v="10"/>
    <s v="High"/>
    <s v="High"/>
    <s v="High"/>
  </r>
  <r>
    <n v="36"/>
    <x v="1"/>
    <s v="Travel_Rarely"/>
    <n v="1403"/>
    <x v="1"/>
    <n v="6"/>
    <n v="3"/>
    <s v="Life Sciences"/>
    <x v="0"/>
    <n v="373"/>
    <n v="4"/>
    <s v="Male"/>
    <n v="47"/>
    <n v="3"/>
    <n v="1"/>
    <s v="Laboratory Technician"/>
    <n v="4"/>
    <s v="Married"/>
    <n v="3210"/>
    <n v="20251"/>
    <n v="0"/>
    <s v="Y"/>
    <x v="1"/>
    <n v="11"/>
    <n v="3"/>
    <n v="3"/>
    <n v="80"/>
    <n v="1"/>
    <n v="16"/>
    <n v="4"/>
    <n v="3"/>
    <n v="15"/>
    <n v="13"/>
    <n v="10"/>
    <n v="11"/>
    <s v="Low"/>
    <s v="Low"/>
    <s v="High"/>
  </r>
  <r>
    <n v="55"/>
    <x v="1"/>
    <s v="Travel_Rarely"/>
    <n v="452"/>
    <x v="1"/>
    <n v="1"/>
    <n v="3"/>
    <s v="Medical"/>
    <x v="0"/>
    <n v="374"/>
    <n v="4"/>
    <s v="Male"/>
    <n v="81"/>
    <n v="3"/>
    <n v="5"/>
    <s v="Manager"/>
    <n v="1"/>
    <s v="Single"/>
    <n v="19045"/>
    <n v="18938"/>
    <n v="0"/>
    <s v="Y"/>
    <x v="0"/>
    <n v="14"/>
    <n v="3"/>
    <n v="3"/>
    <n v="80"/>
    <n v="0"/>
    <n v="37"/>
    <n v="2"/>
    <n v="3"/>
    <n v="36"/>
    <n v="10"/>
    <n v="4"/>
    <n v="13"/>
    <s v="High"/>
    <s v="High"/>
    <s v="High"/>
  </r>
  <r>
    <n v="47"/>
    <x v="0"/>
    <s v="Non-Travel"/>
    <n v="666"/>
    <x v="1"/>
    <n v="29"/>
    <n v="4"/>
    <s v="Life Sciences"/>
    <x v="0"/>
    <n v="376"/>
    <n v="1"/>
    <s v="Male"/>
    <n v="88"/>
    <n v="3"/>
    <n v="3"/>
    <s v="Manager"/>
    <n v="2"/>
    <s v="Married"/>
    <n v="11849"/>
    <n v="10268"/>
    <n v="1"/>
    <s v="Y"/>
    <x v="0"/>
    <n v="12"/>
    <n v="3"/>
    <n v="4"/>
    <n v="80"/>
    <n v="1"/>
    <n v="10"/>
    <n v="2"/>
    <n v="2"/>
    <n v="10"/>
    <n v="7"/>
    <n v="9"/>
    <n v="9"/>
    <s v="High"/>
    <s v="High"/>
    <s v="High"/>
  </r>
  <r>
    <n v="28"/>
    <x v="1"/>
    <s v="Travel_Rarely"/>
    <n v="1158"/>
    <x v="1"/>
    <n v="9"/>
    <n v="3"/>
    <s v="Medical"/>
    <x v="0"/>
    <n v="377"/>
    <n v="4"/>
    <s v="Male"/>
    <n v="94"/>
    <n v="3"/>
    <n v="1"/>
    <s v="Research Scientist"/>
    <n v="4"/>
    <s v="Married"/>
    <n v="2070"/>
    <n v="2613"/>
    <n v="1"/>
    <s v="Y"/>
    <x v="1"/>
    <n v="23"/>
    <n v="4"/>
    <n v="4"/>
    <n v="80"/>
    <n v="1"/>
    <n v="5"/>
    <n v="3"/>
    <n v="2"/>
    <n v="5"/>
    <n v="2"/>
    <n v="0"/>
    <n v="4"/>
    <s v="Low"/>
    <s v="Low"/>
    <s v="Experienced"/>
  </r>
  <r>
    <n v="37"/>
    <x v="1"/>
    <s v="Travel_Rarely"/>
    <n v="228"/>
    <x v="0"/>
    <n v="6"/>
    <n v="4"/>
    <s v="Medical"/>
    <x v="0"/>
    <n v="378"/>
    <n v="3"/>
    <s v="Male"/>
    <n v="98"/>
    <n v="3"/>
    <n v="2"/>
    <s v="Sales Executive"/>
    <n v="4"/>
    <s v="Married"/>
    <n v="6502"/>
    <n v="22825"/>
    <n v="4"/>
    <s v="Y"/>
    <x v="1"/>
    <n v="14"/>
    <n v="3"/>
    <n v="2"/>
    <n v="80"/>
    <n v="1"/>
    <n v="7"/>
    <n v="5"/>
    <n v="4"/>
    <n v="5"/>
    <n v="4"/>
    <n v="0"/>
    <n v="1"/>
    <s v="High"/>
    <s v="Medium"/>
    <s v="Experienced"/>
  </r>
  <r>
    <n v="21"/>
    <x v="1"/>
    <s v="Travel_Rarely"/>
    <n v="996"/>
    <x v="1"/>
    <n v="3"/>
    <n v="2"/>
    <s v="Medical"/>
    <x v="0"/>
    <n v="379"/>
    <n v="4"/>
    <s v="Male"/>
    <n v="100"/>
    <n v="2"/>
    <n v="1"/>
    <s v="Research Scientist"/>
    <n v="3"/>
    <s v="Single"/>
    <n v="3230"/>
    <n v="10531"/>
    <n v="1"/>
    <s v="Y"/>
    <x v="1"/>
    <n v="17"/>
    <n v="3"/>
    <n v="1"/>
    <n v="80"/>
    <n v="0"/>
    <n v="3"/>
    <n v="4"/>
    <n v="4"/>
    <n v="3"/>
    <n v="2"/>
    <n v="1"/>
    <n v="0"/>
    <s v="Low"/>
    <s v="Low"/>
    <s v="Experienced"/>
  </r>
  <r>
    <n v="37"/>
    <x v="1"/>
    <s v="Non-Travel"/>
    <n v="728"/>
    <x v="1"/>
    <n v="1"/>
    <n v="4"/>
    <s v="Medical"/>
    <x v="0"/>
    <n v="380"/>
    <n v="1"/>
    <s v="Female"/>
    <n v="80"/>
    <n v="3"/>
    <n v="3"/>
    <s v="Research Director"/>
    <n v="4"/>
    <s v="Divorced"/>
    <n v="13603"/>
    <n v="11677"/>
    <n v="2"/>
    <s v="Y"/>
    <x v="0"/>
    <n v="18"/>
    <n v="3"/>
    <n v="1"/>
    <n v="80"/>
    <n v="2"/>
    <n v="15"/>
    <n v="2"/>
    <n v="3"/>
    <n v="5"/>
    <n v="2"/>
    <n v="0"/>
    <n v="2"/>
    <s v="High"/>
    <s v="High"/>
    <s v="Experienced"/>
  </r>
  <r>
    <n v="35"/>
    <x v="1"/>
    <s v="Travel_Rarely"/>
    <n v="1315"/>
    <x v="1"/>
    <n v="22"/>
    <n v="3"/>
    <s v="Life Sciences"/>
    <x v="0"/>
    <n v="381"/>
    <n v="2"/>
    <s v="Female"/>
    <n v="71"/>
    <n v="4"/>
    <n v="3"/>
    <s v="Manager"/>
    <n v="2"/>
    <s v="Divorced"/>
    <n v="11996"/>
    <n v="19100"/>
    <n v="7"/>
    <s v="Y"/>
    <x v="1"/>
    <n v="18"/>
    <n v="3"/>
    <n v="2"/>
    <n v="80"/>
    <n v="1"/>
    <n v="10"/>
    <n v="6"/>
    <n v="2"/>
    <n v="7"/>
    <n v="7"/>
    <n v="6"/>
    <n v="2"/>
    <s v="High"/>
    <s v="High"/>
    <s v="Experienced"/>
  </r>
  <r>
    <n v="38"/>
    <x v="1"/>
    <s v="Travel_Rarely"/>
    <n v="322"/>
    <x v="0"/>
    <n v="7"/>
    <n v="2"/>
    <s v="Medical"/>
    <x v="0"/>
    <n v="382"/>
    <n v="1"/>
    <s v="Female"/>
    <n v="44"/>
    <n v="4"/>
    <n v="2"/>
    <s v="Sales Executive"/>
    <n v="1"/>
    <s v="Divorced"/>
    <n v="5605"/>
    <n v="19191"/>
    <n v="1"/>
    <s v="Y"/>
    <x v="0"/>
    <n v="24"/>
    <n v="4"/>
    <n v="3"/>
    <n v="80"/>
    <n v="1"/>
    <n v="8"/>
    <n v="3"/>
    <n v="3"/>
    <n v="8"/>
    <n v="0"/>
    <n v="7"/>
    <n v="7"/>
    <s v="Low"/>
    <s v="Medium"/>
    <s v="High"/>
  </r>
  <r>
    <n v="26"/>
    <x v="1"/>
    <s v="Travel_Frequently"/>
    <n v="1479"/>
    <x v="1"/>
    <n v="1"/>
    <n v="3"/>
    <s v="Life Sciences"/>
    <x v="0"/>
    <n v="384"/>
    <n v="3"/>
    <s v="Female"/>
    <n v="84"/>
    <n v="3"/>
    <n v="2"/>
    <s v="Manufacturing Director"/>
    <n v="2"/>
    <s v="Divorced"/>
    <n v="6397"/>
    <n v="26767"/>
    <n v="1"/>
    <s v="Y"/>
    <x v="1"/>
    <n v="20"/>
    <n v="4"/>
    <n v="1"/>
    <n v="80"/>
    <n v="1"/>
    <n v="6"/>
    <n v="6"/>
    <n v="1"/>
    <n v="6"/>
    <n v="5"/>
    <n v="1"/>
    <n v="4"/>
    <s v="Low"/>
    <s v="Medium"/>
    <s v="Experienced"/>
  </r>
  <r>
    <n v="50"/>
    <x v="1"/>
    <s v="Travel_Rarely"/>
    <n v="797"/>
    <x v="1"/>
    <n v="4"/>
    <n v="1"/>
    <s v="Life Sciences"/>
    <x v="0"/>
    <n v="385"/>
    <n v="1"/>
    <s v="Male"/>
    <n v="96"/>
    <n v="3"/>
    <n v="5"/>
    <s v="Research Director"/>
    <n v="2"/>
    <s v="Divorced"/>
    <n v="19144"/>
    <n v="15815"/>
    <n v="3"/>
    <s v="Y"/>
    <x v="1"/>
    <n v="14"/>
    <n v="3"/>
    <n v="1"/>
    <n v="80"/>
    <n v="2"/>
    <n v="28"/>
    <n v="4"/>
    <n v="2"/>
    <n v="10"/>
    <n v="4"/>
    <n v="1"/>
    <n v="6"/>
    <s v="High"/>
    <s v="High"/>
    <s v="High"/>
  </r>
  <r>
    <n v="53"/>
    <x v="1"/>
    <s v="Travel_Rarely"/>
    <n v="1070"/>
    <x v="1"/>
    <n v="3"/>
    <n v="4"/>
    <s v="Medical"/>
    <x v="0"/>
    <n v="386"/>
    <n v="3"/>
    <s v="Male"/>
    <n v="45"/>
    <n v="3"/>
    <n v="4"/>
    <s v="Research Director"/>
    <n v="3"/>
    <s v="Married"/>
    <n v="17584"/>
    <n v="21016"/>
    <n v="3"/>
    <s v="Y"/>
    <x v="0"/>
    <n v="16"/>
    <n v="3"/>
    <n v="4"/>
    <n v="80"/>
    <n v="3"/>
    <n v="21"/>
    <n v="5"/>
    <n v="2"/>
    <n v="5"/>
    <n v="3"/>
    <n v="1"/>
    <n v="3"/>
    <s v="High"/>
    <s v="High"/>
    <s v="Experienced"/>
  </r>
  <r>
    <n v="42"/>
    <x v="1"/>
    <s v="Travel_Rarely"/>
    <n v="635"/>
    <x v="0"/>
    <n v="1"/>
    <n v="1"/>
    <s v="Life Sciences"/>
    <x v="0"/>
    <n v="387"/>
    <n v="2"/>
    <s v="Male"/>
    <n v="99"/>
    <n v="3"/>
    <n v="2"/>
    <s v="Sales Executive"/>
    <n v="3"/>
    <s v="Married"/>
    <n v="4907"/>
    <n v="24532"/>
    <n v="1"/>
    <s v="Y"/>
    <x v="1"/>
    <n v="25"/>
    <n v="4"/>
    <n v="3"/>
    <n v="80"/>
    <n v="0"/>
    <n v="20"/>
    <n v="3"/>
    <n v="3"/>
    <n v="20"/>
    <n v="16"/>
    <n v="11"/>
    <n v="6"/>
    <s v="Low"/>
    <s v="Medium"/>
    <s v="High"/>
  </r>
  <r>
    <n v="29"/>
    <x v="1"/>
    <s v="Travel_Frequently"/>
    <n v="442"/>
    <x v="0"/>
    <n v="2"/>
    <n v="2"/>
    <s v="Life Sciences"/>
    <x v="0"/>
    <n v="388"/>
    <n v="2"/>
    <s v="Male"/>
    <n v="44"/>
    <n v="3"/>
    <n v="2"/>
    <s v="Sales Executive"/>
    <n v="4"/>
    <s v="Single"/>
    <n v="4554"/>
    <n v="20260"/>
    <n v="1"/>
    <s v="Y"/>
    <x v="1"/>
    <n v="18"/>
    <n v="3"/>
    <n v="1"/>
    <n v="80"/>
    <n v="0"/>
    <n v="10"/>
    <n v="3"/>
    <n v="2"/>
    <n v="10"/>
    <n v="7"/>
    <n v="0"/>
    <n v="9"/>
    <s v="Low"/>
    <s v="Medium"/>
    <s v="High"/>
  </r>
  <r>
    <n v="55"/>
    <x v="1"/>
    <s v="Travel_Rarely"/>
    <n v="147"/>
    <x v="1"/>
    <n v="20"/>
    <n v="2"/>
    <s v="Technical Degree"/>
    <x v="0"/>
    <n v="389"/>
    <n v="2"/>
    <s v="Male"/>
    <n v="37"/>
    <n v="3"/>
    <n v="2"/>
    <s v="Laboratory Technician"/>
    <n v="4"/>
    <s v="Married"/>
    <n v="5415"/>
    <n v="15972"/>
    <n v="3"/>
    <s v="Y"/>
    <x v="0"/>
    <n v="19"/>
    <n v="3"/>
    <n v="4"/>
    <n v="80"/>
    <n v="1"/>
    <n v="12"/>
    <n v="4"/>
    <n v="3"/>
    <n v="10"/>
    <n v="7"/>
    <n v="0"/>
    <n v="8"/>
    <s v="Low"/>
    <s v="Medium"/>
    <s v="High"/>
  </r>
  <r>
    <n v="26"/>
    <x v="1"/>
    <s v="Travel_Frequently"/>
    <n v="496"/>
    <x v="1"/>
    <n v="11"/>
    <n v="2"/>
    <s v="Medical"/>
    <x v="0"/>
    <n v="390"/>
    <n v="1"/>
    <s v="Male"/>
    <n v="60"/>
    <n v="3"/>
    <n v="2"/>
    <s v="Healthcare Representative"/>
    <n v="1"/>
    <s v="Married"/>
    <n v="4741"/>
    <n v="22722"/>
    <n v="1"/>
    <s v="Y"/>
    <x v="0"/>
    <n v="13"/>
    <n v="3"/>
    <n v="3"/>
    <n v="80"/>
    <n v="1"/>
    <n v="5"/>
    <n v="3"/>
    <n v="3"/>
    <n v="5"/>
    <n v="3"/>
    <n v="3"/>
    <n v="3"/>
    <s v="Low"/>
    <s v="Medium"/>
    <s v="Experienced"/>
  </r>
  <r>
    <n v="37"/>
    <x v="1"/>
    <s v="Travel_Rarely"/>
    <n v="1372"/>
    <x v="1"/>
    <n v="1"/>
    <n v="3"/>
    <s v="Life Sciences"/>
    <x v="0"/>
    <n v="391"/>
    <n v="4"/>
    <s v="Female"/>
    <n v="42"/>
    <n v="3"/>
    <n v="1"/>
    <s v="Research Scientist"/>
    <n v="4"/>
    <s v="Single"/>
    <n v="2115"/>
    <n v="15881"/>
    <n v="1"/>
    <s v="Y"/>
    <x v="1"/>
    <n v="12"/>
    <n v="3"/>
    <n v="2"/>
    <n v="80"/>
    <n v="0"/>
    <n v="17"/>
    <n v="3"/>
    <n v="3"/>
    <n v="17"/>
    <n v="12"/>
    <n v="5"/>
    <n v="7"/>
    <s v="Low"/>
    <s v="Low"/>
    <s v="High"/>
  </r>
  <r>
    <n v="44"/>
    <x v="0"/>
    <s v="Travel_Frequently"/>
    <n v="920"/>
    <x v="1"/>
    <n v="24"/>
    <n v="3"/>
    <s v="Life Sciences"/>
    <x v="0"/>
    <n v="392"/>
    <n v="4"/>
    <s v="Male"/>
    <n v="43"/>
    <n v="3"/>
    <n v="1"/>
    <s v="Laboratory Technician"/>
    <n v="3"/>
    <s v="Divorced"/>
    <n v="3161"/>
    <n v="19920"/>
    <n v="3"/>
    <s v="Y"/>
    <x v="0"/>
    <n v="22"/>
    <n v="4"/>
    <n v="4"/>
    <n v="80"/>
    <n v="1"/>
    <n v="19"/>
    <n v="0"/>
    <n v="1"/>
    <n v="1"/>
    <n v="0"/>
    <n v="0"/>
    <n v="0"/>
    <s v="Low"/>
    <s v="Low"/>
    <s v="new"/>
  </r>
  <r>
    <n v="38"/>
    <x v="1"/>
    <s v="Travel_Rarely"/>
    <n v="688"/>
    <x v="1"/>
    <n v="23"/>
    <n v="4"/>
    <s v="Life Sciences"/>
    <x v="0"/>
    <n v="393"/>
    <n v="4"/>
    <s v="Male"/>
    <n v="82"/>
    <n v="3"/>
    <n v="2"/>
    <s v="Healthcare Representative"/>
    <n v="4"/>
    <s v="Divorced"/>
    <n v="5745"/>
    <n v="18899"/>
    <n v="9"/>
    <s v="Y"/>
    <x v="1"/>
    <n v="14"/>
    <n v="3"/>
    <n v="2"/>
    <n v="80"/>
    <n v="1"/>
    <n v="10"/>
    <n v="2"/>
    <n v="3"/>
    <n v="2"/>
    <n v="2"/>
    <n v="1"/>
    <n v="2"/>
    <s v="Low"/>
    <s v="Medium"/>
    <s v="new"/>
  </r>
  <r>
    <n v="26"/>
    <x v="0"/>
    <s v="Travel_Rarely"/>
    <n v="1449"/>
    <x v="1"/>
    <n v="16"/>
    <n v="4"/>
    <s v="Medical"/>
    <x v="0"/>
    <n v="394"/>
    <n v="1"/>
    <s v="Male"/>
    <n v="45"/>
    <n v="3"/>
    <n v="1"/>
    <s v="Laboratory Technician"/>
    <n v="2"/>
    <s v="Divorced"/>
    <n v="2373"/>
    <n v="14180"/>
    <n v="2"/>
    <s v="Y"/>
    <x v="0"/>
    <n v="13"/>
    <n v="3"/>
    <n v="4"/>
    <n v="80"/>
    <n v="1"/>
    <n v="5"/>
    <n v="2"/>
    <n v="3"/>
    <n v="3"/>
    <n v="2"/>
    <n v="0"/>
    <n v="2"/>
    <s v="Low"/>
    <s v="Low"/>
    <s v="Experienced"/>
  </r>
  <r>
    <n v="28"/>
    <x v="1"/>
    <s v="Travel_Rarely"/>
    <n v="1117"/>
    <x v="1"/>
    <n v="8"/>
    <n v="2"/>
    <s v="Life Sciences"/>
    <x v="0"/>
    <n v="395"/>
    <n v="4"/>
    <s v="Female"/>
    <n v="66"/>
    <n v="3"/>
    <n v="1"/>
    <s v="Research Scientist"/>
    <n v="4"/>
    <s v="Single"/>
    <n v="3310"/>
    <n v="4488"/>
    <n v="1"/>
    <s v="Y"/>
    <x v="1"/>
    <n v="21"/>
    <n v="4"/>
    <n v="4"/>
    <n v="80"/>
    <n v="0"/>
    <n v="5"/>
    <n v="3"/>
    <n v="3"/>
    <n v="5"/>
    <n v="3"/>
    <n v="0"/>
    <n v="2"/>
    <s v="Low"/>
    <s v="Low"/>
    <s v="Experienced"/>
  </r>
  <r>
    <n v="49"/>
    <x v="1"/>
    <s v="Travel_Frequently"/>
    <n v="636"/>
    <x v="1"/>
    <n v="10"/>
    <n v="4"/>
    <s v="Life Sciences"/>
    <x v="0"/>
    <n v="396"/>
    <n v="3"/>
    <s v="Female"/>
    <n v="35"/>
    <n v="3"/>
    <n v="5"/>
    <s v="Research Director"/>
    <n v="1"/>
    <s v="Single"/>
    <n v="18665"/>
    <n v="25594"/>
    <n v="9"/>
    <s v="Y"/>
    <x v="0"/>
    <n v="11"/>
    <n v="3"/>
    <n v="4"/>
    <n v="80"/>
    <n v="0"/>
    <n v="22"/>
    <n v="4"/>
    <n v="3"/>
    <n v="3"/>
    <n v="2"/>
    <n v="1"/>
    <n v="2"/>
    <s v="High"/>
    <s v="High"/>
    <s v="Experienced"/>
  </r>
  <r>
    <n v="36"/>
    <x v="1"/>
    <s v="Travel_Rarely"/>
    <n v="506"/>
    <x v="1"/>
    <n v="3"/>
    <n v="3"/>
    <s v="Technical Degree"/>
    <x v="0"/>
    <n v="397"/>
    <n v="3"/>
    <s v="Male"/>
    <n v="30"/>
    <n v="3"/>
    <n v="2"/>
    <s v="Research Scientist"/>
    <n v="2"/>
    <s v="Single"/>
    <n v="4485"/>
    <n v="26285"/>
    <n v="4"/>
    <s v="Y"/>
    <x v="1"/>
    <n v="12"/>
    <n v="3"/>
    <n v="4"/>
    <n v="80"/>
    <n v="0"/>
    <n v="10"/>
    <n v="2"/>
    <n v="3"/>
    <n v="8"/>
    <n v="0"/>
    <n v="7"/>
    <n v="7"/>
    <s v="Low"/>
    <s v="Medium"/>
    <s v="High"/>
  </r>
  <r>
    <n v="31"/>
    <x v="1"/>
    <s v="Travel_Frequently"/>
    <n v="444"/>
    <x v="0"/>
    <n v="5"/>
    <n v="3"/>
    <s v="Marketing"/>
    <x v="0"/>
    <n v="399"/>
    <n v="4"/>
    <s v="Female"/>
    <n v="84"/>
    <n v="3"/>
    <n v="1"/>
    <s v="Sales Representative"/>
    <n v="2"/>
    <s v="Divorced"/>
    <n v="2789"/>
    <n v="3909"/>
    <n v="1"/>
    <s v="Y"/>
    <x v="1"/>
    <n v="11"/>
    <n v="3"/>
    <n v="3"/>
    <n v="80"/>
    <n v="1"/>
    <n v="2"/>
    <n v="5"/>
    <n v="2"/>
    <n v="2"/>
    <n v="2"/>
    <n v="2"/>
    <n v="2"/>
    <s v="Low"/>
    <s v="Low"/>
    <s v="new"/>
  </r>
  <r>
    <n v="26"/>
    <x v="0"/>
    <s v="Travel_Rarely"/>
    <n v="950"/>
    <x v="0"/>
    <n v="4"/>
    <n v="4"/>
    <s v="Marketing"/>
    <x v="0"/>
    <n v="401"/>
    <n v="4"/>
    <s v="Male"/>
    <n v="48"/>
    <n v="2"/>
    <n v="2"/>
    <s v="Sales Executive"/>
    <n v="4"/>
    <s v="Single"/>
    <n v="5828"/>
    <n v="8450"/>
    <n v="1"/>
    <s v="Y"/>
    <x v="0"/>
    <n v="12"/>
    <n v="3"/>
    <n v="2"/>
    <n v="80"/>
    <n v="0"/>
    <n v="8"/>
    <n v="0"/>
    <n v="3"/>
    <n v="8"/>
    <n v="7"/>
    <n v="7"/>
    <n v="4"/>
    <s v="Low"/>
    <s v="Medium"/>
    <s v="High"/>
  </r>
  <r>
    <n v="37"/>
    <x v="1"/>
    <s v="Travel_Frequently"/>
    <n v="889"/>
    <x v="1"/>
    <n v="9"/>
    <n v="3"/>
    <s v="Medical"/>
    <x v="0"/>
    <n v="403"/>
    <n v="2"/>
    <s v="Male"/>
    <n v="53"/>
    <n v="3"/>
    <n v="1"/>
    <s v="Research Scientist"/>
    <n v="4"/>
    <s v="Married"/>
    <n v="2326"/>
    <n v="11411"/>
    <n v="1"/>
    <s v="Y"/>
    <x v="0"/>
    <n v="12"/>
    <n v="3"/>
    <n v="3"/>
    <n v="80"/>
    <n v="3"/>
    <n v="4"/>
    <n v="3"/>
    <n v="2"/>
    <n v="4"/>
    <n v="2"/>
    <n v="1"/>
    <n v="2"/>
    <s v="Low"/>
    <s v="Low"/>
    <s v="Experienced"/>
  </r>
  <r>
    <n v="42"/>
    <x v="1"/>
    <s v="Travel_Frequently"/>
    <n v="555"/>
    <x v="0"/>
    <n v="26"/>
    <n v="3"/>
    <s v="Marketing"/>
    <x v="0"/>
    <n v="404"/>
    <n v="3"/>
    <s v="Female"/>
    <n v="77"/>
    <n v="3"/>
    <n v="4"/>
    <s v="Sales Executive"/>
    <n v="2"/>
    <s v="Married"/>
    <n v="13525"/>
    <n v="14864"/>
    <n v="5"/>
    <s v="Y"/>
    <x v="1"/>
    <n v="14"/>
    <n v="3"/>
    <n v="4"/>
    <n v="80"/>
    <n v="1"/>
    <n v="23"/>
    <n v="2"/>
    <n v="4"/>
    <n v="20"/>
    <n v="4"/>
    <n v="4"/>
    <n v="8"/>
    <s v="High"/>
    <s v="High"/>
    <s v="High"/>
  </r>
  <r>
    <n v="18"/>
    <x v="0"/>
    <s v="Travel_Rarely"/>
    <n v="230"/>
    <x v="1"/>
    <n v="3"/>
    <n v="3"/>
    <s v="Life Sciences"/>
    <x v="0"/>
    <n v="405"/>
    <n v="3"/>
    <s v="Male"/>
    <n v="54"/>
    <n v="3"/>
    <n v="1"/>
    <s v="Laboratory Technician"/>
    <n v="3"/>
    <s v="Single"/>
    <n v="1420"/>
    <n v="25233"/>
    <n v="1"/>
    <s v="Y"/>
    <x v="1"/>
    <n v="13"/>
    <n v="3"/>
    <n v="3"/>
    <n v="80"/>
    <n v="0"/>
    <n v="0"/>
    <n v="2"/>
    <n v="3"/>
    <n v="0"/>
    <n v="0"/>
    <n v="0"/>
    <n v="0"/>
    <s v="Low"/>
    <s v="Low"/>
    <s v="new"/>
  </r>
  <r>
    <n v="35"/>
    <x v="1"/>
    <s v="Travel_Rarely"/>
    <n v="1232"/>
    <x v="0"/>
    <n v="16"/>
    <n v="3"/>
    <s v="Marketing"/>
    <x v="0"/>
    <n v="406"/>
    <n v="3"/>
    <s v="Male"/>
    <n v="96"/>
    <n v="3"/>
    <n v="3"/>
    <s v="Sales Executive"/>
    <n v="2"/>
    <s v="Married"/>
    <n v="8020"/>
    <n v="5100"/>
    <n v="0"/>
    <s v="Y"/>
    <x v="1"/>
    <n v="15"/>
    <n v="3"/>
    <n v="3"/>
    <n v="80"/>
    <n v="2"/>
    <n v="12"/>
    <n v="3"/>
    <n v="2"/>
    <n v="11"/>
    <n v="9"/>
    <n v="6"/>
    <n v="9"/>
    <s v="High"/>
    <s v="High"/>
    <s v="High"/>
  </r>
  <r>
    <n v="36"/>
    <x v="1"/>
    <s v="Travel_Frequently"/>
    <n v="566"/>
    <x v="1"/>
    <n v="18"/>
    <n v="4"/>
    <s v="Life Sciences"/>
    <x v="0"/>
    <n v="407"/>
    <n v="3"/>
    <s v="Male"/>
    <n v="81"/>
    <n v="4"/>
    <n v="1"/>
    <s v="Laboratory Technician"/>
    <n v="4"/>
    <s v="Married"/>
    <n v="3688"/>
    <n v="7122"/>
    <n v="4"/>
    <s v="Y"/>
    <x v="1"/>
    <n v="18"/>
    <n v="3"/>
    <n v="4"/>
    <n v="80"/>
    <n v="2"/>
    <n v="4"/>
    <n v="2"/>
    <n v="3"/>
    <n v="1"/>
    <n v="0"/>
    <n v="0"/>
    <n v="0"/>
    <s v="Low"/>
    <s v="Low"/>
    <s v="new"/>
  </r>
  <r>
    <n v="51"/>
    <x v="1"/>
    <s v="Travel_Rarely"/>
    <n v="1302"/>
    <x v="1"/>
    <n v="2"/>
    <n v="3"/>
    <s v="Medical"/>
    <x v="0"/>
    <n v="408"/>
    <n v="4"/>
    <s v="Male"/>
    <n v="84"/>
    <n v="1"/>
    <n v="2"/>
    <s v="Manufacturing Director"/>
    <n v="2"/>
    <s v="Divorced"/>
    <n v="5482"/>
    <n v="16321"/>
    <n v="5"/>
    <s v="Y"/>
    <x v="1"/>
    <n v="18"/>
    <n v="3"/>
    <n v="4"/>
    <n v="80"/>
    <n v="1"/>
    <n v="13"/>
    <n v="3"/>
    <n v="3"/>
    <n v="4"/>
    <n v="1"/>
    <n v="1"/>
    <n v="2"/>
    <s v="Low"/>
    <s v="Medium"/>
    <s v="Experienced"/>
  </r>
  <r>
    <n v="41"/>
    <x v="1"/>
    <s v="Travel_Rarely"/>
    <n v="334"/>
    <x v="0"/>
    <n v="2"/>
    <n v="4"/>
    <s v="Life Sciences"/>
    <x v="0"/>
    <n v="410"/>
    <n v="4"/>
    <s v="Male"/>
    <n v="88"/>
    <n v="3"/>
    <n v="4"/>
    <s v="Manager"/>
    <n v="2"/>
    <s v="Single"/>
    <n v="16015"/>
    <n v="15896"/>
    <n v="1"/>
    <s v="Y"/>
    <x v="1"/>
    <n v="19"/>
    <n v="3"/>
    <n v="2"/>
    <n v="80"/>
    <n v="0"/>
    <n v="22"/>
    <n v="2"/>
    <n v="3"/>
    <n v="22"/>
    <n v="10"/>
    <n v="0"/>
    <n v="4"/>
    <s v="High"/>
    <s v="High"/>
    <s v="High"/>
  </r>
  <r>
    <n v="18"/>
    <x v="1"/>
    <s v="Travel_Rarely"/>
    <n v="812"/>
    <x v="0"/>
    <n v="10"/>
    <n v="3"/>
    <s v="Medical"/>
    <x v="0"/>
    <n v="411"/>
    <n v="4"/>
    <s v="Female"/>
    <n v="69"/>
    <n v="2"/>
    <n v="1"/>
    <s v="Sales Representative"/>
    <n v="3"/>
    <s v="Single"/>
    <n v="1200"/>
    <n v="9724"/>
    <n v="1"/>
    <s v="Y"/>
    <x v="1"/>
    <n v="12"/>
    <n v="3"/>
    <n v="1"/>
    <n v="80"/>
    <n v="0"/>
    <n v="0"/>
    <n v="2"/>
    <n v="3"/>
    <n v="0"/>
    <n v="0"/>
    <n v="0"/>
    <n v="0"/>
    <s v="Low"/>
    <s v="Low"/>
    <s v="new"/>
  </r>
  <r>
    <n v="28"/>
    <x v="1"/>
    <s v="Travel_Rarely"/>
    <n v="1476"/>
    <x v="1"/>
    <n v="16"/>
    <n v="2"/>
    <s v="Medical"/>
    <x v="0"/>
    <n v="412"/>
    <n v="2"/>
    <s v="Male"/>
    <n v="68"/>
    <n v="4"/>
    <n v="2"/>
    <s v="Healthcare Representative"/>
    <n v="1"/>
    <s v="Single"/>
    <n v="5661"/>
    <n v="4824"/>
    <n v="0"/>
    <s v="Y"/>
    <x v="1"/>
    <n v="19"/>
    <n v="3"/>
    <n v="3"/>
    <n v="80"/>
    <n v="0"/>
    <n v="9"/>
    <n v="2"/>
    <n v="3"/>
    <n v="8"/>
    <n v="3"/>
    <n v="0"/>
    <n v="7"/>
    <s v="Low"/>
    <s v="Medium"/>
    <s v="High"/>
  </r>
  <r>
    <n v="31"/>
    <x v="1"/>
    <s v="Travel_Rarely"/>
    <n v="218"/>
    <x v="0"/>
    <n v="7"/>
    <n v="3"/>
    <s v="Technical Degree"/>
    <x v="0"/>
    <n v="416"/>
    <n v="2"/>
    <s v="Male"/>
    <n v="100"/>
    <n v="4"/>
    <n v="2"/>
    <s v="Sales Executive"/>
    <n v="4"/>
    <s v="Married"/>
    <n v="6929"/>
    <n v="12241"/>
    <n v="4"/>
    <s v="Y"/>
    <x v="1"/>
    <n v="11"/>
    <n v="3"/>
    <n v="2"/>
    <n v="80"/>
    <n v="1"/>
    <n v="10"/>
    <n v="3"/>
    <n v="2"/>
    <n v="8"/>
    <n v="7"/>
    <n v="7"/>
    <n v="7"/>
    <s v="High"/>
    <s v="Medium"/>
    <s v="High"/>
  </r>
  <r>
    <n v="39"/>
    <x v="1"/>
    <s v="Travel_Rarely"/>
    <n v="1132"/>
    <x v="1"/>
    <n v="1"/>
    <n v="3"/>
    <s v="Medical"/>
    <x v="0"/>
    <n v="417"/>
    <n v="3"/>
    <s v="Male"/>
    <n v="48"/>
    <n v="4"/>
    <n v="3"/>
    <s v="Healthcare Representative"/>
    <n v="4"/>
    <s v="Divorced"/>
    <n v="9613"/>
    <n v="10942"/>
    <n v="0"/>
    <s v="Y"/>
    <x v="1"/>
    <n v="17"/>
    <n v="3"/>
    <n v="1"/>
    <n v="80"/>
    <n v="3"/>
    <n v="19"/>
    <n v="5"/>
    <n v="2"/>
    <n v="18"/>
    <n v="10"/>
    <n v="3"/>
    <n v="7"/>
    <s v="High"/>
    <s v="High"/>
    <s v="High"/>
  </r>
  <r>
    <n v="36"/>
    <x v="1"/>
    <s v="Non-Travel"/>
    <n v="1105"/>
    <x v="1"/>
    <n v="24"/>
    <n v="4"/>
    <s v="Life Sciences"/>
    <x v="0"/>
    <n v="419"/>
    <n v="2"/>
    <s v="Female"/>
    <n v="47"/>
    <n v="3"/>
    <n v="2"/>
    <s v="Laboratory Technician"/>
    <n v="2"/>
    <s v="Married"/>
    <n v="5674"/>
    <n v="6927"/>
    <n v="7"/>
    <s v="Y"/>
    <x v="1"/>
    <n v="15"/>
    <n v="3"/>
    <n v="3"/>
    <n v="80"/>
    <n v="1"/>
    <n v="11"/>
    <n v="3"/>
    <n v="3"/>
    <n v="9"/>
    <n v="8"/>
    <n v="0"/>
    <n v="8"/>
    <s v="Low"/>
    <s v="Medium"/>
    <s v="High"/>
  </r>
  <r>
    <n v="32"/>
    <x v="1"/>
    <s v="Travel_Rarely"/>
    <n v="906"/>
    <x v="0"/>
    <n v="7"/>
    <n v="3"/>
    <s v="Life Sciences"/>
    <x v="0"/>
    <n v="420"/>
    <n v="4"/>
    <s v="Male"/>
    <n v="91"/>
    <n v="2"/>
    <n v="2"/>
    <s v="Sales Executive"/>
    <n v="3"/>
    <s v="Married"/>
    <n v="5484"/>
    <n v="16985"/>
    <n v="1"/>
    <s v="Y"/>
    <x v="1"/>
    <n v="14"/>
    <n v="3"/>
    <n v="3"/>
    <n v="80"/>
    <n v="1"/>
    <n v="13"/>
    <n v="3"/>
    <n v="2"/>
    <n v="13"/>
    <n v="8"/>
    <n v="4"/>
    <n v="8"/>
    <s v="Low"/>
    <s v="Medium"/>
    <s v="High"/>
  </r>
  <r>
    <n v="38"/>
    <x v="1"/>
    <s v="Travel_Rarely"/>
    <n v="849"/>
    <x v="1"/>
    <n v="25"/>
    <n v="2"/>
    <s v="Life Sciences"/>
    <x v="0"/>
    <n v="421"/>
    <n v="1"/>
    <s v="Female"/>
    <n v="81"/>
    <n v="2"/>
    <n v="3"/>
    <s v="Research Director"/>
    <n v="2"/>
    <s v="Married"/>
    <n v="12061"/>
    <n v="26707"/>
    <n v="3"/>
    <s v="Y"/>
    <x v="1"/>
    <n v="17"/>
    <n v="3"/>
    <n v="3"/>
    <n v="80"/>
    <n v="1"/>
    <n v="19"/>
    <n v="2"/>
    <n v="3"/>
    <n v="10"/>
    <n v="8"/>
    <n v="0"/>
    <n v="1"/>
    <s v="High"/>
    <s v="High"/>
    <s v="High"/>
  </r>
  <r>
    <n v="58"/>
    <x v="1"/>
    <s v="Non-Travel"/>
    <n v="390"/>
    <x v="1"/>
    <n v="1"/>
    <n v="4"/>
    <s v="Life Sciences"/>
    <x v="0"/>
    <n v="422"/>
    <n v="4"/>
    <s v="Male"/>
    <n v="32"/>
    <n v="1"/>
    <n v="2"/>
    <s v="Healthcare Representative"/>
    <n v="3"/>
    <s v="Divorced"/>
    <n v="5660"/>
    <n v="17056"/>
    <n v="2"/>
    <s v="Y"/>
    <x v="0"/>
    <n v="13"/>
    <n v="3"/>
    <n v="4"/>
    <n v="80"/>
    <n v="1"/>
    <n v="12"/>
    <n v="2"/>
    <n v="3"/>
    <n v="5"/>
    <n v="3"/>
    <n v="1"/>
    <n v="2"/>
    <s v="Low"/>
    <s v="Medium"/>
    <s v="Experienced"/>
  </r>
  <r>
    <n v="31"/>
    <x v="1"/>
    <s v="Travel_Rarely"/>
    <n v="691"/>
    <x v="1"/>
    <n v="5"/>
    <n v="4"/>
    <s v="Technical Degree"/>
    <x v="0"/>
    <n v="423"/>
    <n v="3"/>
    <s v="Male"/>
    <n v="86"/>
    <n v="3"/>
    <n v="1"/>
    <s v="Research Scientist"/>
    <n v="4"/>
    <s v="Married"/>
    <n v="4821"/>
    <n v="10077"/>
    <n v="0"/>
    <s v="Y"/>
    <x v="0"/>
    <n v="12"/>
    <n v="3"/>
    <n v="3"/>
    <n v="80"/>
    <n v="1"/>
    <n v="6"/>
    <n v="4"/>
    <n v="3"/>
    <n v="5"/>
    <n v="2"/>
    <n v="0"/>
    <n v="3"/>
    <s v="Low"/>
    <s v="Medium"/>
    <s v="Experienced"/>
  </r>
  <r>
    <n v="31"/>
    <x v="1"/>
    <s v="Travel_Rarely"/>
    <n v="106"/>
    <x v="2"/>
    <n v="2"/>
    <n v="3"/>
    <s v="Human Resources"/>
    <x v="0"/>
    <n v="424"/>
    <n v="1"/>
    <s v="Male"/>
    <n v="62"/>
    <n v="2"/>
    <n v="2"/>
    <s v="Human Resources"/>
    <n v="1"/>
    <s v="Married"/>
    <n v="6410"/>
    <n v="17822"/>
    <n v="3"/>
    <s v="Y"/>
    <x v="1"/>
    <n v="12"/>
    <n v="3"/>
    <n v="4"/>
    <n v="80"/>
    <n v="0"/>
    <n v="9"/>
    <n v="1"/>
    <n v="3"/>
    <n v="2"/>
    <n v="2"/>
    <n v="1"/>
    <n v="0"/>
    <s v="Low"/>
    <s v="Medium"/>
    <s v="new"/>
  </r>
  <r>
    <n v="45"/>
    <x v="1"/>
    <s v="Travel_Frequently"/>
    <n v="1249"/>
    <x v="1"/>
    <n v="7"/>
    <n v="3"/>
    <s v="Life Sciences"/>
    <x v="0"/>
    <n v="425"/>
    <n v="1"/>
    <s v="Male"/>
    <n v="97"/>
    <n v="3"/>
    <n v="3"/>
    <s v="Laboratory Technician"/>
    <n v="1"/>
    <s v="Divorced"/>
    <n v="5210"/>
    <n v="20308"/>
    <n v="1"/>
    <s v="Y"/>
    <x v="1"/>
    <n v="18"/>
    <n v="3"/>
    <n v="1"/>
    <n v="80"/>
    <n v="1"/>
    <n v="24"/>
    <n v="2"/>
    <n v="3"/>
    <n v="24"/>
    <n v="9"/>
    <n v="9"/>
    <n v="11"/>
    <s v="Low"/>
    <s v="Medium"/>
    <s v="High"/>
  </r>
  <r>
    <n v="31"/>
    <x v="1"/>
    <s v="Travel_Rarely"/>
    <n v="192"/>
    <x v="1"/>
    <n v="2"/>
    <n v="4"/>
    <s v="Life Sciences"/>
    <x v="0"/>
    <n v="426"/>
    <n v="3"/>
    <s v="Male"/>
    <n v="32"/>
    <n v="3"/>
    <n v="1"/>
    <s v="Research Scientist"/>
    <n v="4"/>
    <s v="Divorced"/>
    <n v="2695"/>
    <n v="7747"/>
    <n v="0"/>
    <s v="Y"/>
    <x v="0"/>
    <n v="18"/>
    <n v="3"/>
    <n v="2"/>
    <n v="80"/>
    <n v="1"/>
    <n v="3"/>
    <n v="2"/>
    <n v="1"/>
    <n v="2"/>
    <n v="2"/>
    <n v="2"/>
    <n v="2"/>
    <s v="Low"/>
    <s v="Low"/>
    <s v="new"/>
  </r>
  <r>
    <n v="33"/>
    <x v="1"/>
    <s v="Travel_Frequently"/>
    <n v="553"/>
    <x v="1"/>
    <n v="5"/>
    <n v="4"/>
    <s v="Life Sciences"/>
    <x v="0"/>
    <n v="428"/>
    <n v="4"/>
    <s v="Female"/>
    <n v="74"/>
    <n v="3"/>
    <n v="3"/>
    <s v="Manager"/>
    <n v="2"/>
    <s v="Married"/>
    <n v="11878"/>
    <n v="23364"/>
    <n v="6"/>
    <s v="Y"/>
    <x v="1"/>
    <n v="11"/>
    <n v="3"/>
    <n v="2"/>
    <n v="80"/>
    <n v="2"/>
    <n v="12"/>
    <n v="2"/>
    <n v="3"/>
    <n v="10"/>
    <n v="6"/>
    <n v="8"/>
    <n v="8"/>
    <s v="High"/>
    <s v="High"/>
    <s v="High"/>
  </r>
  <r>
    <n v="39"/>
    <x v="1"/>
    <s v="Travel_Rarely"/>
    <n v="117"/>
    <x v="1"/>
    <n v="10"/>
    <n v="1"/>
    <s v="Medical"/>
    <x v="0"/>
    <n v="429"/>
    <n v="3"/>
    <s v="Male"/>
    <n v="99"/>
    <n v="3"/>
    <n v="4"/>
    <s v="Manager"/>
    <n v="1"/>
    <s v="Married"/>
    <n v="17068"/>
    <n v="5355"/>
    <n v="1"/>
    <s v="Y"/>
    <x v="0"/>
    <n v="14"/>
    <n v="3"/>
    <n v="4"/>
    <n v="80"/>
    <n v="0"/>
    <n v="21"/>
    <n v="3"/>
    <n v="3"/>
    <n v="21"/>
    <n v="9"/>
    <n v="11"/>
    <n v="10"/>
    <s v="High"/>
    <s v="High"/>
    <s v="High"/>
  </r>
  <r>
    <n v="43"/>
    <x v="1"/>
    <s v="Travel_Frequently"/>
    <n v="185"/>
    <x v="1"/>
    <n v="10"/>
    <n v="4"/>
    <s v="Life Sciences"/>
    <x v="0"/>
    <n v="430"/>
    <n v="3"/>
    <s v="Female"/>
    <n v="33"/>
    <n v="3"/>
    <n v="1"/>
    <s v="Laboratory Technician"/>
    <n v="4"/>
    <s v="Single"/>
    <n v="2455"/>
    <n v="10675"/>
    <n v="0"/>
    <s v="Y"/>
    <x v="1"/>
    <n v="19"/>
    <n v="3"/>
    <n v="1"/>
    <n v="80"/>
    <n v="0"/>
    <n v="9"/>
    <n v="5"/>
    <n v="3"/>
    <n v="8"/>
    <n v="7"/>
    <n v="1"/>
    <n v="7"/>
    <s v="Low"/>
    <s v="Low"/>
    <s v="High"/>
  </r>
  <r>
    <n v="49"/>
    <x v="1"/>
    <s v="Travel_Rarely"/>
    <n v="1091"/>
    <x v="1"/>
    <n v="1"/>
    <n v="2"/>
    <s v="Technical Degree"/>
    <x v="0"/>
    <n v="431"/>
    <n v="3"/>
    <s v="Female"/>
    <n v="90"/>
    <n v="2"/>
    <n v="4"/>
    <s v="Healthcare Representative"/>
    <n v="3"/>
    <s v="Single"/>
    <n v="13964"/>
    <n v="17810"/>
    <n v="7"/>
    <s v="Y"/>
    <x v="0"/>
    <n v="12"/>
    <n v="3"/>
    <n v="4"/>
    <n v="80"/>
    <n v="0"/>
    <n v="25"/>
    <n v="2"/>
    <n v="3"/>
    <n v="7"/>
    <n v="1"/>
    <n v="0"/>
    <n v="7"/>
    <s v="High"/>
    <s v="High"/>
    <s v="Experienced"/>
  </r>
  <r>
    <n v="52"/>
    <x v="0"/>
    <s v="Travel_Rarely"/>
    <n v="723"/>
    <x v="1"/>
    <n v="8"/>
    <n v="4"/>
    <s v="Medical"/>
    <x v="0"/>
    <n v="433"/>
    <n v="3"/>
    <s v="Male"/>
    <n v="85"/>
    <n v="2"/>
    <n v="2"/>
    <s v="Research Scientist"/>
    <n v="2"/>
    <s v="Married"/>
    <n v="4941"/>
    <n v="17747"/>
    <n v="2"/>
    <s v="Y"/>
    <x v="1"/>
    <n v="15"/>
    <n v="3"/>
    <n v="1"/>
    <n v="80"/>
    <n v="0"/>
    <n v="11"/>
    <n v="3"/>
    <n v="2"/>
    <n v="8"/>
    <n v="2"/>
    <n v="7"/>
    <n v="7"/>
    <s v="Low"/>
    <s v="Medium"/>
    <s v="High"/>
  </r>
  <r>
    <n v="27"/>
    <x v="1"/>
    <s v="Travel_Rarely"/>
    <n v="1220"/>
    <x v="1"/>
    <n v="5"/>
    <n v="3"/>
    <s v="Life Sciences"/>
    <x v="0"/>
    <n v="434"/>
    <n v="3"/>
    <s v="Female"/>
    <n v="85"/>
    <n v="3"/>
    <n v="1"/>
    <s v="Research Scientist"/>
    <n v="2"/>
    <s v="Single"/>
    <n v="2478"/>
    <n v="20938"/>
    <n v="1"/>
    <s v="Y"/>
    <x v="0"/>
    <n v="12"/>
    <n v="3"/>
    <n v="2"/>
    <n v="80"/>
    <n v="0"/>
    <n v="4"/>
    <n v="2"/>
    <n v="2"/>
    <n v="4"/>
    <n v="3"/>
    <n v="1"/>
    <n v="2"/>
    <s v="Low"/>
    <s v="Low"/>
    <s v="Experienced"/>
  </r>
  <r>
    <n v="32"/>
    <x v="1"/>
    <s v="Travel_Rarely"/>
    <n v="588"/>
    <x v="0"/>
    <n v="8"/>
    <n v="2"/>
    <s v="Technical Degree"/>
    <x v="0"/>
    <n v="436"/>
    <n v="3"/>
    <s v="Female"/>
    <n v="65"/>
    <n v="2"/>
    <n v="2"/>
    <s v="Sales Executive"/>
    <n v="2"/>
    <s v="Married"/>
    <n v="5228"/>
    <n v="24624"/>
    <n v="1"/>
    <s v="Y"/>
    <x v="0"/>
    <n v="11"/>
    <n v="3"/>
    <n v="4"/>
    <n v="80"/>
    <n v="0"/>
    <n v="13"/>
    <n v="2"/>
    <n v="3"/>
    <n v="13"/>
    <n v="12"/>
    <n v="11"/>
    <n v="9"/>
    <s v="Low"/>
    <s v="Medium"/>
    <s v="High"/>
  </r>
  <r>
    <n v="27"/>
    <x v="1"/>
    <s v="Travel_Rarely"/>
    <n v="1377"/>
    <x v="0"/>
    <n v="2"/>
    <n v="3"/>
    <s v="Life Sciences"/>
    <x v="0"/>
    <n v="437"/>
    <n v="4"/>
    <s v="Male"/>
    <n v="74"/>
    <n v="3"/>
    <n v="2"/>
    <s v="Sales Executive"/>
    <n v="3"/>
    <s v="Single"/>
    <n v="4478"/>
    <n v="5242"/>
    <n v="1"/>
    <s v="Y"/>
    <x v="0"/>
    <n v="11"/>
    <n v="3"/>
    <n v="1"/>
    <n v="80"/>
    <n v="0"/>
    <n v="5"/>
    <n v="3"/>
    <n v="3"/>
    <n v="5"/>
    <n v="4"/>
    <n v="0"/>
    <n v="4"/>
    <s v="Low"/>
    <s v="Medium"/>
    <s v="Experienced"/>
  </r>
  <r>
    <n v="31"/>
    <x v="1"/>
    <s v="Travel_Rarely"/>
    <n v="691"/>
    <x v="0"/>
    <n v="7"/>
    <n v="3"/>
    <s v="Marketing"/>
    <x v="0"/>
    <n v="438"/>
    <n v="4"/>
    <s v="Male"/>
    <n v="73"/>
    <n v="3"/>
    <n v="2"/>
    <s v="Sales Executive"/>
    <n v="4"/>
    <s v="Divorced"/>
    <n v="7547"/>
    <n v="7143"/>
    <n v="4"/>
    <s v="Y"/>
    <x v="1"/>
    <n v="12"/>
    <n v="3"/>
    <n v="4"/>
    <n v="80"/>
    <n v="3"/>
    <n v="13"/>
    <n v="3"/>
    <n v="3"/>
    <n v="7"/>
    <n v="7"/>
    <n v="1"/>
    <n v="7"/>
    <s v="High"/>
    <s v="Medium"/>
    <s v="Experienced"/>
  </r>
  <r>
    <n v="32"/>
    <x v="1"/>
    <s v="Travel_Rarely"/>
    <n v="1018"/>
    <x v="1"/>
    <n v="2"/>
    <n v="4"/>
    <s v="Medical"/>
    <x v="0"/>
    <n v="439"/>
    <n v="1"/>
    <s v="Female"/>
    <n v="74"/>
    <n v="4"/>
    <n v="2"/>
    <s v="Research Scientist"/>
    <n v="4"/>
    <s v="Single"/>
    <n v="5055"/>
    <n v="10557"/>
    <n v="7"/>
    <s v="Y"/>
    <x v="1"/>
    <n v="16"/>
    <n v="3"/>
    <n v="3"/>
    <n v="80"/>
    <n v="0"/>
    <n v="10"/>
    <n v="0"/>
    <n v="2"/>
    <n v="7"/>
    <n v="7"/>
    <n v="0"/>
    <n v="7"/>
    <s v="Low"/>
    <s v="Medium"/>
    <s v="Experienced"/>
  </r>
  <r>
    <n v="28"/>
    <x v="0"/>
    <s v="Travel_Rarely"/>
    <n v="1157"/>
    <x v="1"/>
    <n v="2"/>
    <n v="4"/>
    <s v="Medical"/>
    <x v="0"/>
    <n v="440"/>
    <n v="1"/>
    <s v="Male"/>
    <n v="84"/>
    <n v="1"/>
    <n v="1"/>
    <s v="Research Scientist"/>
    <n v="4"/>
    <s v="Married"/>
    <n v="3464"/>
    <n v="24737"/>
    <n v="5"/>
    <s v="Y"/>
    <x v="0"/>
    <n v="13"/>
    <n v="3"/>
    <n v="4"/>
    <n v="80"/>
    <n v="0"/>
    <n v="5"/>
    <n v="4"/>
    <n v="2"/>
    <n v="3"/>
    <n v="2"/>
    <n v="2"/>
    <n v="2"/>
    <s v="Low"/>
    <s v="Low"/>
    <s v="Experienced"/>
  </r>
  <r>
    <n v="30"/>
    <x v="1"/>
    <s v="Travel_Rarely"/>
    <n v="1275"/>
    <x v="1"/>
    <n v="28"/>
    <n v="2"/>
    <s v="Medical"/>
    <x v="0"/>
    <n v="441"/>
    <n v="4"/>
    <s v="Female"/>
    <n v="64"/>
    <n v="3"/>
    <n v="2"/>
    <s v="Research Scientist"/>
    <n v="4"/>
    <s v="Married"/>
    <n v="5775"/>
    <n v="11934"/>
    <n v="1"/>
    <s v="Y"/>
    <x v="1"/>
    <n v="13"/>
    <n v="3"/>
    <n v="4"/>
    <n v="80"/>
    <n v="2"/>
    <n v="11"/>
    <n v="2"/>
    <n v="3"/>
    <n v="10"/>
    <n v="8"/>
    <n v="1"/>
    <n v="9"/>
    <s v="Low"/>
    <s v="Medium"/>
    <s v="High"/>
  </r>
  <r>
    <n v="31"/>
    <x v="1"/>
    <s v="Travel_Frequently"/>
    <n v="798"/>
    <x v="1"/>
    <n v="7"/>
    <n v="2"/>
    <s v="Life Sciences"/>
    <x v="0"/>
    <n v="442"/>
    <n v="3"/>
    <s v="Female"/>
    <n v="48"/>
    <n v="2"/>
    <n v="3"/>
    <s v="Manufacturing Director"/>
    <n v="3"/>
    <s v="Married"/>
    <n v="8943"/>
    <n v="14034"/>
    <n v="1"/>
    <s v="Y"/>
    <x v="1"/>
    <n v="24"/>
    <n v="4"/>
    <n v="1"/>
    <n v="80"/>
    <n v="1"/>
    <n v="10"/>
    <n v="2"/>
    <n v="3"/>
    <n v="10"/>
    <n v="9"/>
    <n v="8"/>
    <n v="9"/>
    <s v="High"/>
    <s v="High"/>
    <s v="High"/>
  </r>
  <r>
    <n v="39"/>
    <x v="1"/>
    <s v="Travel_Frequently"/>
    <n v="672"/>
    <x v="1"/>
    <n v="7"/>
    <n v="2"/>
    <s v="Medical"/>
    <x v="0"/>
    <n v="444"/>
    <n v="3"/>
    <s v="Male"/>
    <n v="54"/>
    <n v="2"/>
    <n v="5"/>
    <s v="Manager"/>
    <n v="4"/>
    <s v="Married"/>
    <n v="19272"/>
    <n v="21141"/>
    <n v="1"/>
    <s v="Y"/>
    <x v="1"/>
    <n v="15"/>
    <n v="3"/>
    <n v="1"/>
    <n v="80"/>
    <n v="1"/>
    <n v="21"/>
    <n v="2"/>
    <n v="3"/>
    <n v="21"/>
    <n v="9"/>
    <n v="13"/>
    <n v="3"/>
    <s v="High"/>
    <s v="High"/>
    <s v="High"/>
  </r>
  <r>
    <n v="39"/>
    <x v="0"/>
    <s v="Travel_Rarely"/>
    <n v="1162"/>
    <x v="0"/>
    <n v="3"/>
    <n v="2"/>
    <s v="Medical"/>
    <x v="0"/>
    <n v="445"/>
    <n v="4"/>
    <s v="Female"/>
    <n v="41"/>
    <n v="3"/>
    <n v="2"/>
    <s v="Sales Executive"/>
    <n v="3"/>
    <s v="Married"/>
    <n v="5238"/>
    <n v="17778"/>
    <n v="4"/>
    <s v="Y"/>
    <x v="0"/>
    <n v="18"/>
    <n v="3"/>
    <n v="1"/>
    <n v="80"/>
    <n v="0"/>
    <n v="12"/>
    <n v="3"/>
    <n v="2"/>
    <n v="1"/>
    <n v="0"/>
    <n v="0"/>
    <n v="0"/>
    <s v="Low"/>
    <s v="Medium"/>
    <s v="new"/>
  </r>
  <r>
    <n v="33"/>
    <x v="1"/>
    <s v="Travel_Frequently"/>
    <n v="508"/>
    <x v="0"/>
    <n v="10"/>
    <n v="3"/>
    <s v="Marketing"/>
    <x v="0"/>
    <n v="446"/>
    <n v="2"/>
    <s v="Male"/>
    <n v="46"/>
    <n v="2"/>
    <n v="2"/>
    <s v="Sales Executive"/>
    <n v="4"/>
    <s v="Single"/>
    <n v="4682"/>
    <n v="4317"/>
    <n v="3"/>
    <s v="Y"/>
    <x v="1"/>
    <n v="14"/>
    <n v="3"/>
    <n v="3"/>
    <n v="80"/>
    <n v="0"/>
    <n v="9"/>
    <n v="6"/>
    <n v="2"/>
    <n v="7"/>
    <n v="7"/>
    <n v="0"/>
    <n v="1"/>
    <s v="Low"/>
    <s v="Medium"/>
    <s v="Experienced"/>
  </r>
  <r>
    <n v="47"/>
    <x v="1"/>
    <s v="Travel_Rarely"/>
    <n v="1482"/>
    <x v="1"/>
    <n v="5"/>
    <n v="5"/>
    <s v="Life Sciences"/>
    <x v="0"/>
    <n v="447"/>
    <n v="4"/>
    <s v="Male"/>
    <n v="42"/>
    <n v="3"/>
    <n v="5"/>
    <s v="Research Director"/>
    <n v="3"/>
    <s v="Married"/>
    <n v="18300"/>
    <n v="16375"/>
    <n v="4"/>
    <s v="Y"/>
    <x v="1"/>
    <n v="11"/>
    <n v="3"/>
    <n v="2"/>
    <n v="80"/>
    <n v="1"/>
    <n v="21"/>
    <n v="2"/>
    <n v="3"/>
    <n v="3"/>
    <n v="2"/>
    <n v="1"/>
    <n v="1"/>
    <s v="High"/>
    <s v="High"/>
    <s v="Experienced"/>
  </r>
  <r>
    <n v="43"/>
    <x v="1"/>
    <s v="Travel_Frequently"/>
    <n v="559"/>
    <x v="1"/>
    <n v="10"/>
    <n v="4"/>
    <s v="Life Sciences"/>
    <x v="0"/>
    <n v="448"/>
    <n v="3"/>
    <s v="Female"/>
    <n v="82"/>
    <n v="2"/>
    <n v="2"/>
    <s v="Laboratory Technician"/>
    <n v="3"/>
    <s v="Divorced"/>
    <n v="5257"/>
    <n v="6227"/>
    <n v="1"/>
    <s v="Y"/>
    <x v="1"/>
    <n v="11"/>
    <n v="3"/>
    <n v="2"/>
    <n v="80"/>
    <n v="1"/>
    <n v="9"/>
    <n v="3"/>
    <n v="4"/>
    <n v="9"/>
    <n v="7"/>
    <n v="0"/>
    <n v="0"/>
    <s v="Low"/>
    <s v="Medium"/>
    <s v="High"/>
  </r>
  <r>
    <n v="27"/>
    <x v="1"/>
    <s v="Non-Travel"/>
    <n v="210"/>
    <x v="0"/>
    <n v="1"/>
    <n v="1"/>
    <s v="Marketing"/>
    <x v="0"/>
    <n v="449"/>
    <n v="3"/>
    <s v="Male"/>
    <n v="73"/>
    <n v="3"/>
    <n v="2"/>
    <s v="Sales Executive"/>
    <n v="2"/>
    <s v="Married"/>
    <n v="6349"/>
    <n v="22107"/>
    <n v="0"/>
    <s v="Y"/>
    <x v="0"/>
    <n v="13"/>
    <n v="3"/>
    <n v="4"/>
    <n v="80"/>
    <n v="1"/>
    <n v="6"/>
    <n v="0"/>
    <n v="3"/>
    <n v="5"/>
    <n v="4"/>
    <n v="1"/>
    <n v="4"/>
    <s v="Low"/>
    <s v="Medium"/>
    <s v="Experienced"/>
  </r>
  <r>
    <n v="54"/>
    <x v="1"/>
    <s v="Travel_Frequently"/>
    <n v="928"/>
    <x v="1"/>
    <n v="20"/>
    <n v="4"/>
    <s v="Life Sciences"/>
    <x v="0"/>
    <n v="450"/>
    <n v="4"/>
    <s v="Female"/>
    <n v="31"/>
    <n v="3"/>
    <n v="2"/>
    <s v="Research Scientist"/>
    <n v="3"/>
    <s v="Single"/>
    <n v="4869"/>
    <n v="16885"/>
    <n v="3"/>
    <s v="Y"/>
    <x v="1"/>
    <n v="12"/>
    <n v="3"/>
    <n v="4"/>
    <n v="80"/>
    <n v="0"/>
    <n v="20"/>
    <n v="4"/>
    <n v="2"/>
    <n v="4"/>
    <n v="3"/>
    <n v="0"/>
    <n v="3"/>
    <s v="Low"/>
    <s v="Medium"/>
    <s v="Experienced"/>
  </r>
  <r>
    <n v="43"/>
    <x v="1"/>
    <s v="Travel_Rarely"/>
    <n v="1001"/>
    <x v="1"/>
    <n v="7"/>
    <n v="3"/>
    <s v="Life Sciences"/>
    <x v="0"/>
    <n v="451"/>
    <n v="3"/>
    <s v="Female"/>
    <n v="43"/>
    <n v="3"/>
    <n v="3"/>
    <s v="Healthcare Representative"/>
    <n v="1"/>
    <s v="Married"/>
    <n v="9985"/>
    <n v="9262"/>
    <n v="8"/>
    <s v="Y"/>
    <x v="1"/>
    <n v="16"/>
    <n v="3"/>
    <n v="1"/>
    <n v="80"/>
    <n v="1"/>
    <n v="10"/>
    <n v="1"/>
    <n v="2"/>
    <n v="1"/>
    <n v="0"/>
    <n v="0"/>
    <n v="0"/>
    <s v="High"/>
    <s v="High"/>
    <s v="new"/>
  </r>
  <r>
    <n v="45"/>
    <x v="1"/>
    <s v="Travel_Rarely"/>
    <n v="549"/>
    <x v="1"/>
    <n v="8"/>
    <n v="4"/>
    <s v="Other"/>
    <x v="0"/>
    <n v="452"/>
    <n v="4"/>
    <s v="Male"/>
    <n v="75"/>
    <n v="3"/>
    <n v="2"/>
    <s v="Research Scientist"/>
    <n v="4"/>
    <s v="Married"/>
    <n v="3697"/>
    <n v="9278"/>
    <n v="9"/>
    <s v="Y"/>
    <x v="1"/>
    <n v="14"/>
    <n v="3"/>
    <n v="1"/>
    <n v="80"/>
    <n v="2"/>
    <n v="12"/>
    <n v="3"/>
    <n v="3"/>
    <n v="10"/>
    <n v="9"/>
    <n v="9"/>
    <n v="8"/>
    <s v="Low"/>
    <s v="Low"/>
    <s v="High"/>
  </r>
  <r>
    <n v="40"/>
    <x v="1"/>
    <s v="Travel_Rarely"/>
    <n v="1124"/>
    <x v="0"/>
    <n v="1"/>
    <n v="2"/>
    <s v="Medical"/>
    <x v="0"/>
    <n v="453"/>
    <n v="2"/>
    <s v="Male"/>
    <n v="57"/>
    <n v="1"/>
    <n v="2"/>
    <s v="Sales Executive"/>
    <n v="4"/>
    <s v="Married"/>
    <n v="7457"/>
    <n v="13273"/>
    <n v="2"/>
    <s v="Y"/>
    <x v="0"/>
    <n v="22"/>
    <n v="4"/>
    <n v="3"/>
    <n v="80"/>
    <n v="3"/>
    <n v="6"/>
    <n v="2"/>
    <n v="2"/>
    <n v="4"/>
    <n v="3"/>
    <n v="0"/>
    <n v="2"/>
    <s v="High"/>
    <s v="Medium"/>
    <s v="Experienced"/>
  </r>
  <r>
    <n v="29"/>
    <x v="0"/>
    <s v="Travel_Rarely"/>
    <n v="318"/>
    <x v="1"/>
    <n v="8"/>
    <n v="4"/>
    <s v="Other"/>
    <x v="0"/>
    <n v="454"/>
    <n v="2"/>
    <s v="Male"/>
    <n v="77"/>
    <n v="1"/>
    <n v="1"/>
    <s v="Laboratory Technician"/>
    <n v="1"/>
    <s v="Married"/>
    <n v="2119"/>
    <n v="4759"/>
    <n v="1"/>
    <s v="Y"/>
    <x v="0"/>
    <n v="11"/>
    <n v="3"/>
    <n v="4"/>
    <n v="80"/>
    <n v="0"/>
    <n v="7"/>
    <n v="4"/>
    <n v="2"/>
    <n v="7"/>
    <n v="7"/>
    <n v="0"/>
    <n v="7"/>
    <s v="Low"/>
    <s v="Low"/>
    <s v="Experienced"/>
  </r>
  <r>
    <n v="29"/>
    <x v="1"/>
    <s v="Travel_Rarely"/>
    <n v="738"/>
    <x v="1"/>
    <n v="9"/>
    <n v="5"/>
    <s v="Other"/>
    <x v="0"/>
    <n v="455"/>
    <n v="2"/>
    <s v="Male"/>
    <n v="30"/>
    <n v="2"/>
    <n v="1"/>
    <s v="Laboratory Technician"/>
    <n v="4"/>
    <s v="Single"/>
    <n v="3983"/>
    <n v="7621"/>
    <n v="0"/>
    <s v="Y"/>
    <x v="1"/>
    <n v="17"/>
    <n v="3"/>
    <n v="3"/>
    <n v="80"/>
    <n v="0"/>
    <n v="4"/>
    <n v="2"/>
    <n v="3"/>
    <n v="3"/>
    <n v="2"/>
    <n v="2"/>
    <n v="2"/>
    <s v="Low"/>
    <s v="Low"/>
    <s v="Experienced"/>
  </r>
  <r>
    <n v="30"/>
    <x v="1"/>
    <s v="Travel_Rarely"/>
    <n v="570"/>
    <x v="0"/>
    <n v="5"/>
    <n v="3"/>
    <s v="Marketing"/>
    <x v="0"/>
    <n v="456"/>
    <n v="4"/>
    <s v="Female"/>
    <n v="30"/>
    <n v="2"/>
    <n v="2"/>
    <s v="Sales Executive"/>
    <n v="3"/>
    <s v="Divorced"/>
    <n v="6118"/>
    <n v="5431"/>
    <n v="1"/>
    <s v="Y"/>
    <x v="1"/>
    <n v="13"/>
    <n v="3"/>
    <n v="3"/>
    <n v="80"/>
    <n v="3"/>
    <n v="10"/>
    <n v="2"/>
    <n v="3"/>
    <n v="10"/>
    <n v="9"/>
    <n v="1"/>
    <n v="2"/>
    <s v="Low"/>
    <s v="Medium"/>
    <s v="High"/>
  </r>
  <r>
    <n v="27"/>
    <x v="1"/>
    <s v="Travel_Rarely"/>
    <n v="1130"/>
    <x v="0"/>
    <n v="8"/>
    <n v="4"/>
    <s v="Marketing"/>
    <x v="0"/>
    <n v="458"/>
    <n v="2"/>
    <s v="Female"/>
    <n v="56"/>
    <n v="3"/>
    <n v="2"/>
    <s v="Sales Executive"/>
    <n v="2"/>
    <s v="Married"/>
    <n v="6214"/>
    <n v="3415"/>
    <n v="1"/>
    <s v="Y"/>
    <x v="1"/>
    <n v="18"/>
    <n v="3"/>
    <n v="1"/>
    <n v="80"/>
    <n v="1"/>
    <n v="8"/>
    <n v="3"/>
    <n v="3"/>
    <n v="8"/>
    <n v="7"/>
    <n v="0"/>
    <n v="7"/>
    <s v="Low"/>
    <s v="Medium"/>
    <s v="High"/>
  </r>
  <r>
    <n v="37"/>
    <x v="1"/>
    <s v="Travel_Rarely"/>
    <n v="1192"/>
    <x v="1"/>
    <n v="5"/>
    <n v="2"/>
    <s v="Medical"/>
    <x v="0"/>
    <n v="460"/>
    <n v="4"/>
    <s v="Male"/>
    <n v="61"/>
    <n v="3"/>
    <n v="2"/>
    <s v="Manufacturing Director"/>
    <n v="4"/>
    <s v="Divorced"/>
    <n v="6347"/>
    <n v="23177"/>
    <n v="7"/>
    <s v="Y"/>
    <x v="1"/>
    <n v="16"/>
    <n v="3"/>
    <n v="3"/>
    <n v="80"/>
    <n v="2"/>
    <n v="8"/>
    <n v="2"/>
    <n v="2"/>
    <n v="6"/>
    <n v="2"/>
    <n v="0"/>
    <n v="4"/>
    <s v="Low"/>
    <s v="Medium"/>
    <s v="Experienced"/>
  </r>
  <r>
    <n v="38"/>
    <x v="1"/>
    <s v="Travel_Rarely"/>
    <n v="343"/>
    <x v="1"/>
    <n v="15"/>
    <n v="2"/>
    <s v="Life Sciences"/>
    <x v="0"/>
    <n v="461"/>
    <n v="3"/>
    <s v="Male"/>
    <n v="92"/>
    <n v="2"/>
    <n v="3"/>
    <s v="Research Director"/>
    <n v="4"/>
    <s v="Divorced"/>
    <n v="11510"/>
    <n v="15682"/>
    <n v="0"/>
    <s v="Y"/>
    <x v="0"/>
    <n v="14"/>
    <n v="3"/>
    <n v="2"/>
    <n v="80"/>
    <n v="1"/>
    <n v="12"/>
    <n v="3"/>
    <n v="3"/>
    <n v="11"/>
    <n v="10"/>
    <n v="2"/>
    <n v="9"/>
    <s v="High"/>
    <s v="High"/>
    <s v="High"/>
  </r>
  <r>
    <n v="31"/>
    <x v="1"/>
    <s v="Travel_Rarely"/>
    <n v="1232"/>
    <x v="1"/>
    <n v="7"/>
    <n v="4"/>
    <s v="Medical"/>
    <x v="0"/>
    <n v="462"/>
    <n v="3"/>
    <s v="Female"/>
    <n v="39"/>
    <n v="3"/>
    <n v="3"/>
    <s v="Manufacturing Director"/>
    <n v="4"/>
    <s v="Single"/>
    <n v="7143"/>
    <n v="25713"/>
    <n v="1"/>
    <s v="Y"/>
    <x v="0"/>
    <n v="14"/>
    <n v="3"/>
    <n v="3"/>
    <n v="80"/>
    <n v="0"/>
    <n v="11"/>
    <n v="2"/>
    <n v="2"/>
    <n v="11"/>
    <n v="9"/>
    <n v="4"/>
    <n v="10"/>
    <s v="High"/>
    <s v="Medium"/>
    <s v="High"/>
  </r>
  <r>
    <n v="29"/>
    <x v="1"/>
    <s v="Travel_Rarely"/>
    <n v="144"/>
    <x v="0"/>
    <n v="10"/>
    <n v="1"/>
    <s v="Marketing"/>
    <x v="0"/>
    <n v="463"/>
    <n v="4"/>
    <s v="Female"/>
    <n v="39"/>
    <n v="2"/>
    <n v="2"/>
    <s v="Sales Executive"/>
    <n v="2"/>
    <s v="Divorced"/>
    <n v="8268"/>
    <n v="11866"/>
    <n v="1"/>
    <s v="Y"/>
    <x v="0"/>
    <n v="14"/>
    <n v="3"/>
    <n v="1"/>
    <n v="80"/>
    <n v="2"/>
    <n v="7"/>
    <n v="2"/>
    <n v="3"/>
    <n v="7"/>
    <n v="7"/>
    <n v="1"/>
    <n v="7"/>
    <s v="High"/>
    <s v="High"/>
    <s v="Experienced"/>
  </r>
  <r>
    <n v="35"/>
    <x v="1"/>
    <s v="Travel_Rarely"/>
    <n v="1296"/>
    <x v="1"/>
    <n v="5"/>
    <n v="4"/>
    <s v="Technical Degree"/>
    <x v="0"/>
    <n v="464"/>
    <n v="3"/>
    <s v="Male"/>
    <n v="62"/>
    <n v="3"/>
    <n v="3"/>
    <s v="Manufacturing Director"/>
    <n v="2"/>
    <s v="Single"/>
    <n v="8095"/>
    <n v="18264"/>
    <n v="0"/>
    <s v="Y"/>
    <x v="1"/>
    <n v="13"/>
    <n v="3"/>
    <n v="4"/>
    <n v="80"/>
    <n v="0"/>
    <n v="17"/>
    <n v="5"/>
    <n v="3"/>
    <n v="16"/>
    <n v="6"/>
    <n v="0"/>
    <n v="13"/>
    <s v="High"/>
    <s v="High"/>
    <s v="High"/>
  </r>
  <r>
    <n v="23"/>
    <x v="1"/>
    <s v="Travel_Rarely"/>
    <n v="1309"/>
    <x v="1"/>
    <n v="26"/>
    <n v="1"/>
    <s v="Life Sciences"/>
    <x v="0"/>
    <n v="465"/>
    <n v="3"/>
    <s v="Male"/>
    <n v="83"/>
    <n v="3"/>
    <n v="1"/>
    <s v="Research Scientist"/>
    <n v="4"/>
    <s v="Divorced"/>
    <n v="2904"/>
    <n v="16092"/>
    <n v="1"/>
    <s v="Y"/>
    <x v="1"/>
    <n v="12"/>
    <n v="3"/>
    <n v="3"/>
    <n v="80"/>
    <n v="2"/>
    <n v="4"/>
    <n v="2"/>
    <n v="2"/>
    <n v="4"/>
    <n v="2"/>
    <n v="0"/>
    <n v="2"/>
    <s v="Low"/>
    <s v="Low"/>
    <s v="Experienced"/>
  </r>
  <r>
    <n v="41"/>
    <x v="1"/>
    <s v="Travel_Rarely"/>
    <n v="483"/>
    <x v="1"/>
    <n v="6"/>
    <n v="3"/>
    <s v="Medical"/>
    <x v="0"/>
    <n v="466"/>
    <n v="4"/>
    <s v="Male"/>
    <n v="95"/>
    <n v="2"/>
    <n v="2"/>
    <s v="Manufacturing Director"/>
    <n v="2"/>
    <s v="Single"/>
    <n v="6032"/>
    <n v="10110"/>
    <n v="6"/>
    <s v="Y"/>
    <x v="0"/>
    <n v="15"/>
    <n v="3"/>
    <n v="4"/>
    <n v="80"/>
    <n v="0"/>
    <n v="8"/>
    <n v="3"/>
    <n v="3"/>
    <n v="5"/>
    <n v="4"/>
    <n v="1"/>
    <n v="2"/>
    <s v="Low"/>
    <s v="Medium"/>
    <s v="Experienced"/>
  </r>
  <r>
    <n v="47"/>
    <x v="1"/>
    <s v="Travel_Frequently"/>
    <n v="1309"/>
    <x v="0"/>
    <n v="4"/>
    <n v="1"/>
    <s v="Medical"/>
    <x v="0"/>
    <n v="467"/>
    <n v="2"/>
    <s v="Male"/>
    <n v="99"/>
    <n v="3"/>
    <n v="2"/>
    <s v="Sales Representative"/>
    <n v="3"/>
    <s v="Single"/>
    <n v="2976"/>
    <n v="25751"/>
    <n v="3"/>
    <s v="Y"/>
    <x v="1"/>
    <n v="19"/>
    <n v="3"/>
    <n v="1"/>
    <n v="80"/>
    <n v="0"/>
    <n v="5"/>
    <n v="3"/>
    <n v="3"/>
    <n v="0"/>
    <n v="0"/>
    <n v="0"/>
    <n v="0"/>
    <s v="Low"/>
    <s v="Low"/>
    <s v="new"/>
  </r>
  <r>
    <n v="42"/>
    <x v="1"/>
    <s v="Travel_Rarely"/>
    <n v="810"/>
    <x v="1"/>
    <n v="23"/>
    <n v="5"/>
    <s v="Life Sciences"/>
    <x v="0"/>
    <n v="468"/>
    <n v="1"/>
    <s v="Female"/>
    <n v="44"/>
    <n v="3"/>
    <n v="4"/>
    <s v="Research Director"/>
    <n v="4"/>
    <s v="Single"/>
    <n v="15992"/>
    <n v="15901"/>
    <n v="2"/>
    <s v="Y"/>
    <x v="1"/>
    <n v="14"/>
    <n v="3"/>
    <n v="2"/>
    <n v="80"/>
    <n v="0"/>
    <n v="16"/>
    <n v="2"/>
    <n v="3"/>
    <n v="1"/>
    <n v="0"/>
    <n v="0"/>
    <n v="0"/>
    <s v="High"/>
    <s v="High"/>
    <s v="new"/>
  </r>
  <r>
    <n v="29"/>
    <x v="1"/>
    <s v="Non-Travel"/>
    <n v="746"/>
    <x v="0"/>
    <n v="2"/>
    <n v="3"/>
    <s v="Life Sciences"/>
    <x v="0"/>
    <n v="469"/>
    <n v="4"/>
    <s v="Male"/>
    <n v="61"/>
    <n v="3"/>
    <n v="2"/>
    <s v="Sales Executive"/>
    <n v="3"/>
    <s v="Married"/>
    <n v="4649"/>
    <n v="16928"/>
    <n v="1"/>
    <s v="Y"/>
    <x v="1"/>
    <n v="14"/>
    <n v="3"/>
    <n v="1"/>
    <n v="80"/>
    <n v="1"/>
    <n v="4"/>
    <n v="3"/>
    <n v="2"/>
    <n v="4"/>
    <n v="3"/>
    <n v="0"/>
    <n v="2"/>
    <s v="Low"/>
    <s v="Medium"/>
    <s v="Experienced"/>
  </r>
  <r>
    <n v="42"/>
    <x v="1"/>
    <s v="Travel_Rarely"/>
    <n v="544"/>
    <x v="2"/>
    <n v="2"/>
    <n v="1"/>
    <s v="Technical Degree"/>
    <x v="0"/>
    <n v="470"/>
    <n v="3"/>
    <s v="Male"/>
    <n v="52"/>
    <n v="3"/>
    <n v="1"/>
    <s v="Human Resources"/>
    <n v="3"/>
    <s v="Divorced"/>
    <n v="2696"/>
    <n v="24017"/>
    <n v="0"/>
    <s v="Y"/>
    <x v="0"/>
    <n v="11"/>
    <n v="3"/>
    <n v="3"/>
    <n v="80"/>
    <n v="1"/>
    <n v="4"/>
    <n v="5"/>
    <n v="3"/>
    <n v="3"/>
    <n v="2"/>
    <n v="1"/>
    <n v="0"/>
    <s v="Low"/>
    <s v="Low"/>
    <s v="Experienced"/>
  </r>
  <r>
    <n v="32"/>
    <x v="1"/>
    <s v="Travel_Rarely"/>
    <n v="1062"/>
    <x v="1"/>
    <n v="2"/>
    <n v="3"/>
    <s v="Medical"/>
    <x v="0"/>
    <n v="471"/>
    <n v="3"/>
    <s v="Female"/>
    <n v="75"/>
    <n v="3"/>
    <n v="1"/>
    <s v="Laboratory Technician"/>
    <n v="2"/>
    <s v="Married"/>
    <n v="2370"/>
    <n v="3956"/>
    <n v="1"/>
    <s v="Y"/>
    <x v="1"/>
    <n v="13"/>
    <n v="3"/>
    <n v="3"/>
    <n v="80"/>
    <n v="1"/>
    <n v="8"/>
    <n v="4"/>
    <n v="3"/>
    <n v="8"/>
    <n v="0"/>
    <n v="0"/>
    <n v="7"/>
    <s v="Low"/>
    <s v="Low"/>
    <s v="High"/>
  </r>
  <r>
    <n v="48"/>
    <x v="1"/>
    <s v="Travel_Rarely"/>
    <n v="530"/>
    <x v="0"/>
    <n v="29"/>
    <n v="1"/>
    <s v="Medical"/>
    <x v="0"/>
    <n v="473"/>
    <n v="1"/>
    <s v="Female"/>
    <n v="91"/>
    <n v="3"/>
    <n v="3"/>
    <s v="Manager"/>
    <n v="3"/>
    <s v="Married"/>
    <n v="12504"/>
    <n v="23978"/>
    <n v="3"/>
    <s v="Y"/>
    <x v="1"/>
    <n v="21"/>
    <n v="4"/>
    <n v="2"/>
    <n v="80"/>
    <n v="1"/>
    <n v="15"/>
    <n v="3"/>
    <n v="1"/>
    <n v="0"/>
    <n v="0"/>
    <n v="0"/>
    <n v="0"/>
    <s v="High"/>
    <s v="High"/>
    <s v="new"/>
  </r>
  <r>
    <n v="37"/>
    <x v="1"/>
    <s v="Travel_Rarely"/>
    <n v="1319"/>
    <x v="1"/>
    <n v="6"/>
    <n v="3"/>
    <s v="Medical"/>
    <x v="0"/>
    <n v="474"/>
    <n v="3"/>
    <s v="Male"/>
    <n v="51"/>
    <n v="4"/>
    <n v="2"/>
    <s v="Research Scientist"/>
    <n v="1"/>
    <s v="Divorced"/>
    <n v="5974"/>
    <n v="17001"/>
    <n v="4"/>
    <s v="Y"/>
    <x v="0"/>
    <n v="13"/>
    <n v="3"/>
    <n v="1"/>
    <n v="80"/>
    <n v="2"/>
    <n v="13"/>
    <n v="2"/>
    <n v="3"/>
    <n v="7"/>
    <n v="7"/>
    <n v="6"/>
    <n v="7"/>
    <s v="Low"/>
    <s v="Medium"/>
    <s v="Experienced"/>
  </r>
  <r>
    <n v="30"/>
    <x v="1"/>
    <s v="Non-Travel"/>
    <n v="641"/>
    <x v="0"/>
    <n v="25"/>
    <n v="2"/>
    <s v="Technical Degree"/>
    <x v="0"/>
    <n v="475"/>
    <n v="4"/>
    <s v="Female"/>
    <n v="85"/>
    <n v="3"/>
    <n v="2"/>
    <s v="Sales Executive"/>
    <n v="3"/>
    <s v="Married"/>
    <n v="4736"/>
    <n v="6069"/>
    <n v="7"/>
    <s v="Y"/>
    <x v="0"/>
    <n v="12"/>
    <n v="3"/>
    <n v="2"/>
    <n v="80"/>
    <n v="1"/>
    <n v="4"/>
    <n v="2"/>
    <n v="4"/>
    <n v="2"/>
    <n v="2"/>
    <n v="2"/>
    <n v="2"/>
    <s v="Low"/>
    <s v="Medium"/>
    <s v="new"/>
  </r>
  <r>
    <n v="26"/>
    <x v="1"/>
    <s v="Travel_Rarely"/>
    <n v="933"/>
    <x v="0"/>
    <n v="1"/>
    <n v="3"/>
    <s v="Life Sciences"/>
    <x v="0"/>
    <n v="476"/>
    <n v="3"/>
    <s v="Male"/>
    <n v="57"/>
    <n v="3"/>
    <n v="2"/>
    <s v="Sales Executive"/>
    <n v="3"/>
    <s v="Married"/>
    <n v="5296"/>
    <n v="20156"/>
    <n v="1"/>
    <s v="Y"/>
    <x v="1"/>
    <n v="17"/>
    <n v="3"/>
    <n v="2"/>
    <n v="80"/>
    <n v="1"/>
    <n v="8"/>
    <n v="3"/>
    <n v="3"/>
    <n v="8"/>
    <n v="7"/>
    <n v="7"/>
    <n v="7"/>
    <s v="Low"/>
    <s v="Medium"/>
    <s v="High"/>
  </r>
  <r>
    <n v="42"/>
    <x v="1"/>
    <s v="Travel_Rarely"/>
    <n v="1332"/>
    <x v="1"/>
    <n v="2"/>
    <n v="4"/>
    <s v="Other"/>
    <x v="0"/>
    <n v="477"/>
    <n v="1"/>
    <s v="Male"/>
    <n v="98"/>
    <n v="2"/>
    <n v="2"/>
    <s v="Healthcare Representative"/>
    <n v="4"/>
    <s v="Single"/>
    <n v="6781"/>
    <n v="17078"/>
    <n v="3"/>
    <s v="Y"/>
    <x v="1"/>
    <n v="23"/>
    <n v="4"/>
    <n v="2"/>
    <n v="80"/>
    <n v="0"/>
    <n v="14"/>
    <n v="6"/>
    <n v="3"/>
    <n v="1"/>
    <n v="0"/>
    <n v="0"/>
    <n v="0"/>
    <s v="High"/>
    <s v="Medium"/>
    <s v="new"/>
  </r>
  <r>
    <n v="21"/>
    <x v="0"/>
    <s v="Travel_Frequently"/>
    <n v="756"/>
    <x v="0"/>
    <n v="1"/>
    <n v="1"/>
    <s v="Technical Degree"/>
    <x v="0"/>
    <n v="478"/>
    <n v="1"/>
    <s v="Female"/>
    <n v="99"/>
    <n v="2"/>
    <n v="1"/>
    <s v="Sales Representative"/>
    <n v="2"/>
    <s v="Single"/>
    <n v="2174"/>
    <n v="9150"/>
    <n v="1"/>
    <s v="Y"/>
    <x v="0"/>
    <n v="11"/>
    <n v="3"/>
    <n v="3"/>
    <n v="80"/>
    <n v="0"/>
    <n v="3"/>
    <n v="3"/>
    <n v="3"/>
    <n v="3"/>
    <n v="2"/>
    <n v="1"/>
    <n v="2"/>
    <s v="Low"/>
    <s v="Low"/>
    <s v="Experienced"/>
  </r>
  <r>
    <n v="36"/>
    <x v="1"/>
    <s v="Non-Travel"/>
    <n v="845"/>
    <x v="0"/>
    <n v="1"/>
    <n v="5"/>
    <s v="Medical"/>
    <x v="0"/>
    <n v="479"/>
    <n v="4"/>
    <s v="Female"/>
    <n v="45"/>
    <n v="3"/>
    <n v="2"/>
    <s v="Sales Executive"/>
    <n v="4"/>
    <s v="Single"/>
    <n v="6653"/>
    <n v="15276"/>
    <n v="4"/>
    <s v="Y"/>
    <x v="1"/>
    <n v="15"/>
    <n v="3"/>
    <n v="2"/>
    <n v="80"/>
    <n v="0"/>
    <n v="7"/>
    <n v="6"/>
    <n v="3"/>
    <n v="1"/>
    <n v="0"/>
    <n v="0"/>
    <n v="0"/>
    <s v="High"/>
    <s v="Medium"/>
    <s v="new"/>
  </r>
  <r>
    <n v="36"/>
    <x v="1"/>
    <s v="Travel_Frequently"/>
    <n v="541"/>
    <x v="0"/>
    <n v="3"/>
    <n v="4"/>
    <s v="Medical"/>
    <x v="0"/>
    <n v="481"/>
    <n v="1"/>
    <s v="Male"/>
    <n v="48"/>
    <n v="2"/>
    <n v="3"/>
    <s v="Sales Executive"/>
    <n v="4"/>
    <s v="Married"/>
    <n v="9699"/>
    <n v="7246"/>
    <n v="4"/>
    <s v="Y"/>
    <x v="1"/>
    <n v="11"/>
    <n v="3"/>
    <n v="1"/>
    <n v="80"/>
    <n v="1"/>
    <n v="16"/>
    <n v="2"/>
    <n v="3"/>
    <n v="13"/>
    <n v="9"/>
    <n v="1"/>
    <n v="12"/>
    <s v="High"/>
    <s v="High"/>
    <s v="High"/>
  </r>
  <r>
    <n v="57"/>
    <x v="1"/>
    <s v="Travel_Rarely"/>
    <n v="593"/>
    <x v="1"/>
    <n v="1"/>
    <n v="4"/>
    <s v="Medical"/>
    <x v="0"/>
    <n v="482"/>
    <n v="4"/>
    <s v="Male"/>
    <n v="88"/>
    <n v="3"/>
    <n v="2"/>
    <s v="Healthcare Representative"/>
    <n v="3"/>
    <s v="Married"/>
    <n v="6755"/>
    <n v="2967"/>
    <n v="2"/>
    <s v="Y"/>
    <x v="1"/>
    <n v="11"/>
    <n v="3"/>
    <n v="3"/>
    <n v="80"/>
    <n v="0"/>
    <n v="15"/>
    <n v="2"/>
    <n v="3"/>
    <n v="3"/>
    <n v="2"/>
    <n v="1"/>
    <n v="2"/>
    <s v="High"/>
    <s v="Medium"/>
    <s v="Experienced"/>
  </r>
  <r>
    <n v="40"/>
    <x v="1"/>
    <s v="Travel_Rarely"/>
    <n v="1171"/>
    <x v="1"/>
    <n v="10"/>
    <n v="4"/>
    <s v="Life Sciences"/>
    <x v="0"/>
    <n v="483"/>
    <n v="4"/>
    <s v="Female"/>
    <n v="46"/>
    <n v="4"/>
    <n v="1"/>
    <s v="Laboratory Technician"/>
    <n v="3"/>
    <s v="Married"/>
    <n v="2213"/>
    <n v="22495"/>
    <n v="3"/>
    <s v="Y"/>
    <x v="0"/>
    <n v="13"/>
    <n v="3"/>
    <n v="3"/>
    <n v="80"/>
    <n v="1"/>
    <n v="10"/>
    <n v="3"/>
    <n v="3"/>
    <n v="7"/>
    <n v="7"/>
    <n v="1"/>
    <n v="7"/>
    <s v="Low"/>
    <s v="Low"/>
    <s v="Experienced"/>
  </r>
  <r>
    <n v="21"/>
    <x v="1"/>
    <s v="Non-Travel"/>
    <n v="895"/>
    <x v="0"/>
    <n v="9"/>
    <n v="2"/>
    <s v="Medical"/>
    <x v="0"/>
    <n v="484"/>
    <n v="1"/>
    <s v="Male"/>
    <n v="39"/>
    <n v="3"/>
    <n v="1"/>
    <s v="Sales Representative"/>
    <n v="4"/>
    <s v="Single"/>
    <n v="2610"/>
    <n v="2851"/>
    <n v="1"/>
    <s v="Y"/>
    <x v="1"/>
    <n v="24"/>
    <n v="4"/>
    <n v="3"/>
    <n v="80"/>
    <n v="0"/>
    <n v="3"/>
    <n v="3"/>
    <n v="2"/>
    <n v="3"/>
    <n v="2"/>
    <n v="2"/>
    <n v="2"/>
    <s v="Low"/>
    <s v="Low"/>
    <s v="Experienced"/>
  </r>
  <r>
    <n v="33"/>
    <x v="0"/>
    <s v="Travel_Rarely"/>
    <n v="350"/>
    <x v="0"/>
    <n v="5"/>
    <n v="3"/>
    <s v="Marketing"/>
    <x v="0"/>
    <n v="485"/>
    <n v="4"/>
    <s v="Female"/>
    <n v="34"/>
    <n v="3"/>
    <n v="1"/>
    <s v="Sales Representative"/>
    <n v="3"/>
    <s v="Single"/>
    <n v="2851"/>
    <n v="9150"/>
    <n v="1"/>
    <s v="Y"/>
    <x v="0"/>
    <n v="13"/>
    <n v="3"/>
    <n v="2"/>
    <n v="80"/>
    <n v="0"/>
    <n v="1"/>
    <n v="2"/>
    <n v="3"/>
    <n v="1"/>
    <n v="0"/>
    <n v="0"/>
    <n v="0"/>
    <s v="Low"/>
    <s v="Low"/>
    <s v="new"/>
  </r>
  <r>
    <n v="37"/>
    <x v="1"/>
    <s v="Travel_Rarely"/>
    <n v="921"/>
    <x v="1"/>
    <n v="10"/>
    <n v="3"/>
    <s v="Medical"/>
    <x v="0"/>
    <n v="486"/>
    <n v="3"/>
    <s v="Female"/>
    <n v="98"/>
    <n v="3"/>
    <n v="1"/>
    <s v="Laboratory Technician"/>
    <n v="1"/>
    <s v="Married"/>
    <n v="3452"/>
    <n v="17663"/>
    <n v="6"/>
    <s v="Y"/>
    <x v="1"/>
    <n v="20"/>
    <n v="4"/>
    <n v="2"/>
    <n v="80"/>
    <n v="1"/>
    <n v="17"/>
    <n v="3"/>
    <n v="3"/>
    <n v="5"/>
    <n v="4"/>
    <n v="0"/>
    <n v="3"/>
    <s v="Low"/>
    <s v="Low"/>
    <s v="Experienced"/>
  </r>
  <r>
    <n v="46"/>
    <x v="1"/>
    <s v="Non-Travel"/>
    <n v="1144"/>
    <x v="1"/>
    <n v="7"/>
    <n v="4"/>
    <s v="Medical"/>
    <x v="0"/>
    <n v="487"/>
    <n v="3"/>
    <s v="Female"/>
    <n v="30"/>
    <n v="3"/>
    <n v="2"/>
    <s v="Manufacturing Director"/>
    <n v="3"/>
    <s v="Married"/>
    <n v="5258"/>
    <n v="16044"/>
    <n v="2"/>
    <s v="Y"/>
    <x v="1"/>
    <n v="14"/>
    <n v="3"/>
    <n v="3"/>
    <n v="80"/>
    <n v="0"/>
    <n v="7"/>
    <n v="2"/>
    <n v="4"/>
    <n v="1"/>
    <n v="0"/>
    <n v="0"/>
    <n v="0"/>
    <s v="Low"/>
    <s v="Medium"/>
    <s v="new"/>
  </r>
  <r>
    <n v="41"/>
    <x v="0"/>
    <s v="Travel_Frequently"/>
    <n v="143"/>
    <x v="0"/>
    <n v="4"/>
    <n v="3"/>
    <s v="Marketing"/>
    <x v="0"/>
    <n v="488"/>
    <n v="1"/>
    <s v="Male"/>
    <n v="56"/>
    <n v="3"/>
    <n v="2"/>
    <s v="Sales Executive"/>
    <n v="2"/>
    <s v="Single"/>
    <n v="9355"/>
    <n v="9558"/>
    <n v="1"/>
    <s v="Y"/>
    <x v="1"/>
    <n v="18"/>
    <n v="3"/>
    <n v="3"/>
    <n v="80"/>
    <n v="0"/>
    <n v="8"/>
    <n v="5"/>
    <n v="3"/>
    <n v="8"/>
    <n v="7"/>
    <n v="7"/>
    <n v="7"/>
    <s v="High"/>
    <s v="High"/>
    <s v="High"/>
  </r>
  <r>
    <n v="50"/>
    <x v="1"/>
    <s v="Travel_Rarely"/>
    <n v="1046"/>
    <x v="1"/>
    <n v="10"/>
    <n v="3"/>
    <s v="Technical Degree"/>
    <x v="0"/>
    <n v="491"/>
    <n v="4"/>
    <s v="Male"/>
    <n v="100"/>
    <n v="2"/>
    <n v="3"/>
    <s v="Healthcare Representative"/>
    <n v="4"/>
    <s v="Single"/>
    <n v="10496"/>
    <n v="2755"/>
    <n v="6"/>
    <s v="Y"/>
    <x v="1"/>
    <n v="15"/>
    <n v="3"/>
    <n v="4"/>
    <n v="80"/>
    <n v="0"/>
    <n v="20"/>
    <n v="2"/>
    <n v="3"/>
    <n v="4"/>
    <n v="3"/>
    <n v="1"/>
    <n v="3"/>
    <s v="High"/>
    <s v="High"/>
    <s v="Experienced"/>
  </r>
  <r>
    <n v="40"/>
    <x v="0"/>
    <s v="Travel_Rarely"/>
    <n v="575"/>
    <x v="0"/>
    <n v="22"/>
    <n v="2"/>
    <s v="Marketing"/>
    <x v="0"/>
    <n v="492"/>
    <n v="3"/>
    <s v="Male"/>
    <n v="68"/>
    <n v="2"/>
    <n v="2"/>
    <s v="Sales Executive"/>
    <n v="3"/>
    <s v="Married"/>
    <n v="6380"/>
    <n v="6110"/>
    <n v="2"/>
    <s v="Y"/>
    <x v="0"/>
    <n v="12"/>
    <n v="3"/>
    <n v="1"/>
    <n v="80"/>
    <n v="2"/>
    <n v="8"/>
    <n v="6"/>
    <n v="3"/>
    <n v="6"/>
    <n v="4"/>
    <n v="1"/>
    <n v="0"/>
    <s v="Low"/>
    <s v="Medium"/>
    <s v="Experienced"/>
  </r>
  <r>
    <n v="31"/>
    <x v="1"/>
    <s v="Travel_Rarely"/>
    <n v="408"/>
    <x v="1"/>
    <n v="9"/>
    <n v="4"/>
    <s v="Life Sciences"/>
    <x v="0"/>
    <n v="493"/>
    <n v="3"/>
    <s v="Male"/>
    <n v="42"/>
    <n v="2"/>
    <n v="1"/>
    <s v="Research Scientist"/>
    <n v="2"/>
    <s v="Single"/>
    <n v="2657"/>
    <n v="7551"/>
    <n v="0"/>
    <s v="Y"/>
    <x v="0"/>
    <n v="16"/>
    <n v="3"/>
    <n v="4"/>
    <n v="80"/>
    <n v="0"/>
    <n v="3"/>
    <n v="5"/>
    <n v="3"/>
    <n v="2"/>
    <n v="2"/>
    <n v="2"/>
    <n v="2"/>
    <s v="Low"/>
    <s v="Low"/>
    <s v="new"/>
  </r>
  <r>
    <n v="21"/>
    <x v="0"/>
    <s v="Travel_Rarely"/>
    <n v="156"/>
    <x v="0"/>
    <n v="12"/>
    <n v="3"/>
    <s v="Life Sciences"/>
    <x v="0"/>
    <n v="494"/>
    <n v="3"/>
    <s v="Female"/>
    <n v="90"/>
    <n v="4"/>
    <n v="1"/>
    <s v="Sales Representative"/>
    <n v="2"/>
    <s v="Single"/>
    <n v="2716"/>
    <n v="25422"/>
    <n v="1"/>
    <s v="Y"/>
    <x v="1"/>
    <n v="15"/>
    <n v="3"/>
    <n v="4"/>
    <n v="80"/>
    <n v="0"/>
    <n v="1"/>
    <n v="0"/>
    <n v="3"/>
    <n v="1"/>
    <n v="0"/>
    <n v="0"/>
    <n v="0"/>
    <s v="Low"/>
    <s v="Low"/>
    <s v="new"/>
  </r>
  <r>
    <n v="29"/>
    <x v="1"/>
    <s v="Travel_Rarely"/>
    <n v="1283"/>
    <x v="1"/>
    <n v="23"/>
    <n v="3"/>
    <s v="Life Sciences"/>
    <x v="0"/>
    <n v="495"/>
    <n v="4"/>
    <s v="Male"/>
    <n v="54"/>
    <n v="3"/>
    <n v="1"/>
    <s v="Research Scientist"/>
    <n v="4"/>
    <s v="Single"/>
    <n v="2201"/>
    <n v="18168"/>
    <n v="9"/>
    <s v="Y"/>
    <x v="1"/>
    <n v="16"/>
    <n v="3"/>
    <n v="4"/>
    <n v="80"/>
    <n v="0"/>
    <n v="6"/>
    <n v="4"/>
    <n v="3"/>
    <n v="3"/>
    <n v="2"/>
    <n v="1"/>
    <n v="2"/>
    <s v="Low"/>
    <s v="Low"/>
    <s v="Experienced"/>
  </r>
  <r>
    <n v="35"/>
    <x v="1"/>
    <s v="Travel_Rarely"/>
    <n v="755"/>
    <x v="1"/>
    <n v="9"/>
    <n v="4"/>
    <s v="Life Sciences"/>
    <x v="0"/>
    <n v="496"/>
    <n v="3"/>
    <s v="Male"/>
    <n v="97"/>
    <n v="2"/>
    <n v="2"/>
    <s v="Healthcare Representative"/>
    <n v="2"/>
    <s v="Single"/>
    <n v="6540"/>
    <n v="19394"/>
    <n v="9"/>
    <s v="Y"/>
    <x v="1"/>
    <n v="19"/>
    <n v="3"/>
    <n v="3"/>
    <n v="80"/>
    <n v="0"/>
    <n v="10"/>
    <n v="5"/>
    <n v="3"/>
    <n v="1"/>
    <n v="1"/>
    <n v="0"/>
    <n v="0"/>
    <s v="High"/>
    <s v="Medium"/>
    <s v="new"/>
  </r>
  <r>
    <n v="27"/>
    <x v="1"/>
    <s v="Travel_Rarely"/>
    <n v="1469"/>
    <x v="1"/>
    <n v="1"/>
    <n v="2"/>
    <s v="Medical"/>
    <x v="0"/>
    <n v="497"/>
    <n v="4"/>
    <s v="Male"/>
    <n v="82"/>
    <n v="3"/>
    <n v="1"/>
    <s v="Laboratory Technician"/>
    <n v="2"/>
    <s v="Divorced"/>
    <n v="3816"/>
    <n v="17881"/>
    <n v="1"/>
    <s v="Y"/>
    <x v="1"/>
    <n v="11"/>
    <n v="3"/>
    <n v="2"/>
    <n v="80"/>
    <n v="1"/>
    <n v="5"/>
    <n v="2"/>
    <n v="3"/>
    <n v="5"/>
    <n v="2"/>
    <n v="0"/>
    <n v="4"/>
    <s v="Low"/>
    <s v="Low"/>
    <s v="Experienced"/>
  </r>
  <r>
    <n v="28"/>
    <x v="1"/>
    <s v="Travel_Rarely"/>
    <n v="304"/>
    <x v="0"/>
    <n v="9"/>
    <n v="4"/>
    <s v="Life Sciences"/>
    <x v="0"/>
    <n v="498"/>
    <n v="2"/>
    <s v="Male"/>
    <n v="92"/>
    <n v="3"/>
    <n v="2"/>
    <s v="Sales Executive"/>
    <n v="4"/>
    <s v="Single"/>
    <n v="5253"/>
    <n v="20750"/>
    <n v="1"/>
    <s v="Y"/>
    <x v="1"/>
    <n v="16"/>
    <n v="3"/>
    <n v="4"/>
    <n v="80"/>
    <n v="0"/>
    <n v="7"/>
    <n v="1"/>
    <n v="3"/>
    <n v="7"/>
    <n v="5"/>
    <n v="0"/>
    <n v="7"/>
    <s v="Low"/>
    <s v="Medium"/>
    <s v="Experienced"/>
  </r>
  <r>
    <n v="49"/>
    <x v="1"/>
    <s v="Travel_Rarely"/>
    <n v="1261"/>
    <x v="1"/>
    <n v="7"/>
    <n v="3"/>
    <s v="Other"/>
    <x v="0"/>
    <n v="499"/>
    <n v="2"/>
    <s v="Male"/>
    <n v="31"/>
    <n v="2"/>
    <n v="3"/>
    <s v="Healthcare Representative"/>
    <n v="3"/>
    <s v="Single"/>
    <n v="10965"/>
    <n v="12066"/>
    <n v="8"/>
    <s v="Y"/>
    <x v="1"/>
    <n v="24"/>
    <n v="4"/>
    <n v="3"/>
    <n v="80"/>
    <n v="0"/>
    <n v="26"/>
    <n v="2"/>
    <n v="3"/>
    <n v="5"/>
    <n v="2"/>
    <n v="0"/>
    <n v="0"/>
    <s v="High"/>
    <s v="High"/>
    <s v="Experienced"/>
  </r>
  <r>
    <n v="51"/>
    <x v="1"/>
    <s v="Travel_Rarely"/>
    <n v="1178"/>
    <x v="0"/>
    <n v="14"/>
    <n v="2"/>
    <s v="Life Sciences"/>
    <x v="0"/>
    <n v="500"/>
    <n v="3"/>
    <s v="Female"/>
    <n v="87"/>
    <n v="3"/>
    <n v="2"/>
    <s v="Sales Executive"/>
    <n v="4"/>
    <s v="Married"/>
    <n v="4936"/>
    <n v="14862"/>
    <n v="4"/>
    <s v="Y"/>
    <x v="1"/>
    <n v="11"/>
    <n v="3"/>
    <n v="3"/>
    <n v="80"/>
    <n v="1"/>
    <n v="18"/>
    <n v="2"/>
    <n v="2"/>
    <n v="7"/>
    <n v="7"/>
    <n v="0"/>
    <n v="7"/>
    <s v="Low"/>
    <s v="Medium"/>
    <s v="Experienced"/>
  </r>
  <r>
    <n v="36"/>
    <x v="1"/>
    <s v="Travel_Rarely"/>
    <n v="329"/>
    <x v="1"/>
    <n v="2"/>
    <n v="3"/>
    <s v="Life Sciences"/>
    <x v="0"/>
    <n v="501"/>
    <n v="4"/>
    <s v="Female"/>
    <n v="96"/>
    <n v="3"/>
    <n v="1"/>
    <s v="Research Scientist"/>
    <n v="3"/>
    <s v="Married"/>
    <n v="2543"/>
    <n v="11868"/>
    <n v="4"/>
    <s v="Y"/>
    <x v="1"/>
    <n v="13"/>
    <n v="3"/>
    <n v="2"/>
    <n v="80"/>
    <n v="1"/>
    <n v="6"/>
    <n v="3"/>
    <n v="3"/>
    <n v="2"/>
    <n v="2"/>
    <n v="2"/>
    <n v="2"/>
    <s v="Low"/>
    <s v="Low"/>
    <s v="new"/>
  </r>
  <r>
    <n v="34"/>
    <x v="0"/>
    <s v="Non-Travel"/>
    <n v="1362"/>
    <x v="0"/>
    <n v="19"/>
    <n v="3"/>
    <s v="Marketing"/>
    <x v="0"/>
    <n v="502"/>
    <n v="1"/>
    <s v="Male"/>
    <n v="67"/>
    <n v="4"/>
    <n v="2"/>
    <s v="Sales Executive"/>
    <n v="4"/>
    <s v="Single"/>
    <n v="5304"/>
    <n v="4652"/>
    <n v="8"/>
    <s v="Y"/>
    <x v="0"/>
    <n v="13"/>
    <n v="3"/>
    <n v="2"/>
    <n v="80"/>
    <n v="0"/>
    <n v="9"/>
    <n v="3"/>
    <n v="2"/>
    <n v="5"/>
    <n v="2"/>
    <n v="0"/>
    <n v="4"/>
    <s v="Low"/>
    <s v="Medium"/>
    <s v="Experienced"/>
  </r>
  <r>
    <n v="55"/>
    <x v="1"/>
    <s v="Travel_Rarely"/>
    <n v="1311"/>
    <x v="1"/>
    <n v="2"/>
    <n v="3"/>
    <s v="Life Sciences"/>
    <x v="0"/>
    <n v="505"/>
    <n v="3"/>
    <s v="Female"/>
    <n v="97"/>
    <n v="3"/>
    <n v="4"/>
    <s v="Manager"/>
    <n v="4"/>
    <s v="Single"/>
    <n v="16659"/>
    <n v="23258"/>
    <n v="2"/>
    <s v="Y"/>
    <x v="0"/>
    <n v="13"/>
    <n v="3"/>
    <n v="3"/>
    <n v="80"/>
    <n v="0"/>
    <n v="30"/>
    <n v="2"/>
    <n v="3"/>
    <n v="5"/>
    <n v="4"/>
    <n v="1"/>
    <n v="2"/>
    <s v="High"/>
    <s v="High"/>
    <s v="Experienced"/>
  </r>
  <r>
    <n v="24"/>
    <x v="1"/>
    <s v="Travel_Rarely"/>
    <n v="1371"/>
    <x v="0"/>
    <n v="10"/>
    <n v="4"/>
    <s v="Marketing"/>
    <x v="0"/>
    <n v="507"/>
    <n v="4"/>
    <s v="Female"/>
    <n v="77"/>
    <n v="3"/>
    <n v="2"/>
    <s v="Sales Executive"/>
    <n v="3"/>
    <s v="Divorced"/>
    <n v="4260"/>
    <n v="5915"/>
    <n v="1"/>
    <s v="Y"/>
    <x v="0"/>
    <n v="12"/>
    <n v="3"/>
    <n v="4"/>
    <n v="80"/>
    <n v="1"/>
    <n v="5"/>
    <n v="2"/>
    <n v="4"/>
    <n v="5"/>
    <n v="2"/>
    <n v="0"/>
    <n v="3"/>
    <s v="Low"/>
    <s v="Medium"/>
    <s v="Experienced"/>
  </r>
  <r>
    <n v="30"/>
    <x v="1"/>
    <s v="Travel_Rarely"/>
    <n v="202"/>
    <x v="0"/>
    <n v="2"/>
    <n v="1"/>
    <s v="Technical Degree"/>
    <x v="0"/>
    <n v="508"/>
    <n v="3"/>
    <s v="Male"/>
    <n v="72"/>
    <n v="3"/>
    <n v="1"/>
    <s v="Sales Representative"/>
    <n v="2"/>
    <s v="Married"/>
    <n v="2476"/>
    <n v="17434"/>
    <n v="1"/>
    <s v="Y"/>
    <x v="1"/>
    <n v="18"/>
    <n v="3"/>
    <n v="1"/>
    <n v="80"/>
    <n v="1"/>
    <n v="1"/>
    <n v="3"/>
    <n v="3"/>
    <n v="1"/>
    <n v="0"/>
    <n v="0"/>
    <n v="0"/>
    <s v="Low"/>
    <s v="Low"/>
    <s v="new"/>
  </r>
  <r>
    <n v="26"/>
    <x v="0"/>
    <s v="Travel_Frequently"/>
    <n v="575"/>
    <x v="1"/>
    <n v="3"/>
    <n v="1"/>
    <s v="Technical Degree"/>
    <x v="0"/>
    <n v="510"/>
    <n v="3"/>
    <s v="Male"/>
    <n v="73"/>
    <n v="3"/>
    <n v="1"/>
    <s v="Research Scientist"/>
    <n v="1"/>
    <s v="Single"/>
    <n v="3102"/>
    <n v="6582"/>
    <n v="0"/>
    <s v="Y"/>
    <x v="1"/>
    <n v="22"/>
    <n v="4"/>
    <n v="3"/>
    <n v="80"/>
    <n v="0"/>
    <n v="7"/>
    <n v="2"/>
    <n v="3"/>
    <n v="6"/>
    <n v="4"/>
    <n v="0"/>
    <n v="4"/>
    <s v="Low"/>
    <s v="Low"/>
    <s v="Experienced"/>
  </r>
  <r>
    <n v="22"/>
    <x v="1"/>
    <s v="Travel_Rarely"/>
    <n v="253"/>
    <x v="1"/>
    <n v="11"/>
    <n v="3"/>
    <s v="Medical"/>
    <x v="0"/>
    <n v="511"/>
    <n v="1"/>
    <s v="Female"/>
    <n v="43"/>
    <n v="3"/>
    <n v="1"/>
    <s v="Research Scientist"/>
    <n v="2"/>
    <s v="Married"/>
    <n v="2244"/>
    <n v="24440"/>
    <n v="1"/>
    <s v="Y"/>
    <x v="1"/>
    <n v="13"/>
    <n v="3"/>
    <n v="4"/>
    <n v="80"/>
    <n v="1"/>
    <n v="2"/>
    <n v="1"/>
    <n v="3"/>
    <n v="2"/>
    <n v="1"/>
    <n v="1"/>
    <n v="2"/>
    <s v="Low"/>
    <s v="Low"/>
    <s v="new"/>
  </r>
  <r>
    <n v="36"/>
    <x v="1"/>
    <s v="Travel_Rarely"/>
    <n v="164"/>
    <x v="0"/>
    <n v="2"/>
    <n v="2"/>
    <s v="Medical"/>
    <x v="0"/>
    <n v="513"/>
    <n v="2"/>
    <s v="Male"/>
    <n v="61"/>
    <n v="2"/>
    <n v="3"/>
    <s v="Sales Executive"/>
    <n v="3"/>
    <s v="Married"/>
    <n v="7596"/>
    <n v="3809"/>
    <n v="1"/>
    <s v="Y"/>
    <x v="1"/>
    <n v="13"/>
    <n v="3"/>
    <n v="2"/>
    <n v="80"/>
    <n v="2"/>
    <n v="10"/>
    <n v="2"/>
    <n v="3"/>
    <n v="10"/>
    <n v="9"/>
    <n v="9"/>
    <n v="0"/>
    <s v="High"/>
    <s v="Medium"/>
    <s v="High"/>
  </r>
  <r>
    <n v="30"/>
    <x v="0"/>
    <s v="Travel_Frequently"/>
    <n v="464"/>
    <x v="1"/>
    <n v="4"/>
    <n v="3"/>
    <s v="Technical Degree"/>
    <x v="0"/>
    <n v="514"/>
    <n v="3"/>
    <s v="Male"/>
    <n v="40"/>
    <n v="3"/>
    <n v="1"/>
    <s v="Research Scientist"/>
    <n v="4"/>
    <s v="Single"/>
    <n v="2285"/>
    <n v="3427"/>
    <n v="9"/>
    <s v="Y"/>
    <x v="0"/>
    <n v="23"/>
    <n v="4"/>
    <n v="3"/>
    <n v="80"/>
    <n v="0"/>
    <n v="3"/>
    <n v="4"/>
    <n v="3"/>
    <n v="1"/>
    <n v="0"/>
    <n v="0"/>
    <n v="0"/>
    <s v="Low"/>
    <s v="Low"/>
    <s v="new"/>
  </r>
  <r>
    <n v="37"/>
    <x v="1"/>
    <s v="Travel_Rarely"/>
    <n v="1107"/>
    <x v="1"/>
    <n v="14"/>
    <n v="3"/>
    <s v="Life Sciences"/>
    <x v="0"/>
    <n v="515"/>
    <n v="4"/>
    <s v="Female"/>
    <n v="95"/>
    <n v="3"/>
    <n v="1"/>
    <s v="Laboratory Technician"/>
    <n v="1"/>
    <s v="Divorced"/>
    <n v="3034"/>
    <n v="26914"/>
    <n v="1"/>
    <s v="Y"/>
    <x v="1"/>
    <n v="12"/>
    <n v="3"/>
    <n v="3"/>
    <n v="80"/>
    <n v="1"/>
    <n v="18"/>
    <n v="2"/>
    <n v="2"/>
    <n v="18"/>
    <n v="7"/>
    <n v="12"/>
    <n v="17"/>
    <s v="Low"/>
    <s v="Low"/>
    <s v="High"/>
  </r>
  <r>
    <n v="40"/>
    <x v="1"/>
    <s v="Travel_Rarely"/>
    <n v="759"/>
    <x v="0"/>
    <n v="2"/>
    <n v="2"/>
    <s v="Marketing"/>
    <x v="0"/>
    <n v="516"/>
    <n v="4"/>
    <s v="Female"/>
    <n v="46"/>
    <n v="3"/>
    <n v="2"/>
    <s v="Sales Executive"/>
    <n v="2"/>
    <s v="Divorced"/>
    <n v="5715"/>
    <n v="22553"/>
    <n v="7"/>
    <s v="Y"/>
    <x v="1"/>
    <n v="12"/>
    <n v="3"/>
    <n v="3"/>
    <n v="80"/>
    <n v="2"/>
    <n v="8"/>
    <n v="5"/>
    <n v="3"/>
    <n v="5"/>
    <n v="4"/>
    <n v="1"/>
    <n v="3"/>
    <s v="Low"/>
    <s v="Medium"/>
    <s v="Experienced"/>
  </r>
  <r>
    <n v="42"/>
    <x v="1"/>
    <s v="Travel_Rarely"/>
    <n v="201"/>
    <x v="1"/>
    <n v="1"/>
    <n v="4"/>
    <s v="Life Sciences"/>
    <x v="0"/>
    <n v="517"/>
    <n v="2"/>
    <s v="Female"/>
    <n v="95"/>
    <n v="3"/>
    <n v="1"/>
    <s v="Laboratory Technician"/>
    <n v="1"/>
    <s v="Divorced"/>
    <n v="2576"/>
    <n v="20490"/>
    <n v="3"/>
    <s v="Y"/>
    <x v="1"/>
    <n v="16"/>
    <n v="3"/>
    <n v="2"/>
    <n v="80"/>
    <n v="1"/>
    <n v="8"/>
    <n v="5"/>
    <n v="3"/>
    <n v="5"/>
    <n v="2"/>
    <n v="1"/>
    <n v="2"/>
    <s v="Low"/>
    <s v="Low"/>
    <s v="Experienced"/>
  </r>
  <r>
    <n v="37"/>
    <x v="1"/>
    <s v="Travel_Rarely"/>
    <n v="1305"/>
    <x v="1"/>
    <n v="10"/>
    <n v="4"/>
    <s v="Life Sciences"/>
    <x v="0"/>
    <n v="518"/>
    <n v="3"/>
    <s v="Male"/>
    <n v="49"/>
    <n v="3"/>
    <n v="2"/>
    <s v="Manufacturing Director"/>
    <n v="2"/>
    <s v="Single"/>
    <n v="4197"/>
    <n v="21123"/>
    <n v="2"/>
    <s v="Y"/>
    <x v="0"/>
    <n v="12"/>
    <n v="3"/>
    <n v="4"/>
    <n v="80"/>
    <n v="0"/>
    <n v="18"/>
    <n v="2"/>
    <n v="2"/>
    <n v="1"/>
    <n v="0"/>
    <n v="0"/>
    <n v="1"/>
    <s v="Low"/>
    <s v="Medium"/>
    <s v="new"/>
  </r>
  <r>
    <n v="43"/>
    <x v="1"/>
    <s v="Travel_Rarely"/>
    <n v="982"/>
    <x v="1"/>
    <n v="12"/>
    <n v="3"/>
    <s v="Life Sciences"/>
    <x v="0"/>
    <n v="520"/>
    <n v="1"/>
    <s v="Male"/>
    <n v="59"/>
    <n v="2"/>
    <n v="4"/>
    <s v="Research Director"/>
    <n v="2"/>
    <s v="Divorced"/>
    <n v="14336"/>
    <n v="4345"/>
    <n v="1"/>
    <s v="Y"/>
    <x v="1"/>
    <n v="11"/>
    <n v="3"/>
    <n v="3"/>
    <n v="80"/>
    <n v="1"/>
    <n v="25"/>
    <n v="3"/>
    <n v="3"/>
    <n v="25"/>
    <n v="10"/>
    <n v="3"/>
    <n v="9"/>
    <s v="High"/>
    <s v="High"/>
    <s v="High"/>
  </r>
  <r>
    <n v="40"/>
    <x v="1"/>
    <s v="Travel_Rarely"/>
    <n v="555"/>
    <x v="1"/>
    <n v="2"/>
    <n v="3"/>
    <s v="Medical"/>
    <x v="0"/>
    <n v="521"/>
    <n v="2"/>
    <s v="Female"/>
    <n v="78"/>
    <n v="2"/>
    <n v="2"/>
    <s v="Laboratory Technician"/>
    <n v="3"/>
    <s v="Married"/>
    <n v="3448"/>
    <n v="13436"/>
    <n v="6"/>
    <s v="Y"/>
    <x v="1"/>
    <n v="22"/>
    <n v="4"/>
    <n v="2"/>
    <n v="80"/>
    <n v="1"/>
    <n v="20"/>
    <n v="3"/>
    <n v="3"/>
    <n v="1"/>
    <n v="0"/>
    <n v="0"/>
    <n v="0"/>
    <s v="Low"/>
    <s v="Low"/>
    <s v="new"/>
  </r>
  <r>
    <n v="54"/>
    <x v="1"/>
    <s v="Travel_Rarely"/>
    <n v="821"/>
    <x v="1"/>
    <n v="5"/>
    <n v="2"/>
    <s v="Medical"/>
    <x v="0"/>
    <n v="522"/>
    <n v="1"/>
    <s v="Male"/>
    <n v="86"/>
    <n v="3"/>
    <n v="5"/>
    <s v="Research Director"/>
    <n v="1"/>
    <s v="Married"/>
    <n v="19406"/>
    <n v="8509"/>
    <n v="4"/>
    <s v="Y"/>
    <x v="1"/>
    <n v="11"/>
    <n v="3"/>
    <n v="3"/>
    <n v="80"/>
    <n v="1"/>
    <n v="24"/>
    <n v="4"/>
    <n v="2"/>
    <n v="4"/>
    <n v="2"/>
    <n v="1"/>
    <n v="2"/>
    <s v="High"/>
    <s v="High"/>
    <s v="Experienced"/>
  </r>
  <r>
    <n v="34"/>
    <x v="1"/>
    <s v="Non-Travel"/>
    <n v="1381"/>
    <x v="0"/>
    <n v="4"/>
    <n v="4"/>
    <s v="Marketing"/>
    <x v="0"/>
    <n v="523"/>
    <n v="3"/>
    <s v="Female"/>
    <n v="72"/>
    <n v="3"/>
    <n v="2"/>
    <s v="Sales Executive"/>
    <n v="3"/>
    <s v="Married"/>
    <n v="6538"/>
    <n v="12740"/>
    <n v="9"/>
    <s v="Y"/>
    <x v="1"/>
    <n v="15"/>
    <n v="3"/>
    <n v="1"/>
    <n v="80"/>
    <n v="1"/>
    <n v="6"/>
    <n v="3"/>
    <n v="3"/>
    <n v="3"/>
    <n v="2"/>
    <n v="1"/>
    <n v="2"/>
    <s v="High"/>
    <s v="Medium"/>
    <s v="Experienced"/>
  </r>
  <r>
    <n v="31"/>
    <x v="1"/>
    <s v="Travel_Rarely"/>
    <n v="480"/>
    <x v="1"/>
    <n v="7"/>
    <n v="2"/>
    <s v="Medical"/>
    <x v="0"/>
    <n v="524"/>
    <n v="2"/>
    <s v="Female"/>
    <n v="31"/>
    <n v="3"/>
    <n v="2"/>
    <s v="Manufacturing Director"/>
    <n v="1"/>
    <s v="Married"/>
    <n v="4306"/>
    <n v="4156"/>
    <n v="1"/>
    <s v="Y"/>
    <x v="1"/>
    <n v="12"/>
    <n v="3"/>
    <n v="2"/>
    <n v="80"/>
    <n v="1"/>
    <n v="13"/>
    <n v="5"/>
    <n v="1"/>
    <n v="13"/>
    <n v="10"/>
    <n v="3"/>
    <n v="12"/>
    <s v="Low"/>
    <s v="Medium"/>
    <s v="High"/>
  </r>
  <r>
    <n v="43"/>
    <x v="1"/>
    <s v="Travel_Frequently"/>
    <n v="313"/>
    <x v="1"/>
    <n v="21"/>
    <n v="3"/>
    <s v="Medical"/>
    <x v="0"/>
    <n v="525"/>
    <n v="4"/>
    <s v="Male"/>
    <n v="61"/>
    <n v="3"/>
    <n v="1"/>
    <s v="Laboratory Technician"/>
    <n v="4"/>
    <s v="Married"/>
    <n v="2258"/>
    <n v="15238"/>
    <n v="7"/>
    <s v="Y"/>
    <x v="1"/>
    <n v="20"/>
    <n v="4"/>
    <n v="1"/>
    <n v="80"/>
    <n v="1"/>
    <n v="8"/>
    <n v="1"/>
    <n v="3"/>
    <n v="3"/>
    <n v="2"/>
    <n v="1"/>
    <n v="2"/>
    <s v="Low"/>
    <s v="Low"/>
    <s v="Experienced"/>
  </r>
  <r>
    <n v="43"/>
    <x v="1"/>
    <s v="Travel_Rarely"/>
    <n v="1473"/>
    <x v="1"/>
    <n v="8"/>
    <n v="4"/>
    <s v="Other"/>
    <x v="0"/>
    <n v="526"/>
    <n v="3"/>
    <s v="Female"/>
    <n v="74"/>
    <n v="3"/>
    <n v="2"/>
    <s v="Healthcare Representative"/>
    <n v="3"/>
    <s v="Divorced"/>
    <n v="4522"/>
    <n v="2227"/>
    <n v="4"/>
    <s v="Y"/>
    <x v="0"/>
    <n v="14"/>
    <n v="3"/>
    <n v="4"/>
    <n v="80"/>
    <n v="0"/>
    <n v="8"/>
    <n v="3"/>
    <n v="3"/>
    <n v="5"/>
    <n v="2"/>
    <n v="0"/>
    <n v="2"/>
    <s v="Low"/>
    <s v="Medium"/>
    <s v="Experienced"/>
  </r>
  <r>
    <n v="25"/>
    <x v="1"/>
    <s v="Travel_Rarely"/>
    <n v="891"/>
    <x v="0"/>
    <n v="4"/>
    <n v="2"/>
    <s v="Life Sciences"/>
    <x v="0"/>
    <n v="527"/>
    <n v="2"/>
    <s v="Female"/>
    <n v="99"/>
    <n v="2"/>
    <n v="2"/>
    <s v="Sales Executive"/>
    <n v="4"/>
    <s v="Single"/>
    <n v="4487"/>
    <n v="12090"/>
    <n v="1"/>
    <s v="Y"/>
    <x v="0"/>
    <n v="11"/>
    <n v="3"/>
    <n v="2"/>
    <n v="80"/>
    <n v="0"/>
    <n v="5"/>
    <n v="3"/>
    <n v="3"/>
    <n v="5"/>
    <n v="4"/>
    <n v="1"/>
    <n v="3"/>
    <s v="Low"/>
    <s v="Medium"/>
    <s v="Experienced"/>
  </r>
  <r>
    <n v="37"/>
    <x v="1"/>
    <s v="Non-Travel"/>
    <n v="1063"/>
    <x v="1"/>
    <n v="25"/>
    <n v="5"/>
    <s v="Medical"/>
    <x v="0"/>
    <n v="529"/>
    <n v="2"/>
    <s v="Female"/>
    <n v="72"/>
    <n v="3"/>
    <n v="2"/>
    <s v="Research Scientist"/>
    <n v="3"/>
    <s v="Married"/>
    <n v="4449"/>
    <n v="23866"/>
    <n v="3"/>
    <s v="Y"/>
    <x v="0"/>
    <n v="15"/>
    <n v="3"/>
    <n v="1"/>
    <n v="80"/>
    <n v="2"/>
    <n v="15"/>
    <n v="2"/>
    <n v="3"/>
    <n v="13"/>
    <n v="11"/>
    <n v="10"/>
    <n v="7"/>
    <s v="Low"/>
    <s v="Medium"/>
    <s v="High"/>
  </r>
  <r>
    <n v="31"/>
    <x v="1"/>
    <s v="Travel_Rarely"/>
    <n v="329"/>
    <x v="1"/>
    <n v="1"/>
    <n v="2"/>
    <s v="Life Sciences"/>
    <x v="0"/>
    <n v="530"/>
    <n v="4"/>
    <s v="Male"/>
    <n v="98"/>
    <n v="2"/>
    <n v="1"/>
    <s v="Laboratory Technician"/>
    <n v="1"/>
    <s v="Married"/>
    <n v="2218"/>
    <n v="16193"/>
    <n v="1"/>
    <s v="Y"/>
    <x v="1"/>
    <n v="12"/>
    <n v="3"/>
    <n v="3"/>
    <n v="80"/>
    <n v="1"/>
    <n v="4"/>
    <n v="3"/>
    <n v="3"/>
    <n v="4"/>
    <n v="2"/>
    <n v="3"/>
    <n v="2"/>
    <s v="Low"/>
    <s v="Low"/>
    <s v="Experienced"/>
  </r>
  <r>
    <n v="39"/>
    <x v="1"/>
    <s v="Travel_Frequently"/>
    <n v="1218"/>
    <x v="1"/>
    <n v="1"/>
    <n v="1"/>
    <s v="Life Sciences"/>
    <x v="0"/>
    <n v="531"/>
    <n v="2"/>
    <s v="Male"/>
    <n v="52"/>
    <n v="3"/>
    <n v="5"/>
    <s v="Manager"/>
    <n v="3"/>
    <s v="Divorced"/>
    <n v="19197"/>
    <n v="8213"/>
    <n v="1"/>
    <s v="Y"/>
    <x v="0"/>
    <n v="14"/>
    <n v="3"/>
    <n v="3"/>
    <n v="80"/>
    <n v="1"/>
    <n v="21"/>
    <n v="3"/>
    <n v="3"/>
    <n v="21"/>
    <n v="8"/>
    <n v="1"/>
    <n v="6"/>
    <s v="High"/>
    <s v="High"/>
    <s v="High"/>
  </r>
  <r>
    <n v="56"/>
    <x v="1"/>
    <s v="Travel_Frequently"/>
    <n v="906"/>
    <x v="0"/>
    <n v="6"/>
    <n v="3"/>
    <s v="Life Sciences"/>
    <x v="0"/>
    <n v="532"/>
    <n v="3"/>
    <s v="Female"/>
    <n v="86"/>
    <n v="4"/>
    <n v="4"/>
    <s v="Sales Executive"/>
    <n v="1"/>
    <s v="Married"/>
    <n v="13212"/>
    <n v="18256"/>
    <n v="9"/>
    <s v="Y"/>
    <x v="1"/>
    <n v="11"/>
    <n v="3"/>
    <n v="4"/>
    <n v="80"/>
    <n v="3"/>
    <n v="36"/>
    <n v="0"/>
    <n v="2"/>
    <n v="7"/>
    <n v="7"/>
    <n v="7"/>
    <n v="7"/>
    <s v="High"/>
    <s v="High"/>
    <s v="Experienced"/>
  </r>
  <r>
    <n v="30"/>
    <x v="1"/>
    <s v="Travel_Rarely"/>
    <n v="1082"/>
    <x v="0"/>
    <n v="12"/>
    <n v="3"/>
    <s v="Technical Degree"/>
    <x v="0"/>
    <n v="533"/>
    <n v="2"/>
    <s v="Female"/>
    <n v="83"/>
    <n v="3"/>
    <n v="2"/>
    <s v="Sales Executive"/>
    <n v="3"/>
    <s v="Single"/>
    <n v="6577"/>
    <n v="19558"/>
    <n v="0"/>
    <s v="Y"/>
    <x v="1"/>
    <n v="11"/>
    <n v="3"/>
    <n v="2"/>
    <n v="80"/>
    <n v="0"/>
    <n v="6"/>
    <n v="6"/>
    <n v="3"/>
    <n v="5"/>
    <n v="4"/>
    <n v="4"/>
    <n v="4"/>
    <s v="High"/>
    <s v="Medium"/>
    <s v="Experienced"/>
  </r>
  <r>
    <n v="41"/>
    <x v="1"/>
    <s v="Travel_Rarely"/>
    <n v="645"/>
    <x v="0"/>
    <n v="1"/>
    <n v="3"/>
    <s v="Marketing"/>
    <x v="0"/>
    <n v="534"/>
    <n v="2"/>
    <s v="Male"/>
    <n v="49"/>
    <n v="4"/>
    <n v="3"/>
    <s v="Sales Executive"/>
    <n v="1"/>
    <s v="Married"/>
    <n v="8392"/>
    <n v="19566"/>
    <n v="1"/>
    <s v="Y"/>
    <x v="1"/>
    <n v="16"/>
    <n v="3"/>
    <n v="3"/>
    <n v="80"/>
    <n v="1"/>
    <n v="10"/>
    <n v="2"/>
    <n v="3"/>
    <n v="10"/>
    <n v="7"/>
    <n v="0"/>
    <n v="7"/>
    <s v="High"/>
    <s v="High"/>
    <s v="High"/>
  </r>
  <r>
    <n v="28"/>
    <x v="1"/>
    <s v="Travel_Rarely"/>
    <n v="1300"/>
    <x v="1"/>
    <n v="17"/>
    <n v="2"/>
    <s v="Medical"/>
    <x v="0"/>
    <n v="536"/>
    <n v="3"/>
    <s v="Male"/>
    <n v="79"/>
    <n v="3"/>
    <n v="2"/>
    <s v="Laboratory Technician"/>
    <n v="1"/>
    <s v="Divorced"/>
    <n v="4558"/>
    <n v="13535"/>
    <n v="1"/>
    <s v="Y"/>
    <x v="1"/>
    <n v="12"/>
    <n v="3"/>
    <n v="4"/>
    <n v="80"/>
    <n v="1"/>
    <n v="10"/>
    <n v="2"/>
    <n v="3"/>
    <n v="10"/>
    <n v="0"/>
    <n v="1"/>
    <n v="8"/>
    <s v="Low"/>
    <s v="Medium"/>
    <s v="High"/>
  </r>
  <r>
    <n v="25"/>
    <x v="0"/>
    <s v="Travel_Rarely"/>
    <n v="688"/>
    <x v="1"/>
    <n v="3"/>
    <n v="3"/>
    <s v="Medical"/>
    <x v="0"/>
    <n v="538"/>
    <n v="1"/>
    <s v="Male"/>
    <n v="91"/>
    <n v="3"/>
    <n v="1"/>
    <s v="Laboratory Technician"/>
    <n v="1"/>
    <s v="Married"/>
    <n v="4031"/>
    <n v="9396"/>
    <n v="5"/>
    <s v="Y"/>
    <x v="1"/>
    <n v="13"/>
    <n v="3"/>
    <n v="3"/>
    <n v="80"/>
    <n v="1"/>
    <n v="6"/>
    <n v="5"/>
    <n v="3"/>
    <n v="2"/>
    <n v="2"/>
    <n v="0"/>
    <n v="2"/>
    <s v="Low"/>
    <s v="Medium"/>
    <s v="new"/>
  </r>
  <r>
    <n v="52"/>
    <x v="1"/>
    <s v="Travel_Rarely"/>
    <n v="319"/>
    <x v="1"/>
    <n v="3"/>
    <n v="3"/>
    <s v="Medical"/>
    <x v="0"/>
    <n v="543"/>
    <n v="4"/>
    <s v="Male"/>
    <n v="39"/>
    <n v="2"/>
    <n v="3"/>
    <s v="Manufacturing Director"/>
    <n v="3"/>
    <s v="Married"/>
    <n v="7969"/>
    <n v="19609"/>
    <n v="2"/>
    <s v="Y"/>
    <x v="0"/>
    <n v="14"/>
    <n v="3"/>
    <n v="3"/>
    <n v="80"/>
    <n v="0"/>
    <n v="28"/>
    <n v="4"/>
    <n v="3"/>
    <n v="5"/>
    <n v="4"/>
    <n v="0"/>
    <n v="4"/>
    <s v="High"/>
    <s v="Medium"/>
    <s v="Experienced"/>
  </r>
  <r>
    <n v="45"/>
    <x v="1"/>
    <s v="Travel_Rarely"/>
    <n v="192"/>
    <x v="1"/>
    <n v="10"/>
    <n v="2"/>
    <s v="Life Sciences"/>
    <x v="0"/>
    <n v="544"/>
    <n v="1"/>
    <s v="Male"/>
    <n v="69"/>
    <n v="3"/>
    <n v="1"/>
    <s v="Research Scientist"/>
    <n v="4"/>
    <s v="Married"/>
    <n v="2654"/>
    <n v="9655"/>
    <n v="3"/>
    <s v="Y"/>
    <x v="1"/>
    <n v="21"/>
    <n v="4"/>
    <n v="4"/>
    <n v="80"/>
    <n v="2"/>
    <n v="8"/>
    <n v="3"/>
    <n v="2"/>
    <n v="2"/>
    <n v="2"/>
    <n v="0"/>
    <n v="2"/>
    <s v="Low"/>
    <s v="Low"/>
    <s v="new"/>
  </r>
  <r>
    <n v="52"/>
    <x v="1"/>
    <s v="Travel_Rarely"/>
    <n v="1490"/>
    <x v="1"/>
    <n v="4"/>
    <n v="2"/>
    <s v="Life Sciences"/>
    <x v="0"/>
    <n v="546"/>
    <n v="4"/>
    <s v="Female"/>
    <n v="30"/>
    <n v="3"/>
    <n v="4"/>
    <s v="Manager"/>
    <n v="4"/>
    <s v="Married"/>
    <n v="16555"/>
    <n v="10310"/>
    <n v="2"/>
    <s v="Y"/>
    <x v="1"/>
    <n v="13"/>
    <n v="3"/>
    <n v="4"/>
    <n v="80"/>
    <n v="0"/>
    <n v="31"/>
    <n v="2"/>
    <n v="1"/>
    <n v="5"/>
    <n v="2"/>
    <n v="1"/>
    <n v="4"/>
    <s v="High"/>
    <s v="High"/>
    <s v="Experienced"/>
  </r>
  <r>
    <n v="42"/>
    <x v="1"/>
    <s v="Travel_Frequently"/>
    <n v="532"/>
    <x v="1"/>
    <n v="29"/>
    <n v="2"/>
    <s v="Life Sciences"/>
    <x v="0"/>
    <n v="547"/>
    <n v="1"/>
    <s v="Female"/>
    <n v="92"/>
    <n v="3"/>
    <n v="2"/>
    <s v="Research Scientist"/>
    <n v="3"/>
    <s v="Divorced"/>
    <n v="4556"/>
    <n v="12932"/>
    <n v="2"/>
    <s v="Y"/>
    <x v="1"/>
    <n v="11"/>
    <n v="3"/>
    <n v="2"/>
    <n v="80"/>
    <n v="1"/>
    <n v="19"/>
    <n v="3"/>
    <n v="3"/>
    <n v="5"/>
    <n v="4"/>
    <n v="0"/>
    <n v="2"/>
    <s v="Low"/>
    <s v="Medium"/>
    <s v="Experienced"/>
  </r>
  <r>
    <n v="30"/>
    <x v="1"/>
    <s v="Travel_Rarely"/>
    <n v="317"/>
    <x v="1"/>
    <n v="2"/>
    <n v="3"/>
    <s v="Life Sciences"/>
    <x v="0"/>
    <n v="548"/>
    <n v="3"/>
    <s v="Female"/>
    <n v="43"/>
    <n v="1"/>
    <n v="2"/>
    <s v="Manufacturing Director"/>
    <n v="4"/>
    <s v="Single"/>
    <n v="6091"/>
    <n v="24793"/>
    <n v="2"/>
    <s v="Y"/>
    <x v="1"/>
    <n v="20"/>
    <n v="4"/>
    <n v="3"/>
    <n v="80"/>
    <n v="0"/>
    <n v="11"/>
    <n v="2"/>
    <n v="3"/>
    <n v="5"/>
    <n v="4"/>
    <n v="0"/>
    <n v="2"/>
    <s v="Low"/>
    <s v="Medium"/>
    <s v="Experienced"/>
  </r>
  <r>
    <n v="60"/>
    <x v="1"/>
    <s v="Travel_Rarely"/>
    <n v="422"/>
    <x v="1"/>
    <n v="7"/>
    <n v="3"/>
    <s v="Life Sciences"/>
    <x v="0"/>
    <n v="549"/>
    <n v="1"/>
    <s v="Female"/>
    <n v="41"/>
    <n v="3"/>
    <n v="5"/>
    <s v="Manager"/>
    <n v="1"/>
    <s v="Married"/>
    <n v="19566"/>
    <n v="3854"/>
    <n v="5"/>
    <s v="Y"/>
    <x v="1"/>
    <n v="11"/>
    <n v="3"/>
    <n v="4"/>
    <n v="80"/>
    <n v="0"/>
    <n v="33"/>
    <n v="5"/>
    <n v="1"/>
    <n v="29"/>
    <n v="8"/>
    <n v="11"/>
    <n v="10"/>
    <s v="High"/>
    <s v="High"/>
    <s v="High"/>
  </r>
  <r>
    <n v="46"/>
    <x v="1"/>
    <s v="Travel_Rarely"/>
    <n v="1485"/>
    <x v="1"/>
    <n v="18"/>
    <n v="3"/>
    <s v="Medical"/>
    <x v="0"/>
    <n v="550"/>
    <n v="3"/>
    <s v="Female"/>
    <n v="87"/>
    <n v="3"/>
    <n v="2"/>
    <s v="Manufacturing Director"/>
    <n v="3"/>
    <s v="Divorced"/>
    <n v="4810"/>
    <n v="26314"/>
    <n v="2"/>
    <s v="Y"/>
    <x v="1"/>
    <n v="14"/>
    <n v="3"/>
    <n v="3"/>
    <n v="80"/>
    <n v="1"/>
    <n v="19"/>
    <n v="5"/>
    <n v="2"/>
    <n v="10"/>
    <n v="7"/>
    <n v="0"/>
    <n v="8"/>
    <s v="Low"/>
    <s v="Medium"/>
    <s v="High"/>
  </r>
  <r>
    <n v="42"/>
    <x v="1"/>
    <s v="Travel_Frequently"/>
    <n v="1368"/>
    <x v="1"/>
    <n v="28"/>
    <n v="4"/>
    <s v="Technical Degree"/>
    <x v="0"/>
    <n v="551"/>
    <n v="4"/>
    <s v="Female"/>
    <n v="88"/>
    <n v="2"/>
    <n v="2"/>
    <s v="Healthcare Representative"/>
    <n v="4"/>
    <s v="Married"/>
    <n v="4523"/>
    <n v="4386"/>
    <n v="0"/>
    <s v="Y"/>
    <x v="1"/>
    <n v="11"/>
    <n v="3"/>
    <n v="4"/>
    <n v="80"/>
    <n v="3"/>
    <n v="7"/>
    <n v="4"/>
    <n v="4"/>
    <n v="6"/>
    <n v="5"/>
    <n v="0"/>
    <n v="4"/>
    <s v="Low"/>
    <s v="Medium"/>
    <s v="Experienced"/>
  </r>
  <r>
    <n v="24"/>
    <x v="0"/>
    <s v="Travel_Rarely"/>
    <n v="1448"/>
    <x v="0"/>
    <n v="1"/>
    <n v="1"/>
    <s v="Technical Degree"/>
    <x v="0"/>
    <n v="554"/>
    <n v="1"/>
    <s v="Female"/>
    <n v="62"/>
    <n v="3"/>
    <n v="1"/>
    <s v="Sales Representative"/>
    <n v="2"/>
    <s v="Single"/>
    <n v="3202"/>
    <n v="21972"/>
    <n v="1"/>
    <s v="Y"/>
    <x v="0"/>
    <n v="16"/>
    <n v="3"/>
    <n v="2"/>
    <n v="80"/>
    <n v="0"/>
    <n v="6"/>
    <n v="4"/>
    <n v="3"/>
    <n v="5"/>
    <n v="3"/>
    <n v="1"/>
    <n v="4"/>
    <s v="Low"/>
    <s v="Low"/>
    <s v="Experienced"/>
  </r>
  <r>
    <n v="34"/>
    <x v="0"/>
    <s v="Travel_Frequently"/>
    <n v="296"/>
    <x v="0"/>
    <n v="6"/>
    <n v="2"/>
    <s v="Marketing"/>
    <x v="0"/>
    <n v="555"/>
    <n v="4"/>
    <s v="Female"/>
    <n v="33"/>
    <n v="1"/>
    <n v="1"/>
    <s v="Sales Representative"/>
    <n v="3"/>
    <s v="Divorced"/>
    <n v="2351"/>
    <n v="12253"/>
    <n v="0"/>
    <s v="Y"/>
    <x v="1"/>
    <n v="16"/>
    <n v="3"/>
    <n v="4"/>
    <n v="80"/>
    <n v="1"/>
    <n v="3"/>
    <n v="3"/>
    <n v="2"/>
    <n v="2"/>
    <n v="2"/>
    <n v="1"/>
    <n v="0"/>
    <s v="Low"/>
    <s v="Low"/>
    <s v="new"/>
  </r>
  <r>
    <n v="38"/>
    <x v="1"/>
    <s v="Travel_Frequently"/>
    <n v="1490"/>
    <x v="1"/>
    <n v="2"/>
    <n v="2"/>
    <s v="Life Sciences"/>
    <x v="0"/>
    <n v="556"/>
    <n v="4"/>
    <s v="Male"/>
    <n v="42"/>
    <n v="3"/>
    <n v="1"/>
    <s v="Laboratory Technician"/>
    <n v="4"/>
    <s v="Married"/>
    <n v="1702"/>
    <n v="12106"/>
    <n v="1"/>
    <s v="Y"/>
    <x v="0"/>
    <n v="23"/>
    <n v="4"/>
    <n v="3"/>
    <n v="80"/>
    <n v="1"/>
    <n v="1"/>
    <n v="3"/>
    <n v="3"/>
    <n v="1"/>
    <n v="0"/>
    <n v="0"/>
    <n v="0"/>
    <s v="Low"/>
    <s v="Low"/>
    <s v="new"/>
  </r>
  <r>
    <n v="40"/>
    <x v="1"/>
    <s v="Travel_Rarely"/>
    <n v="1398"/>
    <x v="0"/>
    <n v="2"/>
    <n v="4"/>
    <s v="Life Sciences"/>
    <x v="0"/>
    <n v="558"/>
    <n v="3"/>
    <s v="Female"/>
    <n v="79"/>
    <n v="3"/>
    <n v="5"/>
    <s v="Manager"/>
    <n v="3"/>
    <s v="Married"/>
    <n v="18041"/>
    <n v="13022"/>
    <n v="0"/>
    <s v="Y"/>
    <x v="1"/>
    <n v="14"/>
    <n v="3"/>
    <n v="4"/>
    <n v="80"/>
    <n v="0"/>
    <n v="21"/>
    <n v="2"/>
    <n v="3"/>
    <n v="20"/>
    <n v="15"/>
    <n v="1"/>
    <n v="12"/>
    <s v="High"/>
    <s v="High"/>
    <s v="High"/>
  </r>
  <r>
    <n v="26"/>
    <x v="1"/>
    <s v="Travel_Rarely"/>
    <n v="1349"/>
    <x v="1"/>
    <n v="23"/>
    <n v="3"/>
    <s v="Life Sciences"/>
    <x v="0"/>
    <n v="560"/>
    <n v="1"/>
    <s v="Female"/>
    <n v="90"/>
    <n v="3"/>
    <n v="1"/>
    <s v="Research Scientist"/>
    <n v="4"/>
    <s v="Divorced"/>
    <n v="2886"/>
    <n v="3032"/>
    <n v="1"/>
    <s v="Y"/>
    <x v="1"/>
    <n v="22"/>
    <n v="4"/>
    <n v="2"/>
    <n v="80"/>
    <n v="2"/>
    <n v="3"/>
    <n v="3"/>
    <n v="1"/>
    <n v="3"/>
    <n v="2"/>
    <n v="0"/>
    <n v="2"/>
    <s v="Low"/>
    <s v="Low"/>
    <s v="Experienced"/>
  </r>
  <r>
    <n v="30"/>
    <x v="1"/>
    <s v="Non-Travel"/>
    <n v="1400"/>
    <x v="1"/>
    <n v="3"/>
    <n v="3"/>
    <s v="Life Sciences"/>
    <x v="0"/>
    <n v="562"/>
    <n v="3"/>
    <s v="Male"/>
    <n v="53"/>
    <n v="3"/>
    <n v="1"/>
    <s v="Laboratory Technician"/>
    <n v="4"/>
    <s v="Married"/>
    <n v="2097"/>
    <n v="16734"/>
    <n v="4"/>
    <s v="Y"/>
    <x v="1"/>
    <n v="15"/>
    <n v="3"/>
    <n v="3"/>
    <n v="80"/>
    <n v="1"/>
    <n v="9"/>
    <n v="3"/>
    <n v="1"/>
    <n v="5"/>
    <n v="3"/>
    <n v="1"/>
    <n v="4"/>
    <s v="Low"/>
    <s v="Low"/>
    <s v="Experienced"/>
  </r>
  <r>
    <n v="29"/>
    <x v="1"/>
    <s v="Travel_Rarely"/>
    <n v="986"/>
    <x v="1"/>
    <n v="3"/>
    <n v="4"/>
    <s v="Medical"/>
    <x v="0"/>
    <n v="564"/>
    <n v="2"/>
    <s v="Male"/>
    <n v="93"/>
    <n v="2"/>
    <n v="3"/>
    <s v="Research Director"/>
    <n v="3"/>
    <s v="Married"/>
    <n v="11935"/>
    <n v="21526"/>
    <n v="1"/>
    <s v="Y"/>
    <x v="1"/>
    <n v="18"/>
    <n v="3"/>
    <n v="3"/>
    <n v="80"/>
    <n v="0"/>
    <n v="10"/>
    <n v="2"/>
    <n v="3"/>
    <n v="10"/>
    <n v="2"/>
    <n v="0"/>
    <n v="7"/>
    <s v="High"/>
    <s v="High"/>
    <s v="High"/>
  </r>
  <r>
    <n v="29"/>
    <x v="0"/>
    <s v="Travel_Rarely"/>
    <n v="408"/>
    <x v="1"/>
    <n v="25"/>
    <n v="5"/>
    <s v="Technical Degree"/>
    <x v="0"/>
    <n v="565"/>
    <n v="3"/>
    <s v="Female"/>
    <n v="71"/>
    <n v="2"/>
    <n v="1"/>
    <s v="Research Scientist"/>
    <n v="2"/>
    <s v="Married"/>
    <n v="2546"/>
    <n v="18300"/>
    <n v="5"/>
    <s v="Y"/>
    <x v="1"/>
    <n v="16"/>
    <n v="3"/>
    <n v="2"/>
    <n v="80"/>
    <n v="0"/>
    <n v="6"/>
    <n v="2"/>
    <n v="4"/>
    <n v="2"/>
    <n v="2"/>
    <n v="1"/>
    <n v="1"/>
    <s v="Low"/>
    <s v="Low"/>
    <s v="new"/>
  </r>
  <r>
    <n v="19"/>
    <x v="0"/>
    <s v="Travel_Rarely"/>
    <n v="489"/>
    <x v="2"/>
    <n v="2"/>
    <n v="2"/>
    <s v="Technical Degree"/>
    <x v="0"/>
    <n v="566"/>
    <n v="1"/>
    <s v="Male"/>
    <n v="52"/>
    <n v="2"/>
    <n v="1"/>
    <s v="Human Resources"/>
    <n v="4"/>
    <s v="Single"/>
    <n v="2564"/>
    <n v="18437"/>
    <n v="1"/>
    <s v="Y"/>
    <x v="1"/>
    <n v="12"/>
    <n v="3"/>
    <n v="3"/>
    <n v="80"/>
    <n v="0"/>
    <n v="1"/>
    <n v="3"/>
    <n v="4"/>
    <n v="1"/>
    <n v="0"/>
    <n v="0"/>
    <n v="0"/>
    <s v="Low"/>
    <s v="Low"/>
    <s v="new"/>
  </r>
  <r>
    <n v="30"/>
    <x v="1"/>
    <s v="Non-Travel"/>
    <n v="1398"/>
    <x v="0"/>
    <n v="22"/>
    <n v="4"/>
    <s v="Other"/>
    <x v="0"/>
    <n v="567"/>
    <n v="3"/>
    <s v="Female"/>
    <n v="69"/>
    <n v="3"/>
    <n v="3"/>
    <s v="Sales Executive"/>
    <n v="1"/>
    <s v="Married"/>
    <n v="8412"/>
    <n v="2890"/>
    <n v="0"/>
    <s v="Y"/>
    <x v="1"/>
    <n v="11"/>
    <n v="3"/>
    <n v="3"/>
    <n v="80"/>
    <n v="0"/>
    <n v="10"/>
    <n v="3"/>
    <n v="3"/>
    <n v="9"/>
    <n v="8"/>
    <n v="7"/>
    <n v="8"/>
    <s v="High"/>
    <s v="High"/>
    <s v="High"/>
  </r>
  <r>
    <n v="57"/>
    <x v="1"/>
    <s v="Travel_Rarely"/>
    <n v="210"/>
    <x v="0"/>
    <n v="29"/>
    <n v="3"/>
    <s v="Marketing"/>
    <x v="0"/>
    <n v="568"/>
    <n v="1"/>
    <s v="Male"/>
    <n v="56"/>
    <n v="2"/>
    <n v="4"/>
    <s v="Manager"/>
    <n v="4"/>
    <s v="Divorced"/>
    <n v="14118"/>
    <n v="22102"/>
    <n v="3"/>
    <s v="Y"/>
    <x v="1"/>
    <n v="12"/>
    <n v="3"/>
    <n v="3"/>
    <n v="80"/>
    <n v="1"/>
    <n v="32"/>
    <n v="3"/>
    <n v="2"/>
    <n v="1"/>
    <n v="0"/>
    <n v="0"/>
    <n v="0"/>
    <s v="High"/>
    <s v="High"/>
    <s v="new"/>
  </r>
  <r>
    <n v="50"/>
    <x v="1"/>
    <s v="Travel_Rarely"/>
    <n v="1099"/>
    <x v="1"/>
    <n v="29"/>
    <n v="4"/>
    <s v="Life Sciences"/>
    <x v="0"/>
    <n v="569"/>
    <n v="2"/>
    <s v="Male"/>
    <n v="88"/>
    <n v="2"/>
    <n v="4"/>
    <s v="Manager"/>
    <n v="3"/>
    <s v="Married"/>
    <n v="17046"/>
    <n v="9314"/>
    <n v="0"/>
    <s v="Y"/>
    <x v="1"/>
    <n v="15"/>
    <n v="3"/>
    <n v="2"/>
    <n v="80"/>
    <n v="1"/>
    <n v="28"/>
    <n v="2"/>
    <n v="3"/>
    <n v="27"/>
    <n v="10"/>
    <n v="15"/>
    <n v="7"/>
    <s v="High"/>
    <s v="High"/>
    <s v="High"/>
  </r>
  <r>
    <n v="30"/>
    <x v="1"/>
    <s v="Non-Travel"/>
    <n v="1116"/>
    <x v="1"/>
    <n v="2"/>
    <n v="3"/>
    <s v="Medical"/>
    <x v="0"/>
    <n v="571"/>
    <n v="3"/>
    <s v="Female"/>
    <n v="49"/>
    <n v="3"/>
    <n v="1"/>
    <s v="Laboratory Technician"/>
    <n v="4"/>
    <s v="Single"/>
    <n v="2564"/>
    <n v="7181"/>
    <n v="0"/>
    <s v="Y"/>
    <x v="1"/>
    <n v="14"/>
    <n v="3"/>
    <n v="3"/>
    <n v="80"/>
    <n v="0"/>
    <n v="12"/>
    <n v="2"/>
    <n v="2"/>
    <n v="11"/>
    <n v="7"/>
    <n v="6"/>
    <n v="7"/>
    <s v="Low"/>
    <s v="Low"/>
    <s v="High"/>
  </r>
  <r>
    <n v="60"/>
    <x v="1"/>
    <s v="Travel_Frequently"/>
    <n v="1499"/>
    <x v="0"/>
    <n v="28"/>
    <n v="3"/>
    <s v="Marketing"/>
    <x v="0"/>
    <n v="573"/>
    <n v="3"/>
    <s v="Female"/>
    <n v="80"/>
    <n v="2"/>
    <n v="3"/>
    <s v="Sales Executive"/>
    <n v="1"/>
    <s v="Married"/>
    <n v="10266"/>
    <n v="2845"/>
    <n v="4"/>
    <s v="Y"/>
    <x v="1"/>
    <n v="19"/>
    <n v="3"/>
    <n v="4"/>
    <n v="80"/>
    <n v="0"/>
    <n v="22"/>
    <n v="5"/>
    <n v="4"/>
    <n v="18"/>
    <n v="13"/>
    <n v="13"/>
    <n v="11"/>
    <s v="High"/>
    <s v="High"/>
    <s v="High"/>
  </r>
  <r>
    <n v="47"/>
    <x v="1"/>
    <s v="Travel_Rarely"/>
    <n v="983"/>
    <x v="1"/>
    <n v="2"/>
    <n v="2"/>
    <s v="Medical"/>
    <x v="0"/>
    <n v="574"/>
    <n v="1"/>
    <s v="Female"/>
    <n v="65"/>
    <n v="3"/>
    <n v="2"/>
    <s v="Manufacturing Director"/>
    <n v="4"/>
    <s v="Divorced"/>
    <n v="5070"/>
    <n v="7389"/>
    <n v="5"/>
    <s v="Y"/>
    <x v="1"/>
    <n v="13"/>
    <n v="3"/>
    <n v="3"/>
    <n v="80"/>
    <n v="3"/>
    <n v="20"/>
    <n v="2"/>
    <n v="3"/>
    <n v="5"/>
    <n v="0"/>
    <n v="0"/>
    <n v="4"/>
    <s v="Low"/>
    <s v="Medium"/>
    <s v="Experienced"/>
  </r>
  <r>
    <n v="46"/>
    <x v="1"/>
    <s v="Travel_Rarely"/>
    <n v="1009"/>
    <x v="1"/>
    <n v="2"/>
    <n v="3"/>
    <s v="Life Sciences"/>
    <x v="0"/>
    <n v="575"/>
    <n v="1"/>
    <s v="Male"/>
    <n v="51"/>
    <n v="3"/>
    <n v="4"/>
    <s v="Research Director"/>
    <n v="3"/>
    <s v="Married"/>
    <n v="17861"/>
    <n v="2288"/>
    <n v="6"/>
    <s v="Y"/>
    <x v="1"/>
    <n v="13"/>
    <n v="3"/>
    <n v="3"/>
    <n v="80"/>
    <n v="0"/>
    <n v="26"/>
    <n v="2"/>
    <n v="1"/>
    <n v="3"/>
    <n v="2"/>
    <n v="0"/>
    <n v="1"/>
    <s v="High"/>
    <s v="High"/>
    <s v="Experienced"/>
  </r>
  <r>
    <n v="35"/>
    <x v="1"/>
    <s v="Travel_Rarely"/>
    <n v="144"/>
    <x v="1"/>
    <n v="22"/>
    <n v="3"/>
    <s v="Life Sciences"/>
    <x v="0"/>
    <n v="577"/>
    <n v="4"/>
    <s v="Male"/>
    <n v="46"/>
    <n v="1"/>
    <n v="1"/>
    <s v="Laboratory Technician"/>
    <n v="3"/>
    <s v="Single"/>
    <n v="4230"/>
    <n v="19225"/>
    <n v="0"/>
    <s v="Y"/>
    <x v="1"/>
    <n v="15"/>
    <n v="3"/>
    <n v="3"/>
    <n v="80"/>
    <n v="0"/>
    <n v="6"/>
    <n v="2"/>
    <n v="3"/>
    <n v="5"/>
    <n v="4"/>
    <n v="4"/>
    <n v="3"/>
    <s v="Low"/>
    <s v="Medium"/>
    <s v="Experienced"/>
  </r>
  <r>
    <n v="54"/>
    <x v="1"/>
    <s v="Travel_Rarely"/>
    <n v="548"/>
    <x v="1"/>
    <n v="8"/>
    <n v="4"/>
    <s v="Life Sciences"/>
    <x v="0"/>
    <n v="578"/>
    <n v="3"/>
    <s v="Female"/>
    <n v="42"/>
    <n v="3"/>
    <n v="2"/>
    <s v="Laboratory Technician"/>
    <n v="3"/>
    <s v="Single"/>
    <n v="3780"/>
    <n v="23428"/>
    <n v="7"/>
    <s v="Y"/>
    <x v="1"/>
    <n v="11"/>
    <n v="3"/>
    <n v="3"/>
    <n v="80"/>
    <n v="0"/>
    <n v="19"/>
    <n v="3"/>
    <n v="3"/>
    <n v="1"/>
    <n v="0"/>
    <n v="0"/>
    <n v="0"/>
    <s v="Low"/>
    <s v="Low"/>
    <s v="new"/>
  </r>
  <r>
    <n v="34"/>
    <x v="1"/>
    <s v="Travel_Rarely"/>
    <n v="1303"/>
    <x v="1"/>
    <n v="2"/>
    <n v="4"/>
    <s v="Life Sciences"/>
    <x v="0"/>
    <n v="579"/>
    <n v="4"/>
    <s v="Male"/>
    <n v="62"/>
    <n v="2"/>
    <n v="1"/>
    <s v="Research Scientist"/>
    <n v="3"/>
    <s v="Divorced"/>
    <n v="2768"/>
    <n v="8416"/>
    <n v="3"/>
    <s v="Y"/>
    <x v="1"/>
    <n v="12"/>
    <n v="3"/>
    <n v="3"/>
    <n v="80"/>
    <n v="1"/>
    <n v="14"/>
    <n v="3"/>
    <n v="3"/>
    <n v="7"/>
    <n v="3"/>
    <n v="5"/>
    <n v="7"/>
    <s v="Low"/>
    <s v="Low"/>
    <s v="Experienced"/>
  </r>
  <r>
    <n v="46"/>
    <x v="1"/>
    <s v="Travel_Rarely"/>
    <n v="1125"/>
    <x v="0"/>
    <n v="10"/>
    <n v="3"/>
    <s v="Marketing"/>
    <x v="0"/>
    <n v="580"/>
    <n v="3"/>
    <s v="Female"/>
    <n v="94"/>
    <n v="2"/>
    <n v="3"/>
    <s v="Sales Executive"/>
    <n v="4"/>
    <s v="Married"/>
    <n v="9071"/>
    <n v="11563"/>
    <n v="2"/>
    <s v="Y"/>
    <x v="0"/>
    <n v="19"/>
    <n v="3"/>
    <n v="3"/>
    <n v="80"/>
    <n v="1"/>
    <n v="15"/>
    <n v="3"/>
    <n v="3"/>
    <n v="3"/>
    <n v="2"/>
    <n v="1"/>
    <n v="2"/>
    <s v="High"/>
    <s v="High"/>
    <s v="Experienced"/>
  </r>
  <r>
    <n v="31"/>
    <x v="1"/>
    <s v="Travel_Rarely"/>
    <n v="1274"/>
    <x v="1"/>
    <n v="9"/>
    <n v="1"/>
    <s v="Life Sciences"/>
    <x v="0"/>
    <n v="581"/>
    <n v="3"/>
    <s v="Male"/>
    <n v="33"/>
    <n v="3"/>
    <n v="3"/>
    <s v="Manufacturing Director"/>
    <n v="2"/>
    <s v="Divorced"/>
    <n v="10648"/>
    <n v="14394"/>
    <n v="1"/>
    <s v="Y"/>
    <x v="1"/>
    <n v="25"/>
    <n v="4"/>
    <n v="4"/>
    <n v="80"/>
    <n v="1"/>
    <n v="13"/>
    <n v="6"/>
    <n v="4"/>
    <n v="13"/>
    <n v="8"/>
    <n v="0"/>
    <n v="8"/>
    <s v="High"/>
    <s v="High"/>
    <s v="High"/>
  </r>
  <r>
    <n v="33"/>
    <x v="0"/>
    <s v="Travel_Rarely"/>
    <n v="1277"/>
    <x v="1"/>
    <n v="15"/>
    <n v="1"/>
    <s v="Medical"/>
    <x v="0"/>
    <n v="582"/>
    <n v="2"/>
    <s v="Male"/>
    <n v="56"/>
    <n v="3"/>
    <n v="3"/>
    <s v="Manager"/>
    <n v="3"/>
    <s v="Married"/>
    <n v="13610"/>
    <n v="24619"/>
    <n v="7"/>
    <s v="Y"/>
    <x v="0"/>
    <n v="12"/>
    <n v="3"/>
    <n v="4"/>
    <n v="80"/>
    <n v="0"/>
    <n v="15"/>
    <n v="2"/>
    <n v="4"/>
    <n v="7"/>
    <n v="6"/>
    <n v="7"/>
    <n v="7"/>
    <s v="High"/>
    <s v="High"/>
    <s v="Experienced"/>
  </r>
  <r>
    <n v="33"/>
    <x v="0"/>
    <s v="Travel_Rarely"/>
    <n v="587"/>
    <x v="1"/>
    <n v="10"/>
    <n v="1"/>
    <s v="Medical"/>
    <x v="0"/>
    <n v="584"/>
    <n v="1"/>
    <s v="Male"/>
    <n v="38"/>
    <n v="1"/>
    <n v="1"/>
    <s v="Laboratory Technician"/>
    <n v="4"/>
    <s v="Divorced"/>
    <n v="3408"/>
    <n v="6705"/>
    <n v="7"/>
    <s v="Y"/>
    <x v="1"/>
    <n v="13"/>
    <n v="3"/>
    <n v="1"/>
    <n v="80"/>
    <n v="3"/>
    <n v="8"/>
    <n v="2"/>
    <n v="3"/>
    <n v="4"/>
    <n v="3"/>
    <n v="1"/>
    <n v="3"/>
    <s v="Low"/>
    <s v="Low"/>
    <s v="Experienced"/>
  </r>
  <r>
    <n v="30"/>
    <x v="1"/>
    <s v="Travel_Rarely"/>
    <n v="413"/>
    <x v="0"/>
    <n v="7"/>
    <n v="1"/>
    <s v="Marketing"/>
    <x v="0"/>
    <n v="585"/>
    <n v="4"/>
    <s v="Male"/>
    <n v="57"/>
    <n v="3"/>
    <n v="1"/>
    <s v="Sales Representative"/>
    <n v="2"/>
    <s v="Single"/>
    <n v="2983"/>
    <n v="18398"/>
    <n v="0"/>
    <s v="Y"/>
    <x v="1"/>
    <n v="14"/>
    <n v="3"/>
    <n v="1"/>
    <n v="80"/>
    <n v="0"/>
    <n v="4"/>
    <n v="3"/>
    <n v="3"/>
    <n v="3"/>
    <n v="2"/>
    <n v="1"/>
    <n v="2"/>
    <s v="Low"/>
    <s v="Low"/>
    <s v="Experienced"/>
  </r>
  <r>
    <n v="35"/>
    <x v="1"/>
    <s v="Travel_Rarely"/>
    <n v="1276"/>
    <x v="1"/>
    <n v="16"/>
    <n v="3"/>
    <s v="Life Sciences"/>
    <x v="0"/>
    <n v="586"/>
    <n v="4"/>
    <s v="Male"/>
    <n v="72"/>
    <n v="3"/>
    <n v="3"/>
    <s v="Healthcare Representative"/>
    <n v="3"/>
    <s v="Married"/>
    <n v="7632"/>
    <n v="14295"/>
    <n v="4"/>
    <s v="Y"/>
    <x v="0"/>
    <n v="12"/>
    <n v="3"/>
    <n v="3"/>
    <n v="80"/>
    <n v="0"/>
    <n v="10"/>
    <n v="2"/>
    <n v="3"/>
    <n v="8"/>
    <n v="7"/>
    <n v="0"/>
    <n v="0"/>
    <s v="High"/>
    <s v="Medium"/>
    <s v="High"/>
  </r>
  <r>
    <n v="31"/>
    <x v="0"/>
    <s v="Travel_Frequently"/>
    <n v="534"/>
    <x v="1"/>
    <n v="20"/>
    <n v="3"/>
    <s v="Life Sciences"/>
    <x v="0"/>
    <n v="587"/>
    <n v="1"/>
    <s v="Male"/>
    <n v="66"/>
    <n v="3"/>
    <n v="3"/>
    <s v="Healthcare Representative"/>
    <n v="3"/>
    <s v="Married"/>
    <n v="9824"/>
    <n v="22908"/>
    <n v="3"/>
    <s v="Y"/>
    <x v="1"/>
    <n v="12"/>
    <n v="3"/>
    <n v="1"/>
    <n v="80"/>
    <n v="0"/>
    <n v="12"/>
    <n v="2"/>
    <n v="3"/>
    <n v="1"/>
    <n v="0"/>
    <n v="0"/>
    <n v="0"/>
    <s v="High"/>
    <s v="High"/>
    <s v="new"/>
  </r>
  <r>
    <n v="34"/>
    <x v="0"/>
    <s v="Travel_Frequently"/>
    <n v="988"/>
    <x v="2"/>
    <n v="23"/>
    <n v="3"/>
    <s v="Human Resources"/>
    <x v="0"/>
    <n v="590"/>
    <n v="2"/>
    <s v="Female"/>
    <n v="43"/>
    <n v="3"/>
    <n v="3"/>
    <s v="Human Resources"/>
    <n v="1"/>
    <s v="Divorced"/>
    <n v="9950"/>
    <n v="11533"/>
    <n v="9"/>
    <s v="Y"/>
    <x v="0"/>
    <n v="15"/>
    <n v="3"/>
    <n v="3"/>
    <n v="80"/>
    <n v="3"/>
    <n v="11"/>
    <n v="2"/>
    <n v="3"/>
    <n v="3"/>
    <n v="2"/>
    <n v="0"/>
    <n v="2"/>
    <s v="High"/>
    <s v="High"/>
    <s v="Experienced"/>
  </r>
  <r>
    <n v="42"/>
    <x v="1"/>
    <s v="Travel_Frequently"/>
    <n v="1474"/>
    <x v="1"/>
    <n v="5"/>
    <n v="2"/>
    <s v="Other"/>
    <x v="0"/>
    <n v="591"/>
    <n v="2"/>
    <s v="Male"/>
    <n v="97"/>
    <n v="3"/>
    <n v="1"/>
    <s v="Laboratory Technician"/>
    <n v="3"/>
    <s v="Married"/>
    <n v="2093"/>
    <n v="9260"/>
    <n v="4"/>
    <s v="Y"/>
    <x v="1"/>
    <n v="17"/>
    <n v="3"/>
    <n v="4"/>
    <n v="80"/>
    <n v="1"/>
    <n v="8"/>
    <n v="4"/>
    <n v="3"/>
    <n v="2"/>
    <n v="2"/>
    <n v="2"/>
    <n v="0"/>
    <s v="Low"/>
    <s v="Low"/>
    <s v="new"/>
  </r>
  <r>
    <n v="36"/>
    <x v="1"/>
    <s v="Non-Travel"/>
    <n v="635"/>
    <x v="0"/>
    <n v="10"/>
    <n v="4"/>
    <s v="Medical"/>
    <x v="0"/>
    <n v="592"/>
    <n v="2"/>
    <s v="Male"/>
    <n v="32"/>
    <n v="3"/>
    <n v="3"/>
    <s v="Sales Executive"/>
    <n v="4"/>
    <s v="Single"/>
    <n v="9980"/>
    <n v="15318"/>
    <n v="1"/>
    <s v="Y"/>
    <x v="1"/>
    <n v="14"/>
    <n v="3"/>
    <n v="4"/>
    <n v="80"/>
    <n v="0"/>
    <n v="10"/>
    <n v="3"/>
    <n v="2"/>
    <n v="10"/>
    <n v="3"/>
    <n v="9"/>
    <n v="7"/>
    <s v="High"/>
    <s v="High"/>
    <s v="High"/>
  </r>
  <r>
    <n v="22"/>
    <x v="0"/>
    <s v="Travel_Frequently"/>
    <n v="1368"/>
    <x v="1"/>
    <n v="4"/>
    <n v="1"/>
    <s v="Technical Degree"/>
    <x v="0"/>
    <n v="593"/>
    <n v="3"/>
    <s v="Male"/>
    <n v="99"/>
    <n v="2"/>
    <n v="1"/>
    <s v="Laboratory Technician"/>
    <n v="3"/>
    <s v="Single"/>
    <n v="3894"/>
    <n v="9129"/>
    <n v="5"/>
    <s v="Y"/>
    <x v="1"/>
    <n v="16"/>
    <n v="3"/>
    <n v="3"/>
    <n v="80"/>
    <n v="0"/>
    <n v="4"/>
    <n v="3"/>
    <n v="3"/>
    <n v="2"/>
    <n v="2"/>
    <n v="1"/>
    <n v="2"/>
    <s v="Low"/>
    <s v="Low"/>
    <s v="new"/>
  </r>
  <r>
    <n v="48"/>
    <x v="1"/>
    <s v="Travel_Rarely"/>
    <n v="163"/>
    <x v="0"/>
    <n v="2"/>
    <n v="5"/>
    <s v="Marketing"/>
    <x v="0"/>
    <n v="595"/>
    <n v="2"/>
    <s v="Female"/>
    <n v="37"/>
    <n v="3"/>
    <n v="2"/>
    <s v="Sales Executive"/>
    <n v="4"/>
    <s v="Married"/>
    <n v="4051"/>
    <n v="19658"/>
    <n v="2"/>
    <s v="Y"/>
    <x v="1"/>
    <n v="14"/>
    <n v="3"/>
    <n v="1"/>
    <n v="80"/>
    <n v="1"/>
    <n v="14"/>
    <n v="2"/>
    <n v="3"/>
    <n v="9"/>
    <n v="7"/>
    <n v="6"/>
    <n v="7"/>
    <s v="Low"/>
    <s v="Medium"/>
    <s v="High"/>
  </r>
  <r>
    <n v="55"/>
    <x v="1"/>
    <s v="Travel_Rarely"/>
    <n v="1117"/>
    <x v="0"/>
    <n v="18"/>
    <n v="5"/>
    <s v="Life Sciences"/>
    <x v="0"/>
    <n v="597"/>
    <n v="1"/>
    <s v="Female"/>
    <n v="83"/>
    <n v="3"/>
    <n v="4"/>
    <s v="Manager"/>
    <n v="2"/>
    <s v="Single"/>
    <n v="16835"/>
    <n v="9873"/>
    <n v="3"/>
    <s v="Y"/>
    <x v="1"/>
    <n v="23"/>
    <n v="4"/>
    <n v="4"/>
    <n v="80"/>
    <n v="0"/>
    <n v="37"/>
    <n v="2"/>
    <n v="3"/>
    <n v="10"/>
    <n v="9"/>
    <n v="7"/>
    <n v="7"/>
    <s v="High"/>
    <s v="High"/>
    <s v="High"/>
  </r>
  <r>
    <n v="41"/>
    <x v="1"/>
    <s v="Non-Travel"/>
    <n v="267"/>
    <x v="0"/>
    <n v="10"/>
    <n v="2"/>
    <s v="Life Sciences"/>
    <x v="0"/>
    <n v="599"/>
    <n v="4"/>
    <s v="Male"/>
    <n v="56"/>
    <n v="3"/>
    <n v="2"/>
    <s v="Sales Executive"/>
    <n v="4"/>
    <s v="Single"/>
    <n v="6230"/>
    <n v="13430"/>
    <n v="7"/>
    <s v="Y"/>
    <x v="1"/>
    <n v="14"/>
    <n v="3"/>
    <n v="4"/>
    <n v="80"/>
    <n v="0"/>
    <n v="16"/>
    <n v="3"/>
    <n v="3"/>
    <n v="14"/>
    <n v="3"/>
    <n v="1"/>
    <n v="10"/>
    <s v="Low"/>
    <s v="Medium"/>
    <s v="High"/>
  </r>
  <r>
    <n v="35"/>
    <x v="1"/>
    <s v="Travel_Rarely"/>
    <n v="619"/>
    <x v="0"/>
    <n v="1"/>
    <n v="3"/>
    <s v="Marketing"/>
    <x v="0"/>
    <n v="600"/>
    <n v="2"/>
    <s v="Male"/>
    <n v="85"/>
    <n v="3"/>
    <n v="2"/>
    <s v="Sales Executive"/>
    <n v="3"/>
    <s v="Married"/>
    <n v="4717"/>
    <n v="18659"/>
    <n v="9"/>
    <s v="Y"/>
    <x v="1"/>
    <n v="11"/>
    <n v="3"/>
    <n v="3"/>
    <n v="80"/>
    <n v="0"/>
    <n v="15"/>
    <n v="2"/>
    <n v="3"/>
    <n v="11"/>
    <n v="9"/>
    <n v="6"/>
    <n v="9"/>
    <s v="Low"/>
    <s v="Medium"/>
    <s v="High"/>
  </r>
  <r>
    <n v="40"/>
    <x v="1"/>
    <s v="Travel_Rarely"/>
    <n v="302"/>
    <x v="1"/>
    <n v="6"/>
    <n v="3"/>
    <s v="Life Sciences"/>
    <x v="0"/>
    <n v="601"/>
    <n v="2"/>
    <s v="Female"/>
    <n v="75"/>
    <n v="3"/>
    <n v="4"/>
    <s v="Manufacturing Director"/>
    <n v="3"/>
    <s v="Single"/>
    <n v="13237"/>
    <n v="20364"/>
    <n v="7"/>
    <s v="Y"/>
    <x v="1"/>
    <n v="15"/>
    <n v="3"/>
    <n v="3"/>
    <n v="80"/>
    <n v="0"/>
    <n v="22"/>
    <n v="3"/>
    <n v="3"/>
    <n v="20"/>
    <n v="6"/>
    <n v="5"/>
    <n v="13"/>
    <s v="High"/>
    <s v="High"/>
    <s v="High"/>
  </r>
  <r>
    <n v="39"/>
    <x v="1"/>
    <s v="Travel_Frequently"/>
    <n v="443"/>
    <x v="1"/>
    <n v="8"/>
    <n v="1"/>
    <s v="Life Sciences"/>
    <x v="0"/>
    <n v="602"/>
    <n v="3"/>
    <s v="Female"/>
    <n v="48"/>
    <n v="3"/>
    <n v="1"/>
    <s v="Laboratory Technician"/>
    <n v="3"/>
    <s v="Married"/>
    <n v="3755"/>
    <n v="17872"/>
    <n v="1"/>
    <s v="Y"/>
    <x v="1"/>
    <n v="11"/>
    <n v="3"/>
    <n v="1"/>
    <n v="80"/>
    <n v="1"/>
    <n v="8"/>
    <n v="3"/>
    <n v="3"/>
    <n v="8"/>
    <n v="3"/>
    <n v="0"/>
    <n v="7"/>
    <s v="Low"/>
    <s v="Low"/>
    <s v="High"/>
  </r>
  <r>
    <n v="31"/>
    <x v="1"/>
    <s v="Travel_Rarely"/>
    <n v="828"/>
    <x v="0"/>
    <n v="2"/>
    <n v="1"/>
    <s v="Life Sciences"/>
    <x v="0"/>
    <n v="604"/>
    <n v="2"/>
    <s v="Male"/>
    <n v="77"/>
    <n v="3"/>
    <n v="2"/>
    <s v="Sales Executive"/>
    <n v="4"/>
    <s v="Single"/>
    <n v="6582"/>
    <n v="8346"/>
    <n v="4"/>
    <s v="Y"/>
    <x v="0"/>
    <n v="13"/>
    <n v="3"/>
    <n v="3"/>
    <n v="80"/>
    <n v="0"/>
    <n v="10"/>
    <n v="2"/>
    <n v="4"/>
    <n v="6"/>
    <n v="5"/>
    <n v="0"/>
    <n v="5"/>
    <s v="High"/>
    <s v="Medium"/>
    <s v="Experienced"/>
  </r>
  <r>
    <n v="42"/>
    <x v="1"/>
    <s v="Travel_Rarely"/>
    <n v="319"/>
    <x v="1"/>
    <n v="24"/>
    <n v="3"/>
    <s v="Medical"/>
    <x v="0"/>
    <n v="605"/>
    <n v="4"/>
    <s v="Male"/>
    <n v="56"/>
    <n v="3"/>
    <n v="3"/>
    <s v="Manufacturing Director"/>
    <n v="1"/>
    <s v="Married"/>
    <n v="7406"/>
    <n v="6950"/>
    <n v="1"/>
    <s v="Y"/>
    <x v="0"/>
    <n v="21"/>
    <n v="4"/>
    <n v="4"/>
    <n v="80"/>
    <n v="1"/>
    <n v="10"/>
    <n v="5"/>
    <n v="2"/>
    <n v="10"/>
    <n v="9"/>
    <n v="5"/>
    <n v="8"/>
    <s v="High"/>
    <s v="Medium"/>
    <s v="High"/>
  </r>
  <r>
    <n v="45"/>
    <x v="1"/>
    <s v="Travel_Rarely"/>
    <n v="561"/>
    <x v="0"/>
    <n v="2"/>
    <n v="3"/>
    <s v="Other"/>
    <x v="0"/>
    <n v="606"/>
    <n v="4"/>
    <s v="Male"/>
    <n v="61"/>
    <n v="3"/>
    <n v="2"/>
    <s v="Sales Executive"/>
    <n v="2"/>
    <s v="Married"/>
    <n v="4805"/>
    <n v="16177"/>
    <n v="0"/>
    <s v="Y"/>
    <x v="1"/>
    <n v="19"/>
    <n v="3"/>
    <n v="2"/>
    <n v="80"/>
    <n v="1"/>
    <n v="9"/>
    <n v="3"/>
    <n v="4"/>
    <n v="8"/>
    <n v="7"/>
    <n v="3"/>
    <n v="7"/>
    <s v="Low"/>
    <s v="Medium"/>
    <s v="High"/>
  </r>
  <r>
    <n v="26"/>
    <x v="0"/>
    <s v="Travel_Frequently"/>
    <n v="426"/>
    <x v="2"/>
    <n v="17"/>
    <n v="4"/>
    <s v="Life Sciences"/>
    <x v="0"/>
    <n v="608"/>
    <n v="2"/>
    <s v="Female"/>
    <n v="58"/>
    <n v="3"/>
    <n v="1"/>
    <s v="Human Resources"/>
    <n v="3"/>
    <s v="Divorced"/>
    <n v="2741"/>
    <n v="22808"/>
    <n v="0"/>
    <s v="Y"/>
    <x v="0"/>
    <n v="11"/>
    <n v="3"/>
    <n v="2"/>
    <n v="80"/>
    <n v="1"/>
    <n v="8"/>
    <n v="2"/>
    <n v="2"/>
    <n v="7"/>
    <n v="7"/>
    <n v="1"/>
    <n v="0"/>
    <s v="Low"/>
    <s v="Low"/>
    <s v="Experienced"/>
  </r>
  <r>
    <n v="29"/>
    <x v="1"/>
    <s v="Travel_Rarely"/>
    <n v="232"/>
    <x v="1"/>
    <n v="19"/>
    <n v="3"/>
    <s v="Technical Degree"/>
    <x v="0"/>
    <n v="611"/>
    <n v="4"/>
    <s v="Male"/>
    <n v="34"/>
    <n v="3"/>
    <n v="2"/>
    <s v="Manufacturing Director"/>
    <n v="4"/>
    <s v="Divorced"/>
    <n v="4262"/>
    <n v="22645"/>
    <n v="4"/>
    <s v="Y"/>
    <x v="1"/>
    <n v="12"/>
    <n v="3"/>
    <n v="2"/>
    <n v="80"/>
    <n v="2"/>
    <n v="8"/>
    <n v="2"/>
    <n v="4"/>
    <n v="3"/>
    <n v="2"/>
    <n v="1"/>
    <n v="2"/>
    <s v="Low"/>
    <s v="Medium"/>
    <s v="Experienced"/>
  </r>
  <r>
    <n v="33"/>
    <x v="1"/>
    <s v="Travel_Rarely"/>
    <n v="922"/>
    <x v="1"/>
    <n v="1"/>
    <n v="5"/>
    <s v="Medical"/>
    <x v="0"/>
    <n v="612"/>
    <n v="1"/>
    <s v="Female"/>
    <n v="95"/>
    <n v="4"/>
    <n v="4"/>
    <s v="Research Director"/>
    <n v="3"/>
    <s v="Divorced"/>
    <n v="16184"/>
    <n v="22578"/>
    <n v="4"/>
    <s v="Y"/>
    <x v="1"/>
    <n v="19"/>
    <n v="3"/>
    <n v="3"/>
    <n v="80"/>
    <n v="1"/>
    <n v="10"/>
    <n v="2"/>
    <n v="3"/>
    <n v="6"/>
    <n v="1"/>
    <n v="0"/>
    <n v="5"/>
    <s v="High"/>
    <s v="High"/>
    <s v="Experienced"/>
  </r>
  <r>
    <n v="31"/>
    <x v="1"/>
    <s v="Travel_Rarely"/>
    <n v="688"/>
    <x v="0"/>
    <n v="7"/>
    <n v="3"/>
    <s v="Life Sciences"/>
    <x v="0"/>
    <n v="613"/>
    <n v="3"/>
    <s v="Male"/>
    <n v="44"/>
    <n v="2"/>
    <n v="3"/>
    <s v="Manager"/>
    <n v="4"/>
    <s v="Divorced"/>
    <n v="11557"/>
    <n v="25291"/>
    <n v="9"/>
    <s v="Y"/>
    <x v="1"/>
    <n v="21"/>
    <n v="4"/>
    <n v="3"/>
    <n v="80"/>
    <n v="1"/>
    <n v="10"/>
    <n v="3"/>
    <n v="2"/>
    <n v="5"/>
    <n v="4"/>
    <n v="0"/>
    <n v="1"/>
    <s v="High"/>
    <s v="High"/>
    <s v="Experienced"/>
  </r>
  <r>
    <n v="18"/>
    <x v="0"/>
    <s v="Travel_Frequently"/>
    <n v="1306"/>
    <x v="0"/>
    <n v="5"/>
    <n v="3"/>
    <s v="Marketing"/>
    <x v="0"/>
    <n v="614"/>
    <n v="2"/>
    <s v="Male"/>
    <n v="69"/>
    <n v="3"/>
    <n v="1"/>
    <s v="Sales Representative"/>
    <n v="2"/>
    <s v="Single"/>
    <n v="1878"/>
    <n v="8059"/>
    <n v="1"/>
    <s v="Y"/>
    <x v="0"/>
    <n v="14"/>
    <n v="3"/>
    <n v="4"/>
    <n v="80"/>
    <n v="0"/>
    <n v="0"/>
    <n v="3"/>
    <n v="3"/>
    <n v="0"/>
    <n v="0"/>
    <n v="0"/>
    <n v="0"/>
    <s v="Low"/>
    <s v="Low"/>
    <s v="new"/>
  </r>
  <r>
    <n v="40"/>
    <x v="1"/>
    <s v="Non-Travel"/>
    <n v="1094"/>
    <x v="0"/>
    <n v="28"/>
    <n v="3"/>
    <s v="Other"/>
    <x v="0"/>
    <n v="615"/>
    <n v="3"/>
    <s v="Male"/>
    <n v="58"/>
    <n v="1"/>
    <n v="3"/>
    <s v="Sales Executive"/>
    <n v="1"/>
    <s v="Divorced"/>
    <n v="10932"/>
    <n v="11373"/>
    <n v="3"/>
    <s v="Y"/>
    <x v="1"/>
    <n v="15"/>
    <n v="3"/>
    <n v="3"/>
    <n v="80"/>
    <n v="1"/>
    <n v="20"/>
    <n v="2"/>
    <n v="3"/>
    <n v="1"/>
    <n v="0"/>
    <n v="0"/>
    <n v="1"/>
    <s v="High"/>
    <s v="High"/>
    <s v="new"/>
  </r>
  <r>
    <n v="41"/>
    <x v="1"/>
    <s v="Non-Travel"/>
    <n v="509"/>
    <x v="1"/>
    <n v="2"/>
    <n v="4"/>
    <s v="Other"/>
    <x v="0"/>
    <n v="616"/>
    <n v="1"/>
    <s v="Female"/>
    <n v="62"/>
    <n v="2"/>
    <n v="2"/>
    <s v="Healthcare Representative"/>
    <n v="3"/>
    <s v="Single"/>
    <n v="6811"/>
    <n v="2112"/>
    <n v="2"/>
    <s v="Y"/>
    <x v="0"/>
    <n v="17"/>
    <n v="3"/>
    <n v="1"/>
    <n v="80"/>
    <n v="0"/>
    <n v="10"/>
    <n v="3"/>
    <n v="3"/>
    <n v="8"/>
    <n v="7"/>
    <n v="0"/>
    <n v="7"/>
    <s v="High"/>
    <s v="Medium"/>
    <s v="High"/>
  </r>
  <r>
    <n v="26"/>
    <x v="1"/>
    <s v="Travel_Rarely"/>
    <n v="775"/>
    <x v="0"/>
    <n v="29"/>
    <n v="2"/>
    <s v="Medical"/>
    <x v="0"/>
    <n v="618"/>
    <n v="1"/>
    <s v="Male"/>
    <n v="45"/>
    <n v="3"/>
    <n v="2"/>
    <s v="Sales Executive"/>
    <n v="3"/>
    <s v="Divorced"/>
    <n v="4306"/>
    <n v="4267"/>
    <n v="5"/>
    <s v="Y"/>
    <x v="1"/>
    <n v="12"/>
    <n v="3"/>
    <n v="1"/>
    <n v="80"/>
    <n v="2"/>
    <n v="8"/>
    <n v="5"/>
    <n v="3"/>
    <n v="0"/>
    <n v="0"/>
    <n v="0"/>
    <n v="0"/>
    <s v="Low"/>
    <s v="Medium"/>
    <s v="new"/>
  </r>
  <r>
    <n v="35"/>
    <x v="1"/>
    <s v="Travel_Rarely"/>
    <n v="195"/>
    <x v="0"/>
    <n v="1"/>
    <n v="3"/>
    <s v="Medical"/>
    <x v="0"/>
    <n v="620"/>
    <n v="1"/>
    <s v="Female"/>
    <n v="80"/>
    <n v="3"/>
    <n v="2"/>
    <s v="Sales Executive"/>
    <n v="3"/>
    <s v="Single"/>
    <n v="4859"/>
    <n v="6698"/>
    <n v="1"/>
    <s v="Y"/>
    <x v="1"/>
    <n v="16"/>
    <n v="3"/>
    <n v="4"/>
    <n v="80"/>
    <n v="0"/>
    <n v="5"/>
    <n v="3"/>
    <n v="3"/>
    <n v="5"/>
    <n v="4"/>
    <n v="0"/>
    <n v="3"/>
    <s v="Low"/>
    <s v="Medium"/>
    <s v="Experienced"/>
  </r>
  <r>
    <n v="34"/>
    <x v="1"/>
    <s v="Travel_Rarely"/>
    <n v="258"/>
    <x v="0"/>
    <n v="21"/>
    <n v="4"/>
    <s v="Life Sciences"/>
    <x v="0"/>
    <n v="621"/>
    <n v="4"/>
    <s v="Male"/>
    <n v="74"/>
    <n v="4"/>
    <n v="2"/>
    <s v="Sales Executive"/>
    <n v="4"/>
    <s v="Single"/>
    <n v="5337"/>
    <n v="19921"/>
    <n v="1"/>
    <s v="Y"/>
    <x v="1"/>
    <n v="12"/>
    <n v="3"/>
    <n v="4"/>
    <n v="80"/>
    <n v="0"/>
    <n v="10"/>
    <n v="3"/>
    <n v="3"/>
    <n v="10"/>
    <n v="7"/>
    <n v="5"/>
    <n v="7"/>
    <s v="Low"/>
    <s v="Medium"/>
    <s v="High"/>
  </r>
  <r>
    <n v="26"/>
    <x v="0"/>
    <s v="Travel_Rarely"/>
    <n v="471"/>
    <x v="1"/>
    <n v="24"/>
    <n v="3"/>
    <s v="Technical Degree"/>
    <x v="0"/>
    <n v="622"/>
    <n v="3"/>
    <s v="Male"/>
    <n v="66"/>
    <n v="1"/>
    <n v="1"/>
    <s v="Laboratory Technician"/>
    <n v="4"/>
    <s v="Single"/>
    <n v="2340"/>
    <n v="23213"/>
    <n v="1"/>
    <s v="Y"/>
    <x v="0"/>
    <n v="18"/>
    <n v="3"/>
    <n v="2"/>
    <n v="80"/>
    <n v="0"/>
    <n v="1"/>
    <n v="3"/>
    <n v="1"/>
    <n v="1"/>
    <n v="0"/>
    <n v="0"/>
    <n v="0"/>
    <s v="Low"/>
    <s v="Low"/>
    <s v="new"/>
  </r>
  <r>
    <n v="37"/>
    <x v="1"/>
    <s v="Travel_Rarely"/>
    <n v="799"/>
    <x v="1"/>
    <n v="1"/>
    <n v="3"/>
    <s v="Technical Degree"/>
    <x v="0"/>
    <n v="623"/>
    <n v="2"/>
    <s v="Female"/>
    <n v="59"/>
    <n v="3"/>
    <n v="3"/>
    <s v="Manufacturing Director"/>
    <n v="4"/>
    <s v="Single"/>
    <n v="7491"/>
    <n v="23848"/>
    <n v="4"/>
    <s v="Y"/>
    <x v="1"/>
    <n v="17"/>
    <n v="3"/>
    <n v="4"/>
    <n v="80"/>
    <n v="0"/>
    <n v="12"/>
    <n v="3"/>
    <n v="4"/>
    <n v="6"/>
    <n v="5"/>
    <n v="1"/>
    <n v="2"/>
    <s v="High"/>
    <s v="Medium"/>
    <s v="Experienced"/>
  </r>
  <r>
    <n v="46"/>
    <x v="1"/>
    <s v="Travel_Frequently"/>
    <n v="1034"/>
    <x v="1"/>
    <n v="18"/>
    <n v="1"/>
    <s v="Medical"/>
    <x v="0"/>
    <n v="624"/>
    <n v="1"/>
    <s v="Female"/>
    <n v="86"/>
    <n v="3"/>
    <n v="3"/>
    <s v="Healthcare Representative"/>
    <n v="3"/>
    <s v="Married"/>
    <n v="10527"/>
    <n v="8984"/>
    <n v="5"/>
    <s v="Y"/>
    <x v="1"/>
    <n v="11"/>
    <n v="3"/>
    <n v="4"/>
    <n v="80"/>
    <n v="0"/>
    <n v="28"/>
    <n v="3"/>
    <n v="2"/>
    <n v="2"/>
    <n v="2"/>
    <n v="1"/>
    <n v="2"/>
    <s v="High"/>
    <s v="High"/>
    <s v="new"/>
  </r>
  <r>
    <n v="41"/>
    <x v="1"/>
    <s v="Travel_Rarely"/>
    <n v="1276"/>
    <x v="0"/>
    <n v="2"/>
    <n v="5"/>
    <s v="Life Sciences"/>
    <x v="0"/>
    <n v="625"/>
    <n v="2"/>
    <s v="Female"/>
    <n v="91"/>
    <n v="3"/>
    <n v="4"/>
    <s v="Manager"/>
    <n v="1"/>
    <s v="Married"/>
    <n v="16595"/>
    <n v="5626"/>
    <n v="7"/>
    <s v="Y"/>
    <x v="1"/>
    <n v="16"/>
    <n v="3"/>
    <n v="2"/>
    <n v="80"/>
    <n v="1"/>
    <n v="22"/>
    <n v="2"/>
    <n v="3"/>
    <n v="18"/>
    <n v="16"/>
    <n v="11"/>
    <n v="8"/>
    <s v="High"/>
    <s v="High"/>
    <s v="High"/>
  </r>
  <r>
    <n v="37"/>
    <x v="1"/>
    <s v="Non-Travel"/>
    <n v="142"/>
    <x v="0"/>
    <n v="9"/>
    <n v="4"/>
    <s v="Medical"/>
    <x v="0"/>
    <n v="626"/>
    <n v="1"/>
    <s v="Male"/>
    <n v="69"/>
    <n v="3"/>
    <n v="3"/>
    <s v="Sales Executive"/>
    <n v="2"/>
    <s v="Divorced"/>
    <n v="8834"/>
    <n v="24666"/>
    <n v="1"/>
    <s v="Y"/>
    <x v="1"/>
    <n v="13"/>
    <n v="3"/>
    <n v="4"/>
    <n v="80"/>
    <n v="1"/>
    <n v="9"/>
    <n v="6"/>
    <n v="3"/>
    <n v="9"/>
    <n v="5"/>
    <n v="7"/>
    <n v="7"/>
    <s v="High"/>
    <s v="High"/>
    <s v="High"/>
  </r>
  <r>
    <n v="52"/>
    <x v="1"/>
    <s v="Travel_Rarely"/>
    <n v="956"/>
    <x v="1"/>
    <n v="6"/>
    <n v="2"/>
    <s v="Technical Degree"/>
    <x v="0"/>
    <n v="630"/>
    <n v="4"/>
    <s v="Male"/>
    <n v="78"/>
    <n v="3"/>
    <n v="2"/>
    <s v="Research Scientist"/>
    <n v="1"/>
    <s v="Divorced"/>
    <n v="5577"/>
    <n v="22087"/>
    <n v="3"/>
    <s v="Y"/>
    <x v="0"/>
    <n v="12"/>
    <n v="3"/>
    <n v="2"/>
    <n v="80"/>
    <n v="2"/>
    <n v="18"/>
    <n v="3"/>
    <n v="3"/>
    <n v="10"/>
    <n v="9"/>
    <n v="6"/>
    <n v="9"/>
    <s v="Low"/>
    <s v="Medium"/>
    <s v="High"/>
  </r>
  <r>
    <n v="32"/>
    <x v="0"/>
    <s v="Non-Travel"/>
    <n v="1474"/>
    <x v="0"/>
    <n v="11"/>
    <n v="4"/>
    <s v="Other"/>
    <x v="0"/>
    <n v="631"/>
    <n v="4"/>
    <s v="Male"/>
    <n v="60"/>
    <n v="4"/>
    <n v="2"/>
    <s v="Sales Executive"/>
    <n v="3"/>
    <s v="Married"/>
    <n v="4707"/>
    <n v="23914"/>
    <n v="8"/>
    <s v="Y"/>
    <x v="1"/>
    <n v="12"/>
    <n v="3"/>
    <n v="4"/>
    <n v="80"/>
    <n v="0"/>
    <n v="6"/>
    <n v="2"/>
    <n v="3"/>
    <n v="4"/>
    <n v="2"/>
    <n v="1"/>
    <n v="2"/>
    <s v="Low"/>
    <s v="Medium"/>
    <s v="Experienced"/>
  </r>
  <r>
    <n v="24"/>
    <x v="1"/>
    <s v="Travel_Frequently"/>
    <n v="535"/>
    <x v="0"/>
    <n v="24"/>
    <n v="3"/>
    <s v="Medical"/>
    <x v="0"/>
    <n v="632"/>
    <n v="4"/>
    <s v="Male"/>
    <n v="38"/>
    <n v="3"/>
    <n v="1"/>
    <s v="Sales Representative"/>
    <n v="4"/>
    <s v="Married"/>
    <n v="2400"/>
    <n v="5530"/>
    <n v="0"/>
    <s v="Y"/>
    <x v="1"/>
    <n v="13"/>
    <n v="3"/>
    <n v="3"/>
    <n v="80"/>
    <n v="2"/>
    <n v="3"/>
    <n v="3"/>
    <n v="3"/>
    <n v="2"/>
    <n v="2"/>
    <n v="2"/>
    <n v="1"/>
    <s v="Low"/>
    <s v="Low"/>
    <s v="new"/>
  </r>
  <r>
    <n v="38"/>
    <x v="1"/>
    <s v="Travel_Rarely"/>
    <n v="1495"/>
    <x v="1"/>
    <n v="10"/>
    <n v="3"/>
    <s v="Medical"/>
    <x v="0"/>
    <n v="634"/>
    <n v="3"/>
    <s v="Female"/>
    <n v="76"/>
    <n v="3"/>
    <n v="2"/>
    <s v="Healthcare Representative"/>
    <n v="3"/>
    <s v="Married"/>
    <n v="9824"/>
    <n v="22174"/>
    <n v="3"/>
    <s v="Y"/>
    <x v="1"/>
    <n v="19"/>
    <n v="3"/>
    <n v="3"/>
    <n v="80"/>
    <n v="1"/>
    <n v="18"/>
    <n v="4"/>
    <n v="3"/>
    <n v="1"/>
    <n v="0"/>
    <n v="0"/>
    <n v="0"/>
    <s v="High"/>
    <s v="High"/>
    <s v="new"/>
  </r>
  <r>
    <n v="37"/>
    <x v="1"/>
    <s v="Travel_Rarely"/>
    <n v="446"/>
    <x v="1"/>
    <n v="1"/>
    <n v="4"/>
    <s v="Life Sciences"/>
    <x v="0"/>
    <n v="635"/>
    <n v="2"/>
    <s v="Female"/>
    <n v="65"/>
    <n v="3"/>
    <n v="2"/>
    <s v="Manufacturing Director"/>
    <n v="2"/>
    <s v="Married"/>
    <n v="6447"/>
    <n v="15701"/>
    <n v="6"/>
    <s v="Y"/>
    <x v="1"/>
    <n v="12"/>
    <n v="3"/>
    <n v="2"/>
    <n v="80"/>
    <n v="1"/>
    <n v="8"/>
    <n v="2"/>
    <n v="2"/>
    <n v="6"/>
    <n v="5"/>
    <n v="4"/>
    <n v="3"/>
    <s v="Low"/>
    <s v="Medium"/>
    <s v="Experienced"/>
  </r>
  <r>
    <n v="49"/>
    <x v="1"/>
    <s v="Travel_Rarely"/>
    <n v="1245"/>
    <x v="1"/>
    <n v="18"/>
    <n v="4"/>
    <s v="Life Sciences"/>
    <x v="0"/>
    <n v="638"/>
    <n v="4"/>
    <s v="Male"/>
    <n v="58"/>
    <n v="2"/>
    <n v="5"/>
    <s v="Research Director"/>
    <n v="3"/>
    <s v="Divorced"/>
    <n v="19502"/>
    <n v="2125"/>
    <n v="1"/>
    <s v="Y"/>
    <x v="0"/>
    <n v="17"/>
    <n v="3"/>
    <n v="3"/>
    <n v="80"/>
    <n v="1"/>
    <n v="31"/>
    <n v="5"/>
    <n v="3"/>
    <n v="31"/>
    <n v="9"/>
    <n v="0"/>
    <n v="9"/>
    <s v="High"/>
    <s v="High"/>
    <s v="High"/>
  </r>
  <r>
    <n v="24"/>
    <x v="1"/>
    <s v="Travel_Rarely"/>
    <n v="691"/>
    <x v="1"/>
    <n v="23"/>
    <n v="3"/>
    <s v="Medical"/>
    <x v="0"/>
    <n v="639"/>
    <n v="2"/>
    <s v="Male"/>
    <n v="89"/>
    <n v="4"/>
    <n v="1"/>
    <s v="Research Scientist"/>
    <n v="4"/>
    <s v="Married"/>
    <n v="2725"/>
    <n v="21630"/>
    <n v="1"/>
    <s v="Y"/>
    <x v="0"/>
    <n v="11"/>
    <n v="3"/>
    <n v="2"/>
    <n v="80"/>
    <n v="2"/>
    <n v="6"/>
    <n v="3"/>
    <n v="3"/>
    <n v="6"/>
    <n v="5"/>
    <n v="1"/>
    <n v="4"/>
    <s v="Low"/>
    <s v="Low"/>
    <s v="Experienced"/>
  </r>
  <r>
    <n v="26"/>
    <x v="1"/>
    <s v="Travel_Rarely"/>
    <n v="703"/>
    <x v="0"/>
    <n v="28"/>
    <n v="2"/>
    <s v="Marketing"/>
    <x v="0"/>
    <n v="641"/>
    <n v="1"/>
    <s v="Male"/>
    <n v="66"/>
    <n v="3"/>
    <n v="2"/>
    <s v="Sales Executive"/>
    <n v="2"/>
    <s v="Married"/>
    <n v="6272"/>
    <n v="7428"/>
    <n v="1"/>
    <s v="Y"/>
    <x v="1"/>
    <n v="20"/>
    <n v="4"/>
    <n v="4"/>
    <n v="80"/>
    <n v="2"/>
    <n v="6"/>
    <n v="5"/>
    <n v="4"/>
    <n v="5"/>
    <n v="3"/>
    <n v="1"/>
    <n v="4"/>
    <s v="Low"/>
    <s v="Medium"/>
    <s v="Experienced"/>
  </r>
  <r>
    <n v="24"/>
    <x v="1"/>
    <s v="Travel_Rarely"/>
    <n v="823"/>
    <x v="1"/>
    <n v="17"/>
    <n v="2"/>
    <s v="Other"/>
    <x v="0"/>
    <n v="643"/>
    <n v="4"/>
    <s v="Male"/>
    <n v="94"/>
    <n v="2"/>
    <n v="1"/>
    <s v="Laboratory Technician"/>
    <n v="2"/>
    <s v="Married"/>
    <n v="2127"/>
    <n v="9100"/>
    <n v="1"/>
    <s v="Y"/>
    <x v="1"/>
    <n v="21"/>
    <n v="4"/>
    <n v="4"/>
    <n v="80"/>
    <n v="1"/>
    <n v="1"/>
    <n v="2"/>
    <n v="3"/>
    <n v="1"/>
    <n v="0"/>
    <n v="0"/>
    <n v="0"/>
    <s v="Low"/>
    <s v="Low"/>
    <s v="new"/>
  </r>
  <r>
    <n v="50"/>
    <x v="1"/>
    <s v="Travel_Frequently"/>
    <n v="1246"/>
    <x v="2"/>
    <n v="3"/>
    <n v="3"/>
    <s v="Medical"/>
    <x v="0"/>
    <n v="644"/>
    <n v="1"/>
    <s v="Male"/>
    <n v="99"/>
    <n v="3"/>
    <n v="5"/>
    <s v="Manager"/>
    <n v="2"/>
    <s v="Married"/>
    <n v="18200"/>
    <n v="7999"/>
    <n v="1"/>
    <s v="Y"/>
    <x v="1"/>
    <n v="11"/>
    <n v="3"/>
    <n v="3"/>
    <n v="80"/>
    <n v="1"/>
    <n v="32"/>
    <n v="2"/>
    <n v="3"/>
    <n v="32"/>
    <n v="5"/>
    <n v="10"/>
    <n v="7"/>
    <s v="High"/>
    <s v="High"/>
    <s v="High"/>
  </r>
  <r>
    <n v="25"/>
    <x v="1"/>
    <s v="Travel_Rarely"/>
    <n v="622"/>
    <x v="0"/>
    <n v="13"/>
    <n v="1"/>
    <s v="Medical"/>
    <x v="0"/>
    <n v="645"/>
    <n v="2"/>
    <s v="Male"/>
    <n v="40"/>
    <n v="3"/>
    <n v="1"/>
    <s v="Sales Representative"/>
    <n v="3"/>
    <s v="Married"/>
    <n v="2096"/>
    <n v="26376"/>
    <n v="1"/>
    <s v="Y"/>
    <x v="1"/>
    <n v="11"/>
    <n v="3"/>
    <n v="3"/>
    <n v="80"/>
    <n v="0"/>
    <n v="7"/>
    <n v="1"/>
    <n v="3"/>
    <n v="7"/>
    <n v="4"/>
    <n v="0"/>
    <n v="6"/>
    <s v="Low"/>
    <s v="Low"/>
    <s v="Experienced"/>
  </r>
  <r>
    <n v="24"/>
    <x v="0"/>
    <s v="Travel_Frequently"/>
    <n v="1287"/>
    <x v="1"/>
    <n v="7"/>
    <n v="3"/>
    <s v="Life Sciences"/>
    <x v="0"/>
    <n v="647"/>
    <n v="1"/>
    <s v="Female"/>
    <n v="55"/>
    <n v="3"/>
    <n v="1"/>
    <s v="Laboratory Technician"/>
    <n v="3"/>
    <s v="Married"/>
    <n v="2886"/>
    <n v="14168"/>
    <n v="1"/>
    <s v="Y"/>
    <x v="0"/>
    <n v="16"/>
    <n v="3"/>
    <n v="4"/>
    <n v="80"/>
    <n v="1"/>
    <n v="6"/>
    <n v="4"/>
    <n v="3"/>
    <n v="6"/>
    <n v="3"/>
    <n v="1"/>
    <n v="2"/>
    <s v="Low"/>
    <s v="Low"/>
    <s v="Experienced"/>
  </r>
  <r>
    <n v="30"/>
    <x v="0"/>
    <s v="Travel_Frequently"/>
    <n v="448"/>
    <x v="0"/>
    <n v="12"/>
    <n v="4"/>
    <s v="Life Sciences"/>
    <x v="0"/>
    <n v="648"/>
    <n v="2"/>
    <s v="Male"/>
    <n v="74"/>
    <n v="2"/>
    <n v="1"/>
    <s v="Sales Representative"/>
    <n v="1"/>
    <s v="Married"/>
    <n v="2033"/>
    <n v="14470"/>
    <n v="1"/>
    <s v="Y"/>
    <x v="1"/>
    <n v="18"/>
    <n v="3"/>
    <n v="3"/>
    <n v="80"/>
    <n v="1"/>
    <n v="1"/>
    <n v="2"/>
    <n v="4"/>
    <n v="1"/>
    <n v="0"/>
    <n v="0"/>
    <n v="0"/>
    <s v="Low"/>
    <s v="Low"/>
    <s v="new"/>
  </r>
  <r>
    <n v="34"/>
    <x v="1"/>
    <s v="Travel_Rarely"/>
    <n v="254"/>
    <x v="1"/>
    <n v="1"/>
    <n v="2"/>
    <s v="Life Sciences"/>
    <x v="0"/>
    <n v="649"/>
    <n v="2"/>
    <s v="Male"/>
    <n v="83"/>
    <n v="2"/>
    <n v="1"/>
    <s v="Research Scientist"/>
    <n v="4"/>
    <s v="Married"/>
    <n v="3622"/>
    <n v="22794"/>
    <n v="1"/>
    <s v="Y"/>
    <x v="0"/>
    <n v="13"/>
    <n v="3"/>
    <n v="4"/>
    <n v="80"/>
    <n v="1"/>
    <n v="6"/>
    <n v="3"/>
    <n v="3"/>
    <n v="6"/>
    <n v="5"/>
    <n v="1"/>
    <n v="3"/>
    <s v="Low"/>
    <s v="Low"/>
    <s v="Experienced"/>
  </r>
  <r>
    <n v="31"/>
    <x v="0"/>
    <s v="Travel_Rarely"/>
    <n v="1365"/>
    <x v="0"/>
    <n v="13"/>
    <n v="4"/>
    <s v="Medical"/>
    <x v="0"/>
    <n v="650"/>
    <n v="2"/>
    <s v="Male"/>
    <n v="46"/>
    <n v="3"/>
    <n v="2"/>
    <s v="Sales Executive"/>
    <n v="1"/>
    <s v="Divorced"/>
    <n v="4233"/>
    <n v="11512"/>
    <n v="2"/>
    <s v="Y"/>
    <x v="1"/>
    <n v="17"/>
    <n v="3"/>
    <n v="3"/>
    <n v="80"/>
    <n v="0"/>
    <n v="9"/>
    <n v="2"/>
    <n v="1"/>
    <n v="3"/>
    <n v="1"/>
    <n v="1"/>
    <n v="2"/>
    <s v="Low"/>
    <s v="Medium"/>
    <s v="Experienced"/>
  </r>
  <r>
    <n v="35"/>
    <x v="1"/>
    <s v="Travel_Rarely"/>
    <n v="538"/>
    <x v="1"/>
    <n v="25"/>
    <n v="2"/>
    <s v="Other"/>
    <x v="0"/>
    <n v="652"/>
    <n v="1"/>
    <s v="Male"/>
    <n v="54"/>
    <n v="2"/>
    <n v="2"/>
    <s v="Laboratory Technician"/>
    <n v="4"/>
    <s v="Single"/>
    <n v="3681"/>
    <n v="14004"/>
    <n v="4"/>
    <s v="Y"/>
    <x v="1"/>
    <n v="14"/>
    <n v="3"/>
    <n v="4"/>
    <n v="80"/>
    <n v="0"/>
    <n v="9"/>
    <n v="3"/>
    <n v="3"/>
    <n v="3"/>
    <n v="2"/>
    <n v="0"/>
    <n v="2"/>
    <s v="Low"/>
    <s v="Low"/>
    <s v="Experienced"/>
  </r>
  <r>
    <n v="31"/>
    <x v="1"/>
    <s v="Travel_Rarely"/>
    <n v="525"/>
    <x v="0"/>
    <n v="6"/>
    <n v="4"/>
    <s v="Medical"/>
    <x v="0"/>
    <n v="653"/>
    <n v="1"/>
    <s v="Male"/>
    <n v="66"/>
    <n v="4"/>
    <n v="2"/>
    <s v="Sales Executive"/>
    <n v="4"/>
    <s v="Divorced"/>
    <n v="5460"/>
    <n v="6219"/>
    <n v="4"/>
    <s v="Y"/>
    <x v="1"/>
    <n v="22"/>
    <n v="4"/>
    <n v="4"/>
    <n v="80"/>
    <n v="2"/>
    <n v="13"/>
    <n v="4"/>
    <n v="4"/>
    <n v="7"/>
    <n v="7"/>
    <n v="5"/>
    <n v="7"/>
    <s v="Low"/>
    <s v="Medium"/>
    <s v="Experienced"/>
  </r>
  <r>
    <n v="27"/>
    <x v="1"/>
    <s v="Travel_Rarely"/>
    <n v="798"/>
    <x v="1"/>
    <n v="6"/>
    <n v="4"/>
    <s v="Medical"/>
    <x v="0"/>
    <n v="655"/>
    <n v="1"/>
    <s v="Female"/>
    <n v="66"/>
    <n v="2"/>
    <n v="1"/>
    <s v="Research Scientist"/>
    <n v="3"/>
    <s v="Divorced"/>
    <n v="2187"/>
    <n v="5013"/>
    <n v="0"/>
    <s v="Y"/>
    <x v="1"/>
    <n v="12"/>
    <n v="3"/>
    <n v="3"/>
    <n v="80"/>
    <n v="2"/>
    <n v="6"/>
    <n v="5"/>
    <n v="2"/>
    <n v="5"/>
    <n v="3"/>
    <n v="0"/>
    <n v="3"/>
    <s v="Low"/>
    <s v="Low"/>
    <s v="Experienced"/>
  </r>
  <r>
    <n v="37"/>
    <x v="1"/>
    <s v="Travel_Rarely"/>
    <n v="558"/>
    <x v="0"/>
    <n v="2"/>
    <n v="3"/>
    <s v="Marketing"/>
    <x v="0"/>
    <n v="656"/>
    <n v="4"/>
    <s v="Male"/>
    <n v="75"/>
    <n v="3"/>
    <n v="2"/>
    <s v="Sales Executive"/>
    <n v="3"/>
    <s v="Married"/>
    <n v="9602"/>
    <n v="3010"/>
    <n v="4"/>
    <s v="Y"/>
    <x v="0"/>
    <n v="11"/>
    <n v="3"/>
    <n v="3"/>
    <n v="80"/>
    <n v="1"/>
    <n v="17"/>
    <n v="3"/>
    <n v="2"/>
    <n v="3"/>
    <n v="0"/>
    <n v="1"/>
    <n v="0"/>
    <s v="High"/>
    <s v="High"/>
    <s v="Experienced"/>
  </r>
  <r>
    <n v="20"/>
    <x v="1"/>
    <s v="Travel_Rarely"/>
    <n v="959"/>
    <x v="1"/>
    <n v="1"/>
    <n v="3"/>
    <s v="Life Sciences"/>
    <x v="0"/>
    <n v="657"/>
    <n v="4"/>
    <s v="Female"/>
    <n v="83"/>
    <n v="2"/>
    <n v="1"/>
    <s v="Research Scientist"/>
    <n v="2"/>
    <s v="Single"/>
    <n v="2836"/>
    <n v="11757"/>
    <n v="1"/>
    <s v="Y"/>
    <x v="1"/>
    <n v="13"/>
    <n v="3"/>
    <n v="4"/>
    <n v="80"/>
    <n v="0"/>
    <n v="1"/>
    <n v="0"/>
    <n v="4"/>
    <n v="1"/>
    <n v="0"/>
    <n v="0"/>
    <n v="0"/>
    <s v="Low"/>
    <s v="Low"/>
    <s v="new"/>
  </r>
  <r>
    <n v="42"/>
    <x v="1"/>
    <s v="Travel_Rarely"/>
    <n v="622"/>
    <x v="1"/>
    <n v="2"/>
    <n v="4"/>
    <s v="Life Sciences"/>
    <x v="0"/>
    <n v="659"/>
    <n v="3"/>
    <s v="Female"/>
    <n v="81"/>
    <n v="3"/>
    <n v="2"/>
    <s v="Healthcare Representative"/>
    <n v="4"/>
    <s v="Married"/>
    <n v="4089"/>
    <n v="5718"/>
    <n v="1"/>
    <s v="Y"/>
    <x v="1"/>
    <n v="13"/>
    <n v="3"/>
    <n v="2"/>
    <n v="80"/>
    <n v="2"/>
    <n v="10"/>
    <n v="4"/>
    <n v="3"/>
    <n v="10"/>
    <n v="2"/>
    <n v="2"/>
    <n v="2"/>
    <s v="Low"/>
    <s v="Medium"/>
    <s v="High"/>
  </r>
  <r>
    <n v="43"/>
    <x v="1"/>
    <s v="Travel_Rarely"/>
    <n v="782"/>
    <x v="1"/>
    <n v="6"/>
    <n v="4"/>
    <s v="Other"/>
    <x v="0"/>
    <n v="661"/>
    <n v="2"/>
    <s v="Male"/>
    <n v="50"/>
    <n v="2"/>
    <n v="4"/>
    <s v="Research Director"/>
    <n v="4"/>
    <s v="Divorced"/>
    <n v="16627"/>
    <n v="2671"/>
    <n v="4"/>
    <s v="Y"/>
    <x v="0"/>
    <n v="14"/>
    <n v="3"/>
    <n v="3"/>
    <n v="80"/>
    <n v="1"/>
    <n v="21"/>
    <n v="3"/>
    <n v="2"/>
    <n v="1"/>
    <n v="0"/>
    <n v="0"/>
    <n v="0"/>
    <s v="High"/>
    <s v="High"/>
    <s v="new"/>
  </r>
  <r>
    <n v="38"/>
    <x v="1"/>
    <s v="Travel_Rarely"/>
    <n v="362"/>
    <x v="1"/>
    <n v="1"/>
    <n v="1"/>
    <s v="Life Sciences"/>
    <x v="0"/>
    <n v="662"/>
    <n v="3"/>
    <s v="Female"/>
    <n v="43"/>
    <n v="3"/>
    <n v="1"/>
    <s v="Research Scientist"/>
    <n v="1"/>
    <s v="Single"/>
    <n v="2619"/>
    <n v="14561"/>
    <n v="3"/>
    <s v="Y"/>
    <x v="1"/>
    <n v="17"/>
    <n v="3"/>
    <n v="4"/>
    <n v="80"/>
    <n v="0"/>
    <n v="8"/>
    <n v="3"/>
    <n v="2"/>
    <n v="0"/>
    <n v="0"/>
    <n v="0"/>
    <n v="0"/>
    <s v="Low"/>
    <s v="Low"/>
    <s v="new"/>
  </r>
  <r>
    <n v="43"/>
    <x v="1"/>
    <s v="Travel_Frequently"/>
    <n v="1001"/>
    <x v="1"/>
    <n v="9"/>
    <n v="5"/>
    <s v="Medical"/>
    <x v="0"/>
    <n v="663"/>
    <n v="4"/>
    <s v="Male"/>
    <n v="72"/>
    <n v="3"/>
    <n v="2"/>
    <s v="Laboratory Technician"/>
    <n v="3"/>
    <s v="Divorced"/>
    <n v="5679"/>
    <n v="19627"/>
    <n v="3"/>
    <s v="Y"/>
    <x v="0"/>
    <n v="13"/>
    <n v="3"/>
    <n v="2"/>
    <n v="80"/>
    <n v="1"/>
    <n v="10"/>
    <n v="3"/>
    <n v="3"/>
    <n v="8"/>
    <n v="7"/>
    <n v="4"/>
    <n v="7"/>
    <s v="Low"/>
    <s v="Medium"/>
    <s v="High"/>
  </r>
  <r>
    <n v="48"/>
    <x v="1"/>
    <s v="Travel_Rarely"/>
    <n v="1236"/>
    <x v="1"/>
    <n v="1"/>
    <n v="4"/>
    <s v="Life Sciences"/>
    <x v="0"/>
    <n v="664"/>
    <n v="4"/>
    <s v="Female"/>
    <n v="40"/>
    <n v="2"/>
    <n v="4"/>
    <s v="Manager"/>
    <n v="1"/>
    <s v="Married"/>
    <n v="15402"/>
    <n v="17997"/>
    <n v="7"/>
    <s v="Y"/>
    <x v="1"/>
    <n v="11"/>
    <n v="3"/>
    <n v="1"/>
    <n v="80"/>
    <n v="1"/>
    <n v="21"/>
    <n v="3"/>
    <n v="1"/>
    <n v="3"/>
    <n v="2"/>
    <n v="0"/>
    <n v="2"/>
    <s v="High"/>
    <s v="High"/>
    <s v="Experienced"/>
  </r>
  <r>
    <n v="44"/>
    <x v="1"/>
    <s v="Travel_Rarely"/>
    <n v="1112"/>
    <x v="2"/>
    <n v="1"/>
    <n v="4"/>
    <s v="Life Sciences"/>
    <x v="0"/>
    <n v="665"/>
    <n v="1"/>
    <s v="Female"/>
    <n v="50"/>
    <n v="2"/>
    <n v="2"/>
    <s v="Human Resources"/>
    <n v="3"/>
    <s v="Single"/>
    <n v="5985"/>
    <n v="26894"/>
    <n v="4"/>
    <s v="Y"/>
    <x v="1"/>
    <n v="11"/>
    <n v="3"/>
    <n v="2"/>
    <n v="80"/>
    <n v="0"/>
    <n v="10"/>
    <n v="1"/>
    <n v="4"/>
    <n v="2"/>
    <n v="2"/>
    <n v="0"/>
    <n v="2"/>
    <s v="Low"/>
    <s v="Medium"/>
    <s v="new"/>
  </r>
  <r>
    <n v="34"/>
    <x v="1"/>
    <s v="Travel_Rarely"/>
    <n v="204"/>
    <x v="0"/>
    <n v="14"/>
    <n v="3"/>
    <s v="Technical Degree"/>
    <x v="0"/>
    <n v="666"/>
    <n v="3"/>
    <s v="Female"/>
    <n v="31"/>
    <n v="3"/>
    <n v="1"/>
    <s v="Sales Representative"/>
    <n v="3"/>
    <s v="Divorced"/>
    <n v="2579"/>
    <n v="2912"/>
    <n v="1"/>
    <s v="Y"/>
    <x v="0"/>
    <n v="18"/>
    <n v="3"/>
    <n v="4"/>
    <n v="80"/>
    <n v="2"/>
    <n v="8"/>
    <n v="3"/>
    <n v="3"/>
    <n v="8"/>
    <n v="2"/>
    <n v="0"/>
    <n v="6"/>
    <s v="Low"/>
    <s v="Low"/>
    <s v="High"/>
  </r>
  <r>
    <n v="27"/>
    <x v="0"/>
    <s v="Travel_Rarely"/>
    <n v="1420"/>
    <x v="0"/>
    <n v="2"/>
    <n v="1"/>
    <s v="Marketing"/>
    <x v="0"/>
    <n v="667"/>
    <n v="3"/>
    <s v="Male"/>
    <n v="85"/>
    <n v="3"/>
    <n v="1"/>
    <s v="Sales Representative"/>
    <n v="1"/>
    <s v="Divorced"/>
    <n v="3041"/>
    <n v="16346"/>
    <n v="0"/>
    <s v="Y"/>
    <x v="1"/>
    <n v="11"/>
    <n v="3"/>
    <n v="2"/>
    <n v="80"/>
    <n v="1"/>
    <n v="5"/>
    <n v="3"/>
    <n v="3"/>
    <n v="4"/>
    <n v="3"/>
    <n v="0"/>
    <n v="2"/>
    <s v="Low"/>
    <s v="Low"/>
    <s v="Experienced"/>
  </r>
  <r>
    <n v="21"/>
    <x v="1"/>
    <s v="Travel_Rarely"/>
    <n v="1343"/>
    <x v="0"/>
    <n v="22"/>
    <n v="1"/>
    <s v="Technical Degree"/>
    <x v="0"/>
    <n v="669"/>
    <n v="3"/>
    <s v="Male"/>
    <n v="49"/>
    <n v="3"/>
    <n v="1"/>
    <s v="Sales Representative"/>
    <n v="3"/>
    <s v="Single"/>
    <n v="3447"/>
    <n v="24444"/>
    <n v="1"/>
    <s v="Y"/>
    <x v="1"/>
    <n v="11"/>
    <n v="3"/>
    <n v="3"/>
    <n v="80"/>
    <n v="0"/>
    <n v="3"/>
    <n v="2"/>
    <n v="3"/>
    <n v="3"/>
    <n v="2"/>
    <n v="1"/>
    <n v="2"/>
    <s v="Low"/>
    <s v="Low"/>
    <s v="Experienced"/>
  </r>
  <r>
    <n v="44"/>
    <x v="1"/>
    <s v="Travel_Rarely"/>
    <n v="1315"/>
    <x v="1"/>
    <n v="3"/>
    <n v="4"/>
    <s v="Other"/>
    <x v="0"/>
    <n v="671"/>
    <n v="4"/>
    <s v="Male"/>
    <n v="35"/>
    <n v="3"/>
    <n v="5"/>
    <s v="Manager"/>
    <n v="4"/>
    <s v="Married"/>
    <n v="19513"/>
    <n v="9358"/>
    <n v="4"/>
    <s v="Y"/>
    <x v="0"/>
    <n v="12"/>
    <n v="3"/>
    <n v="1"/>
    <n v="80"/>
    <n v="1"/>
    <n v="26"/>
    <n v="2"/>
    <n v="4"/>
    <n v="2"/>
    <n v="2"/>
    <n v="0"/>
    <n v="1"/>
    <s v="High"/>
    <s v="High"/>
    <s v="new"/>
  </r>
  <r>
    <n v="22"/>
    <x v="1"/>
    <s v="Travel_Rarely"/>
    <n v="604"/>
    <x v="1"/>
    <n v="6"/>
    <n v="1"/>
    <s v="Medical"/>
    <x v="0"/>
    <n v="675"/>
    <n v="1"/>
    <s v="Male"/>
    <n v="69"/>
    <n v="3"/>
    <n v="1"/>
    <s v="Research Scientist"/>
    <n v="3"/>
    <s v="Married"/>
    <n v="2773"/>
    <n v="12145"/>
    <n v="0"/>
    <s v="Y"/>
    <x v="1"/>
    <n v="20"/>
    <n v="4"/>
    <n v="4"/>
    <n v="80"/>
    <n v="0"/>
    <n v="3"/>
    <n v="3"/>
    <n v="3"/>
    <n v="2"/>
    <n v="2"/>
    <n v="2"/>
    <n v="2"/>
    <s v="Low"/>
    <s v="Low"/>
    <s v="new"/>
  </r>
  <r>
    <n v="33"/>
    <x v="1"/>
    <s v="Travel_Rarely"/>
    <n v="1216"/>
    <x v="0"/>
    <n v="8"/>
    <n v="4"/>
    <s v="Marketing"/>
    <x v="0"/>
    <n v="677"/>
    <n v="3"/>
    <s v="Male"/>
    <n v="39"/>
    <n v="3"/>
    <n v="2"/>
    <s v="Sales Executive"/>
    <n v="3"/>
    <s v="Divorced"/>
    <n v="7104"/>
    <n v="20431"/>
    <n v="0"/>
    <s v="Y"/>
    <x v="1"/>
    <n v="12"/>
    <n v="3"/>
    <n v="4"/>
    <n v="80"/>
    <n v="0"/>
    <n v="6"/>
    <n v="3"/>
    <n v="3"/>
    <n v="5"/>
    <n v="0"/>
    <n v="1"/>
    <n v="2"/>
    <s v="High"/>
    <s v="Medium"/>
    <s v="Experienced"/>
  </r>
  <r>
    <n v="32"/>
    <x v="1"/>
    <s v="Travel_Rarely"/>
    <n v="646"/>
    <x v="1"/>
    <n v="9"/>
    <n v="4"/>
    <s v="Life Sciences"/>
    <x v="0"/>
    <n v="679"/>
    <n v="1"/>
    <s v="Female"/>
    <n v="92"/>
    <n v="3"/>
    <n v="2"/>
    <s v="Research Scientist"/>
    <n v="4"/>
    <s v="Married"/>
    <n v="6322"/>
    <n v="18089"/>
    <n v="1"/>
    <s v="Y"/>
    <x v="0"/>
    <n v="12"/>
    <n v="3"/>
    <n v="4"/>
    <n v="80"/>
    <n v="1"/>
    <n v="6"/>
    <n v="2"/>
    <n v="2"/>
    <n v="6"/>
    <n v="4"/>
    <n v="0"/>
    <n v="5"/>
    <s v="Low"/>
    <s v="Medium"/>
    <s v="Experienced"/>
  </r>
  <r>
    <n v="30"/>
    <x v="1"/>
    <s v="Travel_Frequently"/>
    <n v="160"/>
    <x v="1"/>
    <n v="3"/>
    <n v="3"/>
    <s v="Medical"/>
    <x v="0"/>
    <n v="680"/>
    <n v="3"/>
    <s v="Female"/>
    <n v="71"/>
    <n v="3"/>
    <n v="1"/>
    <s v="Research Scientist"/>
    <n v="3"/>
    <s v="Divorced"/>
    <n v="2083"/>
    <n v="22653"/>
    <n v="1"/>
    <s v="Y"/>
    <x v="1"/>
    <n v="20"/>
    <n v="4"/>
    <n v="3"/>
    <n v="80"/>
    <n v="1"/>
    <n v="1"/>
    <n v="2"/>
    <n v="3"/>
    <n v="1"/>
    <n v="0"/>
    <n v="0"/>
    <n v="0"/>
    <s v="Low"/>
    <s v="Low"/>
    <s v="new"/>
  </r>
  <r>
    <n v="53"/>
    <x v="1"/>
    <s v="Travel_Rarely"/>
    <n v="238"/>
    <x v="0"/>
    <n v="1"/>
    <n v="1"/>
    <s v="Medical"/>
    <x v="0"/>
    <n v="682"/>
    <n v="4"/>
    <s v="Female"/>
    <n v="34"/>
    <n v="3"/>
    <n v="2"/>
    <s v="Sales Executive"/>
    <n v="1"/>
    <s v="Single"/>
    <n v="8381"/>
    <n v="7507"/>
    <n v="7"/>
    <s v="Y"/>
    <x v="1"/>
    <n v="20"/>
    <n v="4"/>
    <n v="4"/>
    <n v="80"/>
    <n v="0"/>
    <n v="18"/>
    <n v="2"/>
    <n v="4"/>
    <n v="14"/>
    <n v="7"/>
    <n v="8"/>
    <n v="10"/>
    <s v="High"/>
    <s v="High"/>
    <s v="High"/>
  </r>
  <r>
    <n v="34"/>
    <x v="1"/>
    <s v="Travel_Rarely"/>
    <n v="1397"/>
    <x v="1"/>
    <n v="1"/>
    <n v="5"/>
    <s v="Life Sciences"/>
    <x v="0"/>
    <n v="683"/>
    <n v="2"/>
    <s v="Male"/>
    <n v="42"/>
    <n v="3"/>
    <n v="1"/>
    <s v="Research Scientist"/>
    <n v="4"/>
    <s v="Married"/>
    <n v="2691"/>
    <n v="7660"/>
    <n v="1"/>
    <s v="Y"/>
    <x v="1"/>
    <n v="12"/>
    <n v="3"/>
    <n v="4"/>
    <n v="80"/>
    <n v="1"/>
    <n v="10"/>
    <n v="4"/>
    <n v="2"/>
    <n v="10"/>
    <n v="9"/>
    <n v="8"/>
    <n v="8"/>
    <s v="Low"/>
    <s v="Low"/>
    <s v="High"/>
  </r>
  <r>
    <n v="45"/>
    <x v="0"/>
    <s v="Travel_Frequently"/>
    <n v="306"/>
    <x v="0"/>
    <n v="26"/>
    <n v="4"/>
    <s v="Life Sciences"/>
    <x v="0"/>
    <n v="684"/>
    <n v="1"/>
    <s v="Female"/>
    <n v="100"/>
    <n v="3"/>
    <n v="2"/>
    <s v="Sales Executive"/>
    <n v="1"/>
    <s v="Married"/>
    <n v="4286"/>
    <n v="5630"/>
    <n v="2"/>
    <s v="Y"/>
    <x v="1"/>
    <n v="14"/>
    <n v="3"/>
    <n v="4"/>
    <n v="80"/>
    <n v="2"/>
    <n v="5"/>
    <n v="4"/>
    <n v="3"/>
    <n v="1"/>
    <n v="1"/>
    <n v="0"/>
    <n v="0"/>
    <s v="Low"/>
    <s v="Medium"/>
    <s v="new"/>
  </r>
  <r>
    <n v="26"/>
    <x v="1"/>
    <s v="Travel_Rarely"/>
    <n v="991"/>
    <x v="1"/>
    <n v="6"/>
    <n v="3"/>
    <s v="Life Sciences"/>
    <x v="0"/>
    <n v="686"/>
    <n v="3"/>
    <s v="Female"/>
    <n v="71"/>
    <n v="3"/>
    <n v="1"/>
    <s v="Laboratory Technician"/>
    <n v="4"/>
    <s v="Married"/>
    <n v="2659"/>
    <n v="17759"/>
    <n v="1"/>
    <s v="Y"/>
    <x v="0"/>
    <n v="13"/>
    <n v="3"/>
    <n v="3"/>
    <n v="80"/>
    <n v="1"/>
    <n v="3"/>
    <n v="2"/>
    <n v="3"/>
    <n v="3"/>
    <n v="2"/>
    <n v="0"/>
    <n v="2"/>
    <s v="Low"/>
    <s v="Low"/>
    <s v="Experienced"/>
  </r>
  <r>
    <n v="37"/>
    <x v="1"/>
    <s v="Travel_Rarely"/>
    <n v="482"/>
    <x v="1"/>
    <n v="3"/>
    <n v="3"/>
    <s v="Other"/>
    <x v="0"/>
    <n v="689"/>
    <n v="3"/>
    <s v="Male"/>
    <n v="36"/>
    <n v="3"/>
    <n v="3"/>
    <s v="Manufacturing Director"/>
    <n v="3"/>
    <s v="Married"/>
    <n v="9434"/>
    <n v="9606"/>
    <n v="1"/>
    <s v="Y"/>
    <x v="1"/>
    <n v="15"/>
    <n v="3"/>
    <n v="3"/>
    <n v="80"/>
    <n v="1"/>
    <n v="10"/>
    <n v="2"/>
    <n v="3"/>
    <n v="10"/>
    <n v="7"/>
    <n v="7"/>
    <n v="8"/>
    <s v="High"/>
    <s v="High"/>
    <s v="High"/>
  </r>
  <r>
    <n v="29"/>
    <x v="1"/>
    <s v="Travel_Rarely"/>
    <n v="1176"/>
    <x v="0"/>
    <n v="3"/>
    <n v="2"/>
    <s v="Medical"/>
    <x v="0"/>
    <n v="690"/>
    <n v="2"/>
    <s v="Female"/>
    <n v="62"/>
    <n v="3"/>
    <n v="2"/>
    <s v="Sales Executive"/>
    <n v="3"/>
    <s v="Married"/>
    <n v="5561"/>
    <n v="3487"/>
    <n v="1"/>
    <s v="Y"/>
    <x v="1"/>
    <n v="14"/>
    <n v="3"/>
    <n v="1"/>
    <n v="80"/>
    <n v="1"/>
    <n v="6"/>
    <n v="5"/>
    <n v="2"/>
    <n v="6"/>
    <n v="0"/>
    <n v="1"/>
    <n v="2"/>
    <s v="Low"/>
    <s v="Medium"/>
    <s v="Experienced"/>
  </r>
  <r>
    <n v="35"/>
    <x v="1"/>
    <s v="Travel_Rarely"/>
    <n v="1017"/>
    <x v="1"/>
    <n v="6"/>
    <n v="4"/>
    <s v="Life Sciences"/>
    <x v="0"/>
    <n v="691"/>
    <n v="2"/>
    <s v="Male"/>
    <n v="82"/>
    <n v="1"/>
    <n v="2"/>
    <s v="Research Scientist"/>
    <n v="4"/>
    <s v="Single"/>
    <n v="6646"/>
    <n v="19368"/>
    <n v="1"/>
    <s v="Y"/>
    <x v="1"/>
    <n v="13"/>
    <n v="3"/>
    <n v="2"/>
    <n v="80"/>
    <n v="0"/>
    <n v="17"/>
    <n v="3"/>
    <n v="3"/>
    <n v="17"/>
    <n v="11"/>
    <n v="11"/>
    <n v="8"/>
    <s v="High"/>
    <s v="Medium"/>
    <s v="High"/>
  </r>
  <r>
    <n v="33"/>
    <x v="1"/>
    <s v="Travel_Frequently"/>
    <n v="1296"/>
    <x v="1"/>
    <n v="6"/>
    <n v="3"/>
    <s v="Life Sciences"/>
    <x v="0"/>
    <n v="692"/>
    <n v="3"/>
    <s v="Male"/>
    <n v="30"/>
    <n v="3"/>
    <n v="2"/>
    <s v="Healthcare Representative"/>
    <n v="4"/>
    <s v="Divorced"/>
    <n v="7725"/>
    <n v="5335"/>
    <n v="3"/>
    <s v="Y"/>
    <x v="1"/>
    <n v="23"/>
    <n v="4"/>
    <n v="3"/>
    <n v="80"/>
    <n v="1"/>
    <n v="15"/>
    <n v="2"/>
    <n v="1"/>
    <n v="13"/>
    <n v="11"/>
    <n v="4"/>
    <n v="7"/>
    <s v="High"/>
    <s v="Medium"/>
    <s v="High"/>
  </r>
  <r>
    <n v="54"/>
    <x v="1"/>
    <s v="Travel_Rarely"/>
    <n v="397"/>
    <x v="2"/>
    <n v="19"/>
    <n v="4"/>
    <s v="Medical"/>
    <x v="0"/>
    <n v="698"/>
    <n v="3"/>
    <s v="Male"/>
    <n v="88"/>
    <n v="3"/>
    <n v="3"/>
    <s v="Human Resources"/>
    <n v="2"/>
    <s v="Married"/>
    <n v="10725"/>
    <n v="6729"/>
    <n v="2"/>
    <s v="Y"/>
    <x v="1"/>
    <n v="15"/>
    <n v="3"/>
    <n v="3"/>
    <n v="80"/>
    <n v="1"/>
    <n v="16"/>
    <n v="1"/>
    <n v="4"/>
    <n v="9"/>
    <n v="7"/>
    <n v="7"/>
    <n v="1"/>
    <s v="High"/>
    <s v="High"/>
    <s v="High"/>
  </r>
  <r>
    <n v="36"/>
    <x v="1"/>
    <s v="Travel_Rarely"/>
    <n v="913"/>
    <x v="1"/>
    <n v="9"/>
    <n v="2"/>
    <s v="Medical"/>
    <x v="0"/>
    <n v="699"/>
    <n v="2"/>
    <s v="Male"/>
    <n v="48"/>
    <n v="2"/>
    <n v="2"/>
    <s v="Manufacturing Director"/>
    <n v="2"/>
    <s v="Divorced"/>
    <n v="8847"/>
    <n v="13934"/>
    <n v="2"/>
    <s v="Y"/>
    <x v="0"/>
    <n v="11"/>
    <n v="3"/>
    <n v="3"/>
    <n v="80"/>
    <n v="1"/>
    <n v="13"/>
    <n v="2"/>
    <n v="3"/>
    <n v="3"/>
    <n v="2"/>
    <n v="0"/>
    <n v="2"/>
    <s v="High"/>
    <s v="High"/>
    <s v="Experienced"/>
  </r>
  <r>
    <n v="27"/>
    <x v="1"/>
    <s v="Travel_Rarely"/>
    <n v="1115"/>
    <x v="1"/>
    <n v="3"/>
    <n v="4"/>
    <s v="Medical"/>
    <x v="0"/>
    <n v="700"/>
    <n v="1"/>
    <s v="Male"/>
    <n v="54"/>
    <n v="2"/>
    <n v="1"/>
    <s v="Research Scientist"/>
    <n v="4"/>
    <s v="Single"/>
    <n v="2045"/>
    <n v="15174"/>
    <n v="0"/>
    <s v="Y"/>
    <x v="1"/>
    <n v="13"/>
    <n v="3"/>
    <n v="4"/>
    <n v="80"/>
    <n v="0"/>
    <n v="5"/>
    <n v="0"/>
    <n v="3"/>
    <n v="4"/>
    <n v="2"/>
    <n v="1"/>
    <n v="1"/>
    <s v="Low"/>
    <s v="Low"/>
    <s v="Experienced"/>
  </r>
  <r>
    <n v="20"/>
    <x v="0"/>
    <s v="Travel_Rarely"/>
    <n v="1362"/>
    <x v="1"/>
    <n v="10"/>
    <n v="1"/>
    <s v="Medical"/>
    <x v="0"/>
    <n v="701"/>
    <n v="4"/>
    <s v="Male"/>
    <n v="32"/>
    <n v="3"/>
    <n v="1"/>
    <s v="Research Scientist"/>
    <n v="3"/>
    <s v="Single"/>
    <n v="1009"/>
    <n v="26999"/>
    <n v="1"/>
    <s v="Y"/>
    <x v="0"/>
    <n v="11"/>
    <n v="3"/>
    <n v="4"/>
    <n v="80"/>
    <n v="0"/>
    <n v="1"/>
    <n v="5"/>
    <n v="3"/>
    <n v="1"/>
    <n v="0"/>
    <n v="1"/>
    <n v="1"/>
    <s v="Low"/>
    <s v="Low"/>
    <s v="new"/>
  </r>
  <r>
    <n v="33"/>
    <x v="0"/>
    <s v="Travel_Frequently"/>
    <n v="1076"/>
    <x v="1"/>
    <n v="3"/>
    <n v="3"/>
    <s v="Life Sciences"/>
    <x v="0"/>
    <n v="702"/>
    <n v="1"/>
    <s v="Male"/>
    <n v="70"/>
    <n v="3"/>
    <n v="1"/>
    <s v="Research Scientist"/>
    <n v="1"/>
    <s v="Single"/>
    <n v="3348"/>
    <n v="3164"/>
    <n v="1"/>
    <s v="Y"/>
    <x v="0"/>
    <n v="11"/>
    <n v="3"/>
    <n v="1"/>
    <n v="80"/>
    <n v="0"/>
    <n v="10"/>
    <n v="3"/>
    <n v="3"/>
    <n v="10"/>
    <n v="8"/>
    <n v="9"/>
    <n v="7"/>
    <s v="Low"/>
    <s v="Low"/>
    <s v="High"/>
  </r>
  <r>
    <n v="35"/>
    <x v="1"/>
    <s v="Non-Travel"/>
    <n v="727"/>
    <x v="1"/>
    <n v="3"/>
    <n v="3"/>
    <s v="Life Sciences"/>
    <x v="0"/>
    <n v="704"/>
    <n v="3"/>
    <s v="Male"/>
    <n v="41"/>
    <n v="2"/>
    <n v="1"/>
    <s v="Laboratory Technician"/>
    <n v="3"/>
    <s v="Married"/>
    <n v="1281"/>
    <n v="16900"/>
    <n v="1"/>
    <s v="Y"/>
    <x v="1"/>
    <n v="18"/>
    <n v="3"/>
    <n v="3"/>
    <n v="80"/>
    <n v="2"/>
    <n v="1"/>
    <n v="3"/>
    <n v="3"/>
    <n v="1"/>
    <n v="0"/>
    <n v="0"/>
    <n v="0"/>
    <s v="Low"/>
    <s v="Low"/>
    <s v="new"/>
  </r>
  <r>
    <n v="23"/>
    <x v="1"/>
    <s v="Travel_Rarely"/>
    <n v="885"/>
    <x v="1"/>
    <n v="4"/>
    <n v="3"/>
    <s v="Medical"/>
    <x v="0"/>
    <n v="705"/>
    <n v="1"/>
    <s v="Male"/>
    <n v="58"/>
    <n v="4"/>
    <n v="1"/>
    <s v="Research Scientist"/>
    <n v="1"/>
    <s v="Married"/>
    <n v="2819"/>
    <n v="8544"/>
    <n v="2"/>
    <s v="Y"/>
    <x v="1"/>
    <n v="16"/>
    <n v="3"/>
    <n v="1"/>
    <n v="80"/>
    <n v="1"/>
    <n v="5"/>
    <n v="3"/>
    <n v="4"/>
    <n v="3"/>
    <n v="2"/>
    <n v="0"/>
    <n v="2"/>
    <s v="Low"/>
    <s v="Low"/>
    <s v="Experienced"/>
  </r>
  <r>
    <n v="25"/>
    <x v="1"/>
    <s v="Travel_Rarely"/>
    <n v="810"/>
    <x v="0"/>
    <n v="8"/>
    <n v="3"/>
    <s v="Life Sciences"/>
    <x v="0"/>
    <n v="707"/>
    <n v="4"/>
    <s v="Male"/>
    <n v="57"/>
    <n v="4"/>
    <n v="2"/>
    <s v="Sales Executive"/>
    <n v="2"/>
    <s v="Married"/>
    <n v="4851"/>
    <n v="15678"/>
    <n v="0"/>
    <s v="Y"/>
    <x v="1"/>
    <n v="22"/>
    <n v="4"/>
    <n v="3"/>
    <n v="80"/>
    <n v="1"/>
    <n v="4"/>
    <n v="4"/>
    <n v="3"/>
    <n v="3"/>
    <n v="2"/>
    <n v="1"/>
    <n v="2"/>
    <s v="Low"/>
    <s v="Medium"/>
    <s v="Experienced"/>
  </r>
  <r>
    <n v="38"/>
    <x v="1"/>
    <s v="Travel_Rarely"/>
    <n v="243"/>
    <x v="0"/>
    <n v="7"/>
    <n v="4"/>
    <s v="Marketing"/>
    <x v="0"/>
    <n v="709"/>
    <n v="4"/>
    <s v="Female"/>
    <n v="46"/>
    <n v="2"/>
    <n v="2"/>
    <s v="Sales Executive"/>
    <n v="4"/>
    <s v="Single"/>
    <n v="4028"/>
    <n v="7791"/>
    <n v="0"/>
    <s v="Y"/>
    <x v="1"/>
    <n v="20"/>
    <n v="4"/>
    <n v="1"/>
    <n v="80"/>
    <n v="0"/>
    <n v="8"/>
    <n v="2"/>
    <n v="3"/>
    <n v="7"/>
    <n v="7"/>
    <n v="0"/>
    <n v="5"/>
    <s v="Low"/>
    <s v="Medium"/>
    <s v="Experienced"/>
  </r>
  <r>
    <n v="29"/>
    <x v="1"/>
    <s v="Travel_Frequently"/>
    <n v="806"/>
    <x v="1"/>
    <n v="1"/>
    <n v="4"/>
    <s v="Life Sciences"/>
    <x v="0"/>
    <n v="710"/>
    <n v="2"/>
    <s v="Male"/>
    <n v="76"/>
    <n v="1"/>
    <n v="1"/>
    <s v="Research Scientist"/>
    <n v="4"/>
    <s v="Divorced"/>
    <n v="2720"/>
    <n v="18959"/>
    <n v="1"/>
    <s v="Y"/>
    <x v="1"/>
    <n v="18"/>
    <n v="3"/>
    <n v="4"/>
    <n v="80"/>
    <n v="1"/>
    <n v="10"/>
    <n v="5"/>
    <n v="3"/>
    <n v="10"/>
    <n v="7"/>
    <n v="2"/>
    <n v="8"/>
    <s v="Low"/>
    <s v="Low"/>
    <s v="High"/>
  </r>
  <r>
    <n v="48"/>
    <x v="1"/>
    <s v="Travel_Rarely"/>
    <n v="817"/>
    <x v="0"/>
    <n v="2"/>
    <n v="1"/>
    <s v="Marketing"/>
    <x v="0"/>
    <n v="712"/>
    <n v="2"/>
    <s v="Male"/>
    <n v="56"/>
    <n v="4"/>
    <n v="2"/>
    <s v="Sales Executive"/>
    <n v="2"/>
    <s v="Married"/>
    <n v="8120"/>
    <n v="18597"/>
    <n v="3"/>
    <s v="Y"/>
    <x v="1"/>
    <n v="12"/>
    <n v="3"/>
    <n v="4"/>
    <n v="80"/>
    <n v="0"/>
    <n v="12"/>
    <n v="3"/>
    <n v="3"/>
    <n v="2"/>
    <n v="2"/>
    <n v="2"/>
    <n v="2"/>
    <s v="High"/>
    <s v="High"/>
    <s v="new"/>
  </r>
  <r>
    <n v="27"/>
    <x v="1"/>
    <s v="Travel_Frequently"/>
    <n v="1410"/>
    <x v="0"/>
    <n v="3"/>
    <n v="1"/>
    <s v="Medical"/>
    <x v="0"/>
    <n v="714"/>
    <n v="4"/>
    <s v="Female"/>
    <n v="71"/>
    <n v="4"/>
    <n v="2"/>
    <s v="Sales Executive"/>
    <n v="4"/>
    <s v="Divorced"/>
    <n v="4647"/>
    <n v="16673"/>
    <n v="1"/>
    <s v="Y"/>
    <x v="0"/>
    <n v="20"/>
    <n v="4"/>
    <n v="2"/>
    <n v="80"/>
    <n v="2"/>
    <n v="6"/>
    <n v="3"/>
    <n v="3"/>
    <n v="6"/>
    <n v="5"/>
    <n v="0"/>
    <n v="4"/>
    <s v="Low"/>
    <s v="Medium"/>
    <s v="Experienced"/>
  </r>
  <r>
    <n v="37"/>
    <x v="1"/>
    <s v="Travel_Rarely"/>
    <n v="1225"/>
    <x v="1"/>
    <n v="10"/>
    <n v="2"/>
    <s v="Life Sciences"/>
    <x v="0"/>
    <n v="715"/>
    <n v="4"/>
    <s v="Male"/>
    <n v="80"/>
    <n v="4"/>
    <n v="1"/>
    <s v="Research Scientist"/>
    <n v="4"/>
    <s v="Single"/>
    <n v="4680"/>
    <n v="15232"/>
    <n v="3"/>
    <s v="Y"/>
    <x v="1"/>
    <n v="17"/>
    <n v="3"/>
    <n v="1"/>
    <n v="80"/>
    <n v="0"/>
    <n v="4"/>
    <n v="2"/>
    <n v="3"/>
    <n v="1"/>
    <n v="0"/>
    <n v="0"/>
    <n v="0"/>
    <s v="Low"/>
    <s v="Medium"/>
    <s v="new"/>
  </r>
  <r>
    <n v="50"/>
    <x v="1"/>
    <s v="Travel_Rarely"/>
    <n v="1207"/>
    <x v="1"/>
    <n v="28"/>
    <n v="1"/>
    <s v="Medical"/>
    <x v="0"/>
    <n v="716"/>
    <n v="4"/>
    <s v="Male"/>
    <n v="74"/>
    <n v="4"/>
    <n v="1"/>
    <s v="Laboratory Technician"/>
    <n v="3"/>
    <s v="Married"/>
    <n v="3221"/>
    <n v="3297"/>
    <n v="1"/>
    <s v="Y"/>
    <x v="0"/>
    <n v="11"/>
    <n v="3"/>
    <n v="3"/>
    <n v="80"/>
    <n v="3"/>
    <n v="20"/>
    <n v="3"/>
    <n v="3"/>
    <n v="20"/>
    <n v="8"/>
    <n v="3"/>
    <n v="8"/>
    <s v="Low"/>
    <s v="Low"/>
    <s v="High"/>
  </r>
  <r>
    <n v="34"/>
    <x v="1"/>
    <s v="Travel_Rarely"/>
    <n v="1442"/>
    <x v="1"/>
    <n v="9"/>
    <n v="3"/>
    <s v="Medical"/>
    <x v="0"/>
    <n v="717"/>
    <n v="4"/>
    <s v="Female"/>
    <n v="46"/>
    <n v="2"/>
    <n v="3"/>
    <s v="Healthcare Representative"/>
    <n v="2"/>
    <s v="Single"/>
    <n v="8621"/>
    <n v="17654"/>
    <n v="1"/>
    <s v="Y"/>
    <x v="1"/>
    <n v="14"/>
    <n v="3"/>
    <n v="2"/>
    <n v="80"/>
    <n v="0"/>
    <n v="9"/>
    <n v="3"/>
    <n v="4"/>
    <n v="8"/>
    <n v="7"/>
    <n v="7"/>
    <n v="7"/>
    <s v="High"/>
    <s v="High"/>
    <s v="High"/>
  </r>
  <r>
    <n v="24"/>
    <x v="0"/>
    <s v="Travel_Rarely"/>
    <n v="693"/>
    <x v="0"/>
    <n v="3"/>
    <n v="2"/>
    <s v="Life Sciences"/>
    <x v="0"/>
    <n v="720"/>
    <n v="1"/>
    <s v="Female"/>
    <n v="65"/>
    <n v="3"/>
    <n v="2"/>
    <s v="Sales Executive"/>
    <n v="3"/>
    <s v="Single"/>
    <n v="4577"/>
    <n v="24785"/>
    <n v="9"/>
    <s v="Y"/>
    <x v="1"/>
    <n v="14"/>
    <n v="3"/>
    <n v="1"/>
    <n v="80"/>
    <n v="0"/>
    <n v="4"/>
    <n v="3"/>
    <n v="3"/>
    <n v="2"/>
    <n v="2"/>
    <n v="2"/>
    <n v="0"/>
    <s v="Low"/>
    <s v="Medium"/>
    <s v="new"/>
  </r>
  <r>
    <n v="39"/>
    <x v="1"/>
    <s v="Travel_Rarely"/>
    <n v="408"/>
    <x v="1"/>
    <n v="2"/>
    <n v="4"/>
    <s v="Technical Degree"/>
    <x v="0"/>
    <n v="721"/>
    <n v="4"/>
    <s v="Female"/>
    <n v="80"/>
    <n v="2"/>
    <n v="2"/>
    <s v="Healthcare Representative"/>
    <n v="3"/>
    <s v="Single"/>
    <n v="4553"/>
    <n v="20978"/>
    <n v="1"/>
    <s v="Y"/>
    <x v="1"/>
    <n v="11"/>
    <n v="3"/>
    <n v="1"/>
    <n v="80"/>
    <n v="0"/>
    <n v="20"/>
    <n v="4"/>
    <n v="3"/>
    <n v="20"/>
    <n v="7"/>
    <n v="11"/>
    <n v="10"/>
    <s v="Low"/>
    <s v="Medium"/>
    <s v="High"/>
  </r>
  <r>
    <n v="32"/>
    <x v="1"/>
    <s v="Travel_Rarely"/>
    <n v="929"/>
    <x v="0"/>
    <n v="10"/>
    <n v="3"/>
    <s v="Marketing"/>
    <x v="0"/>
    <n v="722"/>
    <n v="4"/>
    <s v="Male"/>
    <n v="55"/>
    <n v="3"/>
    <n v="2"/>
    <s v="Sales Executive"/>
    <n v="4"/>
    <s v="Single"/>
    <n v="5396"/>
    <n v="21703"/>
    <n v="1"/>
    <s v="Y"/>
    <x v="1"/>
    <n v="12"/>
    <n v="3"/>
    <n v="4"/>
    <n v="80"/>
    <n v="0"/>
    <n v="10"/>
    <n v="2"/>
    <n v="2"/>
    <n v="10"/>
    <n v="7"/>
    <n v="0"/>
    <n v="8"/>
    <s v="Low"/>
    <s v="Medium"/>
    <s v="High"/>
  </r>
  <r>
    <n v="50"/>
    <x v="0"/>
    <s v="Travel_Frequently"/>
    <n v="562"/>
    <x v="0"/>
    <n v="8"/>
    <n v="2"/>
    <s v="Technical Degree"/>
    <x v="0"/>
    <n v="723"/>
    <n v="2"/>
    <s v="Male"/>
    <n v="50"/>
    <n v="3"/>
    <n v="2"/>
    <s v="Sales Executive"/>
    <n v="3"/>
    <s v="Married"/>
    <n v="6796"/>
    <n v="23452"/>
    <n v="3"/>
    <s v="Y"/>
    <x v="0"/>
    <n v="14"/>
    <n v="3"/>
    <n v="1"/>
    <n v="80"/>
    <n v="1"/>
    <n v="18"/>
    <n v="4"/>
    <n v="3"/>
    <n v="4"/>
    <n v="3"/>
    <n v="1"/>
    <n v="3"/>
    <s v="High"/>
    <s v="Medium"/>
    <s v="Experienced"/>
  </r>
  <r>
    <n v="38"/>
    <x v="1"/>
    <s v="Travel_Rarely"/>
    <n v="827"/>
    <x v="1"/>
    <n v="1"/>
    <n v="4"/>
    <s v="Life Sciences"/>
    <x v="0"/>
    <n v="724"/>
    <n v="2"/>
    <s v="Female"/>
    <n v="33"/>
    <n v="4"/>
    <n v="2"/>
    <s v="Healthcare Representative"/>
    <n v="4"/>
    <s v="Single"/>
    <n v="7625"/>
    <n v="19383"/>
    <n v="0"/>
    <s v="Y"/>
    <x v="1"/>
    <n v="13"/>
    <n v="3"/>
    <n v="3"/>
    <n v="80"/>
    <n v="0"/>
    <n v="10"/>
    <n v="4"/>
    <n v="2"/>
    <n v="9"/>
    <n v="7"/>
    <n v="1"/>
    <n v="8"/>
    <s v="High"/>
    <s v="Medium"/>
    <s v="High"/>
  </r>
  <r>
    <n v="27"/>
    <x v="1"/>
    <s v="Travel_Rarely"/>
    <n v="608"/>
    <x v="1"/>
    <n v="1"/>
    <n v="2"/>
    <s v="Life Sciences"/>
    <x v="0"/>
    <n v="725"/>
    <n v="3"/>
    <s v="Female"/>
    <n v="68"/>
    <n v="3"/>
    <n v="3"/>
    <s v="Manufacturing Director"/>
    <n v="1"/>
    <s v="Married"/>
    <n v="7412"/>
    <n v="6009"/>
    <n v="1"/>
    <s v="Y"/>
    <x v="1"/>
    <n v="11"/>
    <n v="3"/>
    <n v="4"/>
    <n v="80"/>
    <n v="0"/>
    <n v="9"/>
    <n v="3"/>
    <n v="3"/>
    <n v="9"/>
    <n v="7"/>
    <n v="0"/>
    <n v="7"/>
    <s v="High"/>
    <s v="Medium"/>
    <s v="High"/>
  </r>
  <r>
    <n v="32"/>
    <x v="1"/>
    <s v="Travel_Rarely"/>
    <n v="1018"/>
    <x v="1"/>
    <n v="3"/>
    <n v="2"/>
    <s v="Life Sciences"/>
    <x v="0"/>
    <n v="727"/>
    <n v="3"/>
    <s v="Female"/>
    <n v="39"/>
    <n v="3"/>
    <n v="3"/>
    <s v="Research Director"/>
    <n v="4"/>
    <s v="Single"/>
    <n v="11159"/>
    <n v="19373"/>
    <n v="3"/>
    <s v="Y"/>
    <x v="1"/>
    <n v="15"/>
    <n v="3"/>
    <n v="4"/>
    <n v="80"/>
    <n v="0"/>
    <n v="10"/>
    <n v="6"/>
    <n v="3"/>
    <n v="7"/>
    <n v="7"/>
    <n v="7"/>
    <n v="7"/>
    <s v="High"/>
    <s v="High"/>
    <s v="Experienced"/>
  </r>
  <r>
    <n v="47"/>
    <x v="1"/>
    <s v="Travel_Rarely"/>
    <n v="703"/>
    <x v="0"/>
    <n v="14"/>
    <n v="4"/>
    <s v="Marketing"/>
    <x v="0"/>
    <n v="728"/>
    <n v="4"/>
    <s v="Male"/>
    <n v="42"/>
    <n v="3"/>
    <n v="2"/>
    <s v="Sales Executive"/>
    <n v="1"/>
    <s v="Single"/>
    <n v="4960"/>
    <n v="11825"/>
    <n v="2"/>
    <s v="Y"/>
    <x v="1"/>
    <n v="12"/>
    <n v="3"/>
    <n v="4"/>
    <n v="80"/>
    <n v="0"/>
    <n v="20"/>
    <n v="2"/>
    <n v="3"/>
    <n v="7"/>
    <n v="7"/>
    <n v="1"/>
    <n v="7"/>
    <s v="Low"/>
    <s v="Medium"/>
    <s v="Experienced"/>
  </r>
  <r>
    <n v="40"/>
    <x v="1"/>
    <s v="Travel_Frequently"/>
    <n v="580"/>
    <x v="0"/>
    <n v="5"/>
    <n v="4"/>
    <s v="Life Sciences"/>
    <x v="0"/>
    <n v="729"/>
    <n v="4"/>
    <s v="Male"/>
    <n v="48"/>
    <n v="2"/>
    <n v="3"/>
    <s v="Sales Executive"/>
    <n v="1"/>
    <s v="Married"/>
    <n v="10475"/>
    <n v="23772"/>
    <n v="5"/>
    <s v="Y"/>
    <x v="0"/>
    <n v="21"/>
    <n v="4"/>
    <n v="3"/>
    <n v="80"/>
    <n v="1"/>
    <n v="20"/>
    <n v="2"/>
    <n v="3"/>
    <n v="18"/>
    <n v="13"/>
    <n v="1"/>
    <n v="12"/>
    <s v="High"/>
    <s v="High"/>
    <s v="High"/>
  </r>
  <r>
    <n v="53"/>
    <x v="1"/>
    <s v="Travel_Rarely"/>
    <n v="970"/>
    <x v="1"/>
    <n v="7"/>
    <n v="3"/>
    <s v="Life Sciences"/>
    <x v="0"/>
    <n v="730"/>
    <n v="3"/>
    <s v="Male"/>
    <n v="59"/>
    <n v="4"/>
    <n v="4"/>
    <s v="Research Director"/>
    <n v="3"/>
    <s v="Married"/>
    <n v="14814"/>
    <n v="13514"/>
    <n v="3"/>
    <s v="Y"/>
    <x v="1"/>
    <n v="19"/>
    <n v="3"/>
    <n v="3"/>
    <n v="80"/>
    <n v="0"/>
    <n v="32"/>
    <n v="3"/>
    <n v="3"/>
    <n v="5"/>
    <n v="1"/>
    <n v="1"/>
    <n v="3"/>
    <s v="High"/>
    <s v="High"/>
    <s v="Experienced"/>
  </r>
  <r>
    <n v="41"/>
    <x v="1"/>
    <s v="Travel_Rarely"/>
    <n v="427"/>
    <x v="2"/>
    <n v="10"/>
    <n v="4"/>
    <s v="Human Resources"/>
    <x v="0"/>
    <n v="731"/>
    <n v="2"/>
    <s v="Male"/>
    <n v="73"/>
    <n v="2"/>
    <n v="5"/>
    <s v="Manager"/>
    <n v="4"/>
    <s v="Divorced"/>
    <n v="19141"/>
    <n v="8861"/>
    <n v="3"/>
    <s v="Y"/>
    <x v="1"/>
    <n v="15"/>
    <n v="3"/>
    <n v="2"/>
    <n v="80"/>
    <n v="3"/>
    <n v="23"/>
    <n v="2"/>
    <n v="2"/>
    <n v="21"/>
    <n v="6"/>
    <n v="12"/>
    <n v="6"/>
    <s v="High"/>
    <s v="High"/>
    <s v="High"/>
  </r>
  <r>
    <n v="60"/>
    <x v="1"/>
    <s v="Travel_Rarely"/>
    <n v="1179"/>
    <x v="0"/>
    <n v="16"/>
    <n v="4"/>
    <s v="Marketing"/>
    <x v="0"/>
    <n v="732"/>
    <n v="1"/>
    <s v="Male"/>
    <n v="84"/>
    <n v="3"/>
    <n v="2"/>
    <s v="Sales Executive"/>
    <n v="1"/>
    <s v="Single"/>
    <n v="5405"/>
    <n v="11924"/>
    <n v="8"/>
    <s v="Y"/>
    <x v="1"/>
    <n v="14"/>
    <n v="3"/>
    <n v="4"/>
    <n v="80"/>
    <n v="0"/>
    <n v="10"/>
    <n v="1"/>
    <n v="3"/>
    <n v="2"/>
    <n v="2"/>
    <n v="2"/>
    <n v="2"/>
    <s v="Low"/>
    <s v="Medium"/>
    <s v="new"/>
  </r>
  <r>
    <n v="27"/>
    <x v="1"/>
    <s v="Travel_Frequently"/>
    <n v="294"/>
    <x v="1"/>
    <n v="10"/>
    <n v="2"/>
    <s v="Life Sciences"/>
    <x v="0"/>
    <n v="733"/>
    <n v="4"/>
    <s v="Male"/>
    <n v="32"/>
    <n v="3"/>
    <n v="3"/>
    <s v="Manufacturing Director"/>
    <n v="1"/>
    <s v="Divorced"/>
    <n v="8793"/>
    <n v="4809"/>
    <n v="1"/>
    <s v="Y"/>
    <x v="1"/>
    <n v="21"/>
    <n v="4"/>
    <n v="3"/>
    <n v="80"/>
    <n v="2"/>
    <n v="9"/>
    <n v="4"/>
    <n v="2"/>
    <n v="9"/>
    <n v="7"/>
    <n v="1"/>
    <n v="7"/>
    <s v="High"/>
    <s v="High"/>
    <s v="High"/>
  </r>
  <r>
    <n v="41"/>
    <x v="1"/>
    <s v="Travel_Rarely"/>
    <n v="314"/>
    <x v="2"/>
    <n v="1"/>
    <n v="3"/>
    <s v="Human Resources"/>
    <x v="0"/>
    <n v="734"/>
    <n v="4"/>
    <s v="Male"/>
    <n v="59"/>
    <n v="2"/>
    <n v="5"/>
    <s v="Manager"/>
    <n v="3"/>
    <s v="Married"/>
    <n v="19189"/>
    <n v="19562"/>
    <n v="1"/>
    <s v="Y"/>
    <x v="1"/>
    <n v="12"/>
    <n v="3"/>
    <n v="2"/>
    <n v="80"/>
    <n v="1"/>
    <n v="22"/>
    <n v="3"/>
    <n v="3"/>
    <n v="22"/>
    <n v="7"/>
    <n v="2"/>
    <n v="10"/>
    <s v="High"/>
    <s v="High"/>
    <s v="High"/>
  </r>
  <r>
    <n v="50"/>
    <x v="1"/>
    <s v="Travel_Rarely"/>
    <n v="316"/>
    <x v="0"/>
    <n v="8"/>
    <n v="4"/>
    <s v="Marketing"/>
    <x v="0"/>
    <n v="738"/>
    <n v="4"/>
    <s v="Male"/>
    <n v="54"/>
    <n v="3"/>
    <n v="1"/>
    <s v="Sales Representative"/>
    <n v="2"/>
    <s v="Married"/>
    <n v="3875"/>
    <n v="9983"/>
    <n v="7"/>
    <s v="Y"/>
    <x v="1"/>
    <n v="15"/>
    <n v="3"/>
    <n v="4"/>
    <n v="80"/>
    <n v="1"/>
    <n v="4"/>
    <n v="2"/>
    <n v="3"/>
    <n v="2"/>
    <n v="2"/>
    <n v="2"/>
    <n v="2"/>
    <s v="Low"/>
    <s v="Low"/>
    <s v="new"/>
  </r>
  <r>
    <n v="28"/>
    <x v="0"/>
    <s v="Travel_Rarely"/>
    <n v="654"/>
    <x v="1"/>
    <n v="1"/>
    <n v="2"/>
    <s v="Life Sciences"/>
    <x v="0"/>
    <n v="741"/>
    <n v="1"/>
    <s v="Female"/>
    <n v="67"/>
    <n v="1"/>
    <n v="1"/>
    <s v="Research Scientist"/>
    <n v="2"/>
    <s v="Single"/>
    <n v="2216"/>
    <n v="3872"/>
    <n v="7"/>
    <s v="Y"/>
    <x v="0"/>
    <n v="13"/>
    <n v="3"/>
    <n v="4"/>
    <n v="80"/>
    <n v="0"/>
    <n v="10"/>
    <n v="4"/>
    <n v="3"/>
    <n v="7"/>
    <n v="7"/>
    <n v="3"/>
    <n v="7"/>
    <s v="Low"/>
    <s v="Low"/>
    <s v="Experienced"/>
  </r>
  <r>
    <n v="36"/>
    <x v="1"/>
    <s v="Non-Travel"/>
    <n v="427"/>
    <x v="1"/>
    <n v="8"/>
    <n v="3"/>
    <s v="Life Sciences"/>
    <x v="0"/>
    <n v="742"/>
    <n v="1"/>
    <s v="Female"/>
    <n v="63"/>
    <n v="4"/>
    <n v="3"/>
    <s v="Research Director"/>
    <n v="1"/>
    <s v="Married"/>
    <n v="11713"/>
    <n v="20335"/>
    <n v="9"/>
    <s v="Y"/>
    <x v="1"/>
    <n v="14"/>
    <n v="3"/>
    <n v="1"/>
    <n v="80"/>
    <n v="1"/>
    <n v="10"/>
    <n v="2"/>
    <n v="3"/>
    <n v="8"/>
    <n v="7"/>
    <n v="0"/>
    <n v="5"/>
    <s v="High"/>
    <s v="High"/>
    <s v="High"/>
  </r>
  <r>
    <n v="38"/>
    <x v="1"/>
    <s v="Travel_Rarely"/>
    <n v="168"/>
    <x v="1"/>
    <n v="1"/>
    <n v="3"/>
    <s v="Life Sciences"/>
    <x v="0"/>
    <n v="743"/>
    <n v="3"/>
    <s v="Female"/>
    <n v="81"/>
    <n v="3"/>
    <n v="3"/>
    <s v="Manufacturing Director"/>
    <n v="3"/>
    <s v="Single"/>
    <n v="7861"/>
    <n v="15397"/>
    <n v="4"/>
    <s v="Y"/>
    <x v="0"/>
    <n v="14"/>
    <n v="3"/>
    <n v="4"/>
    <n v="80"/>
    <n v="0"/>
    <n v="10"/>
    <n v="4"/>
    <n v="4"/>
    <n v="1"/>
    <n v="0"/>
    <n v="0"/>
    <n v="0"/>
    <s v="High"/>
    <s v="Medium"/>
    <s v="new"/>
  </r>
  <r>
    <n v="44"/>
    <x v="1"/>
    <s v="Non-Travel"/>
    <n v="381"/>
    <x v="1"/>
    <n v="24"/>
    <n v="3"/>
    <s v="Medical"/>
    <x v="0"/>
    <n v="744"/>
    <n v="1"/>
    <s v="Male"/>
    <n v="49"/>
    <n v="1"/>
    <n v="1"/>
    <s v="Laboratory Technician"/>
    <n v="3"/>
    <s v="Single"/>
    <n v="3708"/>
    <n v="2104"/>
    <n v="2"/>
    <s v="Y"/>
    <x v="1"/>
    <n v="14"/>
    <n v="3"/>
    <n v="3"/>
    <n v="80"/>
    <n v="0"/>
    <n v="9"/>
    <n v="5"/>
    <n v="3"/>
    <n v="5"/>
    <n v="2"/>
    <n v="1"/>
    <n v="4"/>
    <s v="Low"/>
    <s v="Low"/>
    <s v="Experienced"/>
  </r>
  <r>
    <n v="47"/>
    <x v="1"/>
    <s v="Travel_Frequently"/>
    <n v="217"/>
    <x v="0"/>
    <n v="3"/>
    <n v="3"/>
    <s v="Medical"/>
    <x v="0"/>
    <n v="746"/>
    <n v="4"/>
    <s v="Female"/>
    <n v="49"/>
    <n v="3"/>
    <n v="4"/>
    <s v="Sales Executive"/>
    <n v="3"/>
    <s v="Divorced"/>
    <n v="13770"/>
    <n v="10225"/>
    <n v="9"/>
    <s v="Y"/>
    <x v="0"/>
    <n v="12"/>
    <n v="3"/>
    <n v="4"/>
    <n v="80"/>
    <n v="2"/>
    <n v="28"/>
    <n v="2"/>
    <n v="2"/>
    <n v="22"/>
    <n v="2"/>
    <n v="11"/>
    <n v="13"/>
    <s v="High"/>
    <s v="High"/>
    <s v="High"/>
  </r>
  <r>
    <n v="30"/>
    <x v="1"/>
    <s v="Travel_Rarely"/>
    <n v="501"/>
    <x v="0"/>
    <n v="27"/>
    <n v="5"/>
    <s v="Marketing"/>
    <x v="0"/>
    <n v="747"/>
    <n v="3"/>
    <s v="Male"/>
    <n v="99"/>
    <n v="3"/>
    <n v="2"/>
    <s v="Sales Executive"/>
    <n v="4"/>
    <s v="Divorced"/>
    <n v="5304"/>
    <n v="25275"/>
    <n v="7"/>
    <s v="Y"/>
    <x v="1"/>
    <n v="23"/>
    <n v="4"/>
    <n v="4"/>
    <n v="80"/>
    <n v="1"/>
    <n v="10"/>
    <n v="2"/>
    <n v="2"/>
    <n v="8"/>
    <n v="7"/>
    <n v="7"/>
    <n v="7"/>
    <s v="Low"/>
    <s v="Medium"/>
    <s v="High"/>
  </r>
  <r>
    <n v="29"/>
    <x v="1"/>
    <s v="Travel_Rarely"/>
    <n v="1396"/>
    <x v="0"/>
    <n v="10"/>
    <n v="3"/>
    <s v="Life Sciences"/>
    <x v="0"/>
    <n v="749"/>
    <n v="3"/>
    <s v="Male"/>
    <n v="99"/>
    <n v="3"/>
    <n v="1"/>
    <s v="Sales Representative"/>
    <n v="3"/>
    <s v="Single"/>
    <n v="2642"/>
    <n v="2755"/>
    <n v="1"/>
    <s v="Y"/>
    <x v="1"/>
    <n v="11"/>
    <n v="3"/>
    <n v="3"/>
    <n v="80"/>
    <n v="0"/>
    <n v="1"/>
    <n v="6"/>
    <n v="3"/>
    <n v="1"/>
    <n v="0"/>
    <n v="0"/>
    <n v="0"/>
    <s v="Low"/>
    <s v="Low"/>
    <s v="new"/>
  </r>
  <r>
    <n v="42"/>
    <x v="0"/>
    <s v="Travel_Frequently"/>
    <n v="933"/>
    <x v="1"/>
    <n v="19"/>
    <n v="3"/>
    <s v="Medical"/>
    <x v="0"/>
    <n v="752"/>
    <n v="3"/>
    <s v="Male"/>
    <n v="57"/>
    <n v="4"/>
    <n v="1"/>
    <s v="Research Scientist"/>
    <n v="3"/>
    <s v="Divorced"/>
    <n v="2759"/>
    <n v="20366"/>
    <n v="6"/>
    <s v="Y"/>
    <x v="0"/>
    <n v="12"/>
    <n v="3"/>
    <n v="4"/>
    <n v="80"/>
    <n v="0"/>
    <n v="7"/>
    <n v="2"/>
    <n v="3"/>
    <n v="2"/>
    <n v="2"/>
    <n v="2"/>
    <n v="2"/>
    <s v="Low"/>
    <s v="Low"/>
    <s v="new"/>
  </r>
  <r>
    <n v="43"/>
    <x v="1"/>
    <s v="Travel_Frequently"/>
    <n v="775"/>
    <x v="0"/>
    <n v="15"/>
    <n v="3"/>
    <s v="Life Sciences"/>
    <x v="0"/>
    <n v="754"/>
    <n v="4"/>
    <s v="Male"/>
    <n v="47"/>
    <n v="2"/>
    <n v="2"/>
    <s v="Sales Executive"/>
    <n v="4"/>
    <s v="Married"/>
    <n v="6804"/>
    <n v="23683"/>
    <n v="3"/>
    <s v="Y"/>
    <x v="1"/>
    <n v="18"/>
    <n v="3"/>
    <n v="3"/>
    <n v="80"/>
    <n v="1"/>
    <n v="7"/>
    <n v="5"/>
    <n v="3"/>
    <n v="2"/>
    <n v="2"/>
    <n v="2"/>
    <n v="2"/>
    <s v="High"/>
    <s v="Medium"/>
    <s v="new"/>
  </r>
  <r>
    <n v="34"/>
    <x v="1"/>
    <s v="Travel_Rarely"/>
    <n v="970"/>
    <x v="1"/>
    <n v="8"/>
    <n v="2"/>
    <s v="Medical"/>
    <x v="0"/>
    <n v="757"/>
    <n v="2"/>
    <s v="Female"/>
    <n v="96"/>
    <n v="3"/>
    <n v="2"/>
    <s v="Healthcare Representative"/>
    <n v="3"/>
    <s v="Single"/>
    <n v="6142"/>
    <n v="7360"/>
    <n v="3"/>
    <s v="Y"/>
    <x v="1"/>
    <n v="11"/>
    <n v="3"/>
    <n v="4"/>
    <n v="80"/>
    <n v="0"/>
    <n v="10"/>
    <n v="2"/>
    <n v="3"/>
    <n v="5"/>
    <n v="1"/>
    <n v="4"/>
    <n v="3"/>
    <s v="Low"/>
    <s v="Medium"/>
    <s v="Experienced"/>
  </r>
  <r>
    <n v="23"/>
    <x v="1"/>
    <s v="Travel_Rarely"/>
    <n v="650"/>
    <x v="1"/>
    <n v="9"/>
    <n v="1"/>
    <s v="Medical"/>
    <x v="0"/>
    <n v="758"/>
    <n v="2"/>
    <s v="Male"/>
    <n v="37"/>
    <n v="3"/>
    <n v="1"/>
    <s v="Laboratory Technician"/>
    <n v="1"/>
    <s v="Married"/>
    <n v="2500"/>
    <n v="4344"/>
    <n v="1"/>
    <s v="Y"/>
    <x v="1"/>
    <n v="14"/>
    <n v="3"/>
    <n v="4"/>
    <n v="80"/>
    <n v="1"/>
    <n v="5"/>
    <n v="2"/>
    <n v="4"/>
    <n v="4"/>
    <n v="3"/>
    <n v="0"/>
    <n v="2"/>
    <s v="Low"/>
    <s v="Low"/>
    <s v="Experienced"/>
  </r>
  <r>
    <n v="39"/>
    <x v="1"/>
    <s v="Travel_Rarely"/>
    <n v="141"/>
    <x v="2"/>
    <n v="3"/>
    <n v="3"/>
    <s v="Human Resources"/>
    <x v="0"/>
    <n v="760"/>
    <n v="3"/>
    <s v="Female"/>
    <n v="44"/>
    <n v="4"/>
    <n v="2"/>
    <s v="Human Resources"/>
    <n v="2"/>
    <s v="Married"/>
    <n v="6389"/>
    <n v="18767"/>
    <n v="9"/>
    <s v="Y"/>
    <x v="1"/>
    <n v="15"/>
    <n v="3"/>
    <n v="3"/>
    <n v="80"/>
    <n v="1"/>
    <n v="12"/>
    <n v="3"/>
    <n v="1"/>
    <n v="8"/>
    <n v="3"/>
    <n v="3"/>
    <n v="6"/>
    <s v="Low"/>
    <s v="Medium"/>
    <s v="High"/>
  </r>
  <r>
    <n v="56"/>
    <x v="1"/>
    <s v="Travel_Rarely"/>
    <n v="832"/>
    <x v="1"/>
    <n v="9"/>
    <n v="3"/>
    <s v="Medical"/>
    <x v="0"/>
    <n v="762"/>
    <n v="3"/>
    <s v="Male"/>
    <n v="81"/>
    <n v="3"/>
    <n v="4"/>
    <s v="Healthcare Representative"/>
    <n v="4"/>
    <s v="Married"/>
    <n v="11103"/>
    <n v="20420"/>
    <n v="7"/>
    <s v="Y"/>
    <x v="1"/>
    <n v="11"/>
    <n v="3"/>
    <n v="3"/>
    <n v="80"/>
    <n v="0"/>
    <n v="30"/>
    <n v="1"/>
    <n v="2"/>
    <n v="10"/>
    <n v="7"/>
    <n v="1"/>
    <n v="1"/>
    <s v="High"/>
    <s v="High"/>
    <s v="High"/>
  </r>
  <r>
    <n v="40"/>
    <x v="1"/>
    <s v="Travel_Rarely"/>
    <n v="804"/>
    <x v="1"/>
    <n v="2"/>
    <n v="1"/>
    <s v="Medical"/>
    <x v="0"/>
    <n v="763"/>
    <n v="4"/>
    <s v="Female"/>
    <n v="86"/>
    <n v="2"/>
    <n v="1"/>
    <s v="Research Scientist"/>
    <n v="4"/>
    <s v="Single"/>
    <n v="2342"/>
    <n v="22929"/>
    <n v="0"/>
    <s v="Y"/>
    <x v="0"/>
    <n v="20"/>
    <n v="4"/>
    <n v="4"/>
    <n v="80"/>
    <n v="0"/>
    <n v="5"/>
    <n v="2"/>
    <n v="2"/>
    <n v="4"/>
    <n v="2"/>
    <n v="2"/>
    <n v="3"/>
    <s v="Low"/>
    <s v="Low"/>
    <s v="Experienced"/>
  </r>
  <r>
    <n v="27"/>
    <x v="1"/>
    <s v="Travel_Rarely"/>
    <n v="975"/>
    <x v="1"/>
    <n v="7"/>
    <n v="3"/>
    <s v="Medical"/>
    <x v="0"/>
    <n v="764"/>
    <n v="4"/>
    <s v="Female"/>
    <n v="55"/>
    <n v="2"/>
    <n v="2"/>
    <s v="Healthcare Representative"/>
    <n v="1"/>
    <s v="Single"/>
    <n v="6811"/>
    <n v="23398"/>
    <n v="8"/>
    <s v="Y"/>
    <x v="1"/>
    <n v="19"/>
    <n v="3"/>
    <n v="1"/>
    <n v="80"/>
    <n v="0"/>
    <n v="9"/>
    <n v="2"/>
    <n v="1"/>
    <n v="7"/>
    <n v="6"/>
    <n v="0"/>
    <n v="7"/>
    <s v="High"/>
    <s v="Medium"/>
    <s v="Experienced"/>
  </r>
  <r>
    <n v="29"/>
    <x v="1"/>
    <s v="Travel_Rarely"/>
    <n v="1090"/>
    <x v="0"/>
    <n v="10"/>
    <n v="3"/>
    <s v="Marketing"/>
    <x v="0"/>
    <n v="766"/>
    <n v="4"/>
    <s v="Male"/>
    <n v="83"/>
    <n v="3"/>
    <n v="1"/>
    <s v="Sales Representative"/>
    <n v="2"/>
    <s v="Divorced"/>
    <n v="2297"/>
    <n v="17967"/>
    <n v="1"/>
    <s v="Y"/>
    <x v="1"/>
    <n v="14"/>
    <n v="3"/>
    <n v="4"/>
    <n v="80"/>
    <n v="2"/>
    <n v="2"/>
    <n v="2"/>
    <n v="3"/>
    <n v="2"/>
    <n v="2"/>
    <n v="2"/>
    <n v="2"/>
    <s v="Low"/>
    <s v="Low"/>
    <s v="new"/>
  </r>
  <r>
    <n v="53"/>
    <x v="1"/>
    <s v="Travel_Rarely"/>
    <n v="346"/>
    <x v="1"/>
    <n v="6"/>
    <n v="3"/>
    <s v="Life Sciences"/>
    <x v="0"/>
    <n v="769"/>
    <n v="4"/>
    <s v="Male"/>
    <n v="86"/>
    <n v="3"/>
    <n v="2"/>
    <s v="Laboratory Technician"/>
    <n v="4"/>
    <s v="Single"/>
    <n v="2450"/>
    <n v="10919"/>
    <n v="2"/>
    <s v="Y"/>
    <x v="1"/>
    <n v="17"/>
    <n v="3"/>
    <n v="4"/>
    <n v="80"/>
    <n v="0"/>
    <n v="19"/>
    <n v="4"/>
    <n v="3"/>
    <n v="2"/>
    <n v="2"/>
    <n v="2"/>
    <n v="2"/>
    <s v="Low"/>
    <s v="Low"/>
    <s v="new"/>
  </r>
  <r>
    <n v="35"/>
    <x v="1"/>
    <s v="Non-Travel"/>
    <n v="1225"/>
    <x v="1"/>
    <n v="2"/>
    <n v="4"/>
    <s v="Life Sciences"/>
    <x v="0"/>
    <n v="771"/>
    <n v="4"/>
    <s v="Female"/>
    <n v="61"/>
    <n v="3"/>
    <n v="2"/>
    <s v="Healthcare Representative"/>
    <n v="1"/>
    <s v="Divorced"/>
    <n v="5093"/>
    <n v="4761"/>
    <n v="2"/>
    <s v="Y"/>
    <x v="1"/>
    <n v="11"/>
    <n v="3"/>
    <n v="1"/>
    <n v="80"/>
    <n v="1"/>
    <n v="16"/>
    <n v="2"/>
    <n v="4"/>
    <n v="1"/>
    <n v="0"/>
    <n v="0"/>
    <n v="0"/>
    <s v="Low"/>
    <s v="Medium"/>
    <s v="new"/>
  </r>
  <r>
    <n v="32"/>
    <x v="1"/>
    <s v="Travel_Frequently"/>
    <n v="430"/>
    <x v="1"/>
    <n v="24"/>
    <n v="4"/>
    <s v="Life Sciences"/>
    <x v="0"/>
    <n v="772"/>
    <n v="1"/>
    <s v="Male"/>
    <n v="80"/>
    <n v="3"/>
    <n v="2"/>
    <s v="Laboratory Technician"/>
    <n v="4"/>
    <s v="Married"/>
    <n v="5309"/>
    <n v="21146"/>
    <n v="1"/>
    <s v="Y"/>
    <x v="1"/>
    <n v="15"/>
    <n v="3"/>
    <n v="4"/>
    <n v="80"/>
    <n v="2"/>
    <n v="10"/>
    <n v="2"/>
    <n v="3"/>
    <n v="10"/>
    <n v="8"/>
    <n v="4"/>
    <n v="7"/>
    <s v="Low"/>
    <s v="Medium"/>
    <s v="High"/>
  </r>
  <r>
    <n v="38"/>
    <x v="1"/>
    <s v="Travel_Rarely"/>
    <n v="268"/>
    <x v="1"/>
    <n v="2"/>
    <n v="5"/>
    <s v="Medical"/>
    <x v="0"/>
    <n v="773"/>
    <n v="4"/>
    <s v="Male"/>
    <n v="92"/>
    <n v="3"/>
    <n v="1"/>
    <s v="Research Scientist"/>
    <n v="3"/>
    <s v="Married"/>
    <n v="3057"/>
    <n v="20471"/>
    <n v="6"/>
    <s v="Y"/>
    <x v="0"/>
    <n v="13"/>
    <n v="3"/>
    <n v="2"/>
    <n v="80"/>
    <n v="1"/>
    <n v="6"/>
    <n v="0"/>
    <n v="1"/>
    <n v="1"/>
    <n v="0"/>
    <n v="0"/>
    <n v="1"/>
    <s v="Low"/>
    <s v="Low"/>
    <s v="new"/>
  </r>
  <r>
    <n v="34"/>
    <x v="1"/>
    <s v="Travel_Rarely"/>
    <n v="167"/>
    <x v="1"/>
    <n v="8"/>
    <n v="5"/>
    <s v="Life Sciences"/>
    <x v="0"/>
    <n v="775"/>
    <n v="2"/>
    <s v="Female"/>
    <n v="32"/>
    <n v="3"/>
    <n v="2"/>
    <s v="Manufacturing Director"/>
    <n v="1"/>
    <s v="Divorced"/>
    <n v="5121"/>
    <n v="4187"/>
    <n v="3"/>
    <s v="Y"/>
    <x v="1"/>
    <n v="14"/>
    <n v="3"/>
    <n v="3"/>
    <n v="80"/>
    <n v="1"/>
    <n v="7"/>
    <n v="3"/>
    <n v="3"/>
    <n v="0"/>
    <n v="0"/>
    <n v="0"/>
    <n v="0"/>
    <s v="Low"/>
    <s v="Medium"/>
    <s v="new"/>
  </r>
  <r>
    <n v="52"/>
    <x v="1"/>
    <s v="Travel_Rarely"/>
    <n v="621"/>
    <x v="0"/>
    <n v="3"/>
    <n v="4"/>
    <s v="Marketing"/>
    <x v="0"/>
    <n v="776"/>
    <n v="3"/>
    <s v="Male"/>
    <n v="31"/>
    <n v="2"/>
    <n v="4"/>
    <s v="Manager"/>
    <n v="1"/>
    <s v="Married"/>
    <n v="16856"/>
    <n v="10084"/>
    <n v="1"/>
    <s v="Y"/>
    <x v="1"/>
    <n v="11"/>
    <n v="3"/>
    <n v="1"/>
    <n v="80"/>
    <n v="0"/>
    <n v="34"/>
    <n v="3"/>
    <n v="4"/>
    <n v="34"/>
    <n v="6"/>
    <n v="1"/>
    <n v="16"/>
    <s v="High"/>
    <s v="High"/>
    <s v="High"/>
  </r>
  <r>
    <n v="33"/>
    <x v="0"/>
    <s v="Travel_Rarely"/>
    <n v="527"/>
    <x v="1"/>
    <n v="1"/>
    <n v="4"/>
    <s v="Other"/>
    <x v="0"/>
    <n v="780"/>
    <n v="4"/>
    <s v="Male"/>
    <n v="63"/>
    <n v="3"/>
    <n v="1"/>
    <s v="Research Scientist"/>
    <n v="4"/>
    <s v="Single"/>
    <n v="2686"/>
    <n v="5207"/>
    <n v="1"/>
    <s v="Y"/>
    <x v="0"/>
    <n v="13"/>
    <n v="3"/>
    <n v="3"/>
    <n v="80"/>
    <n v="0"/>
    <n v="10"/>
    <n v="2"/>
    <n v="2"/>
    <n v="10"/>
    <n v="9"/>
    <n v="7"/>
    <n v="8"/>
    <s v="Low"/>
    <s v="Low"/>
    <s v="High"/>
  </r>
  <r>
    <n v="25"/>
    <x v="1"/>
    <s v="Travel_Rarely"/>
    <n v="883"/>
    <x v="0"/>
    <n v="26"/>
    <n v="1"/>
    <s v="Medical"/>
    <x v="0"/>
    <n v="781"/>
    <n v="3"/>
    <s v="Female"/>
    <n v="32"/>
    <n v="3"/>
    <n v="2"/>
    <s v="Sales Executive"/>
    <n v="4"/>
    <s v="Single"/>
    <n v="6180"/>
    <n v="22807"/>
    <n v="1"/>
    <s v="Y"/>
    <x v="1"/>
    <n v="23"/>
    <n v="4"/>
    <n v="2"/>
    <n v="80"/>
    <n v="0"/>
    <n v="6"/>
    <n v="5"/>
    <n v="2"/>
    <n v="6"/>
    <n v="5"/>
    <n v="1"/>
    <n v="4"/>
    <s v="Low"/>
    <s v="Medium"/>
    <s v="Experienced"/>
  </r>
  <r>
    <n v="45"/>
    <x v="1"/>
    <s v="Travel_Rarely"/>
    <n v="954"/>
    <x v="0"/>
    <n v="2"/>
    <n v="2"/>
    <s v="Technical Degree"/>
    <x v="0"/>
    <n v="783"/>
    <n v="2"/>
    <s v="Male"/>
    <n v="46"/>
    <n v="1"/>
    <n v="2"/>
    <s v="Sales Representative"/>
    <n v="3"/>
    <s v="Single"/>
    <n v="6632"/>
    <n v="12388"/>
    <n v="0"/>
    <s v="Y"/>
    <x v="1"/>
    <n v="13"/>
    <n v="3"/>
    <n v="1"/>
    <n v="80"/>
    <n v="0"/>
    <n v="9"/>
    <n v="3"/>
    <n v="3"/>
    <n v="8"/>
    <n v="7"/>
    <n v="3"/>
    <n v="1"/>
    <s v="High"/>
    <s v="Medium"/>
    <s v="High"/>
  </r>
  <r>
    <n v="23"/>
    <x v="1"/>
    <s v="Travel_Rarely"/>
    <n v="310"/>
    <x v="1"/>
    <n v="10"/>
    <n v="1"/>
    <s v="Medical"/>
    <x v="0"/>
    <n v="784"/>
    <n v="1"/>
    <s v="Male"/>
    <n v="79"/>
    <n v="4"/>
    <n v="1"/>
    <s v="Research Scientist"/>
    <n v="3"/>
    <s v="Single"/>
    <n v="3505"/>
    <n v="19630"/>
    <n v="1"/>
    <s v="Y"/>
    <x v="1"/>
    <n v="18"/>
    <n v="3"/>
    <n v="4"/>
    <n v="80"/>
    <n v="0"/>
    <n v="2"/>
    <n v="3"/>
    <n v="3"/>
    <n v="2"/>
    <n v="2"/>
    <n v="0"/>
    <n v="2"/>
    <s v="Low"/>
    <s v="Low"/>
    <s v="new"/>
  </r>
  <r>
    <n v="47"/>
    <x v="0"/>
    <s v="Travel_Frequently"/>
    <n v="719"/>
    <x v="0"/>
    <n v="27"/>
    <n v="2"/>
    <s v="Life Sciences"/>
    <x v="0"/>
    <n v="785"/>
    <n v="2"/>
    <s v="Female"/>
    <n v="77"/>
    <n v="4"/>
    <n v="2"/>
    <s v="Sales Executive"/>
    <n v="3"/>
    <s v="Single"/>
    <n v="6397"/>
    <n v="10339"/>
    <n v="4"/>
    <s v="Y"/>
    <x v="0"/>
    <n v="12"/>
    <n v="3"/>
    <n v="4"/>
    <n v="80"/>
    <n v="0"/>
    <n v="8"/>
    <n v="2"/>
    <n v="3"/>
    <n v="5"/>
    <n v="4"/>
    <n v="1"/>
    <n v="3"/>
    <s v="Low"/>
    <s v="Medium"/>
    <s v="Experienced"/>
  </r>
  <r>
    <n v="34"/>
    <x v="1"/>
    <s v="Travel_Rarely"/>
    <n v="304"/>
    <x v="0"/>
    <n v="2"/>
    <n v="3"/>
    <s v="Other"/>
    <x v="0"/>
    <n v="786"/>
    <n v="4"/>
    <s v="Male"/>
    <n v="60"/>
    <n v="3"/>
    <n v="2"/>
    <s v="Sales Executive"/>
    <n v="4"/>
    <s v="Single"/>
    <n v="6274"/>
    <n v="18686"/>
    <n v="1"/>
    <s v="Y"/>
    <x v="1"/>
    <n v="22"/>
    <n v="4"/>
    <n v="3"/>
    <n v="80"/>
    <n v="0"/>
    <n v="6"/>
    <n v="5"/>
    <n v="3"/>
    <n v="6"/>
    <n v="5"/>
    <n v="1"/>
    <n v="4"/>
    <s v="Low"/>
    <s v="Medium"/>
    <s v="Experienced"/>
  </r>
  <r>
    <n v="55"/>
    <x v="0"/>
    <s v="Travel_Rarely"/>
    <n v="725"/>
    <x v="1"/>
    <n v="2"/>
    <n v="3"/>
    <s v="Medical"/>
    <x v="0"/>
    <n v="787"/>
    <n v="4"/>
    <s v="Male"/>
    <n v="78"/>
    <n v="3"/>
    <n v="5"/>
    <s v="Manager"/>
    <n v="1"/>
    <s v="Married"/>
    <n v="19859"/>
    <n v="21199"/>
    <n v="5"/>
    <s v="Y"/>
    <x v="0"/>
    <n v="13"/>
    <n v="3"/>
    <n v="4"/>
    <n v="80"/>
    <n v="1"/>
    <n v="24"/>
    <n v="2"/>
    <n v="3"/>
    <n v="5"/>
    <n v="2"/>
    <n v="1"/>
    <n v="4"/>
    <s v="High"/>
    <s v="High"/>
    <s v="Experienced"/>
  </r>
  <r>
    <n v="36"/>
    <x v="1"/>
    <s v="Non-Travel"/>
    <n v="1434"/>
    <x v="0"/>
    <n v="8"/>
    <n v="4"/>
    <s v="Life Sciences"/>
    <x v="0"/>
    <n v="789"/>
    <n v="1"/>
    <s v="Male"/>
    <n v="76"/>
    <n v="2"/>
    <n v="3"/>
    <s v="Sales Executive"/>
    <n v="1"/>
    <s v="Single"/>
    <n v="7587"/>
    <n v="14229"/>
    <n v="1"/>
    <s v="Y"/>
    <x v="1"/>
    <n v="15"/>
    <n v="3"/>
    <n v="2"/>
    <n v="80"/>
    <n v="0"/>
    <n v="10"/>
    <n v="1"/>
    <n v="3"/>
    <n v="10"/>
    <n v="7"/>
    <n v="0"/>
    <n v="9"/>
    <s v="High"/>
    <s v="Medium"/>
    <s v="High"/>
  </r>
  <r>
    <n v="52"/>
    <x v="1"/>
    <s v="Non-Travel"/>
    <n v="715"/>
    <x v="1"/>
    <n v="19"/>
    <n v="4"/>
    <s v="Medical"/>
    <x v="0"/>
    <n v="791"/>
    <n v="4"/>
    <s v="Male"/>
    <n v="41"/>
    <n v="3"/>
    <n v="1"/>
    <s v="Research Scientist"/>
    <n v="4"/>
    <s v="Married"/>
    <n v="4258"/>
    <n v="26589"/>
    <n v="0"/>
    <s v="Y"/>
    <x v="1"/>
    <n v="18"/>
    <n v="3"/>
    <n v="1"/>
    <n v="80"/>
    <n v="1"/>
    <n v="5"/>
    <n v="3"/>
    <n v="3"/>
    <n v="4"/>
    <n v="3"/>
    <n v="1"/>
    <n v="2"/>
    <s v="Low"/>
    <s v="Medium"/>
    <s v="Experienced"/>
  </r>
  <r>
    <n v="26"/>
    <x v="1"/>
    <s v="Travel_Frequently"/>
    <n v="575"/>
    <x v="1"/>
    <n v="1"/>
    <n v="2"/>
    <s v="Life Sciences"/>
    <x v="0"/>
    <n v="792"/>
    <n v="1"/>
    <s v="Female"/>
    <n v="71"/>
    <n v="1"/>
    <n v="1"/>
    <s v="Laboratory Technician"/>
    <n v="4"/>
    <s v="Divorced"/>
    <n v="4364"/>
    <n v="5288"/>
    <n v="3"/>
    <s v="Y"/>
    <x v="1"/>
    <n v="14"/>
    <n v="3"/>
    <n v="1"/>
    <n v="80"/>
    <n v="1"/>
    <n v="5"/>
    <n v="2"/>
    <n v="3"/>
    <n v="2"/>
    <n v="2"/>
    <n v="2"/>
    <n v="0"/>
    <s v="Low"/>
    <s v="Medium"/>
    <s v="new"/>
  </r>
  <r>
    <n v="29"/>
    <x v="1"/>
    <s v="Travel_Rarely"/>
    <n v="657"/>
    <x v="1"/>
    <n v="27"/>
    <n v="3"/>
    <s v="Medical"/>
    <x v="0"/>
    <n v="793"/>
    <n v="2"/>
    <s v="Female"/>
    <n v="66"/>
    <n v="3"/>
    <n v="2"/>
    <s v="Healthcare Representative"/>
    <n v="3"/>
    <s v="Married"/>
    <n v="4335"/>
    <n v="25549"/>
    <n v="4"/>
    <s v="Y"/>
    <x v="1"/>
    <n v="12"/>
    <n v="3"/>
    <n v="1"/>
    <n v="80"/>
    <n v="1"/>
    <n v="11"/>
    <n v="3"/>
    <n v="2"/>
    <n v="8"/>
    <n v="7"/>
    <n v="1"/>
    <n v="1"/>
    <s v="Low"/>
    <s v="Medium"/>
    <s v="High"/>
  </r>
  <r>
    <n v="26"/>
    <x v="0"/>
    <s v="Travel_Rarely"/>
    <n v="1146"/>
    <x v="0"/>
    <n v="8"/>
    <n v="3"/>
    <s v="Technical Degree"/>
    <x v="0"/>
    <n v="796"/>
    <n v="4"/>
    <s v="Male"/>
    <n v="38"/>
    <n v="2"/>
    <n v="2"/>
    <s v="Sales Executive"/>
    <n v="1"/>
    <s v="Single"/>
    <n v="5326"/>
    <n v="3064"/>
    <n v="6"/>
    <s v="Y"/>
    <x v="1"/>
    <n v="17"/>
    <n v="3"/>
    <n v="3"/>
    <n v="80"/>
    <n v="0"/>
    <n v="6"/>
    <n v="2"/>
    <n v="2"/>
    <n v="4"/>
    <n v="3"/>
    <n v="1"/>
    <n v="2"/>
    <s v="Low"/>
    <s v="Medium"/>
    <s v="Experienced"/>
  </r>
  <r>
    <n v="34"/>
    <x v="1"/>
    <s v="Travel_Rarely"/>
    <n v="182"/>
    <x v="1"/>
    <n v="1"/>
    <n v="4"/>
    <s v="Life Sciences"/>
    <x v="0"/>
    <n v="797"/>
    <n v="2"/>
    <s v="Female"/>
    <n v="72"/>
    <n v="4"/>
    <n v="1"/>
    <s v="Research Scientist"/>
    <n v="4"/>
    <s v="Single"/>
    <n v="3280"/>
    <n v="13551"/>
    <n v="2"/>
    <s v="Y"/>
    <x v="1"/>
    <n v="16"/>
    <n v="3"/>
    <n v="3"/>
    <n v="80"/>
    <n v="0"/>
    <n v="10"/>
    <n v="2"/>
    <n v="3"/>
    <n v="4"/>
    <n v="2"/>
    <n v="1"/>
    <n v="3"/>
    <s v="Low"/>
    <s v="Low"/>
    <s v="Experienced"/>
  </r>
  <r>
    <n v="54"/>
    <x v="1"/>
    <s v="Travel_Rarely"/>
    <n v="376"/>
    <x v="1"/>
    <n v="19"/>
    <n v="4"/>
    <s v="Medical"/>
    <x v="0"/>
    <n v="799"/>
    <n v="4"/>
    <s v="Female"/>
    <n v="95"/>
    <n v="3"/>
    <n v="2"/>
    <s v="Manufacturing Director"/>
    <n v="1"/>
    <s v="Divorced"/>
    <n v="5485"/>
    <n v="22670"/>
    <n v="9"/>
    <s v="Y"/>
    <x v="0"/>
    <n v="11"/>
    <n v="3"/>
    <n v="2"/>
    <n v="80"/>
    <n v="2"/>
    <n v="9"/>
    <n v="4"/>
    <n v="3"/>
    <n v="5"/>
    <n v="3"/>
    <n v="1"/>
    <n v="4"/>
    <s v="Low"/>
    <s v="Medium"/>
    <s v="Experienced"/>
  </r>
  <r>
    <n v="27"/>
    <x v="1"/>
    <s v="Travel_Frequently"/>
    <n v="829"/>
    <x v="0"/>
    <n v="8"/>
    <n v="1"/>
    <s v="Marketing"/>
    <x v="0"/>
    <n v="800"/>
    <n v="3"/>
    <s v="Male"/>
    <n v="84"/>
    <n v="3"/>
    <n v="2"/>
    <s v="Sales Executive"/>
    <n v="4"/>
    <s v="Married"/>
    <n v="4342"/>
    <n v="24008"/>
    <n v="0"/>
    <s v="Y"/>
    <x v="1"/>
    <n v="19"/>
    <n v="3"/>
    <n v="2"/>
    <n v="80"/>
    <n v="1"/>
    <n v="5"/>
    <n v="3"/>
    <n v="3"/>
    <n v="4"/>
    <n v="2"/>
    <n v="1"/>
    <n v="1"/>
    <s v="Low"/>
    <s v="Medium"/>
    <s v="Experienced"/>
  </r>
  <r>
    <n v="37"/>
    <x v="1"/>
    <s v="Travel_Rarely"/>
    <n v="571"/>
    <x v="1"/>
    <n v="10"/>
    <n v="1"/>
    <s v="Life Sciences"/>
    <x v="0"/>
    <n v="802"/>
    <n v="4"/>
    <s v="Female"/>
    <n v="82"/>
    <n v="3"/>
    <n v="1"/>
    <s v="Research Scientist"/>
    <n v="1"/>
    <s v="Divorced"/>
    <n v="2782"/>
    <n v="19905"/>
    <n v="0"/>
    <s v="Y"/>
    <x v="0"/>
    <n v="13"/>
    <n v="3"/>
    <n v="2"/>
    <n v="80"/>
    <n v="2"/>
    <n v="6"/>
    <n v="3"/>
    <n v="2"/>
    <n v="5"/>
    <n v="3"/>
    <n v="4"/>
    <n v="3"/>
    <s v="Low"/>
    <s v="Low"/>
    <s v="Experienced"/>
  </r>
  <r>
    <n v="38"/>
    <x v="1"/>
    <s v="Travel_Frequently"/>
    <n v="240"/>
    <x v="1"/>
    <n v="2"/>
    <n v="4"/>
    <s v="Life Sciences"/>
    <x v="0"/>
    <n v="803"/>
    <n v="1"/>
    <s v="Female"/>
    <n v="75"/>
    <n v="4"/>
    <n v="2"/>
    <s v="Manufacturing Director"/>
    <n v="1"/>
    <s v="Single"/>
    <n v="5980"/>
    <n v="26085"/>
    <n v="6"/>
    <s v="Y"/>
    <x v="0"/>
    <n v="12"/>
    <n v="3"/>
    <n v="4"/>
    <n v="80"/>
    <n v="0"/>
    <n v="17"/>
    <n v="2"/>
    <n v="3"/>
    <n v="15"/>
    <n v="7"/>
    <n v="4"/>
    <n v="12"/>
    <s v="Low"/>
    <s v="Medium"/>
    <s v="High"/>
  </r>
  <r>
    <n v="34"/>
    <x v="1"/>
    <s v="Travel_Rarely"/>
    <n v="121"/>
    <x v="1"/>
    <n v="2"/>
    <n v="4"/>
    <s v="Medical"/>
    <x v="0"/>
    <n v="804"/>
    <n v="3"/>
    <s v="Female"/>
    <n v="86"/>
    <n v="2"/>
    <n v="1"/>
    <s v="Research Scientist"/>
    <n v="1"/>
    <s v="Single"/>
    <n v="4381"/>
    <n v="7530"/>
    <n v="1"/>
    <s v="Y"/>
    <x v="1"/>
    <n v="11"/>
    <n v="3"/>
    <n v="3"/>
    <n v="80"/>
    <n v="0"/>
    <n v="6"/>
    <n v="3"/>
    <n v="3"/>
    <n v="6"/>
    <n v="5"/>
    <n v="1"/>
    <n v="3"/>
    <s v="Low"/>
    <s v="Medium"/>
    <s v="Experienced"/>
  </r>
  <r>
    <n v="35"/>
    <x v="1"/>
    <s v="Travel_Rarely"/>
    <n v="384"/>
    <x v="0"/>
    <n v="8"/>
    <n v="4"/>
    <s v="Life Sciences"/>
    <x v="0"/>
    <n v="805"/>
    <n v="1"/>
    <s v="Female"/>
    <n v="72"/>
    <n v="3"/>
    <n v="1"/>
    <s v="Sales Representative"/>
    <n v="4"/>
    <s v="Married"/>
    <n v="2572"/>
    <n v="20317"/>
    <n v="1"/>
    <s v="Y"/>
    <x v="1"/>
    <n v="16"/>
    <n v="3"/>
    <n v="2"/>
    <n v="80"/>
    <n v="1"/>
    <n v="3"/>
    <n v="1"/>
    <n v="2"/>
    <n v="3"/>
    <n v="2"/>
    <n v="0"/>
    <n v="2"/>
    <s v="Low"/>
    <s v="Low"/>
    <s v="Experienced"/>
  </r>
  <r>
    <n v="30"/>
    <x v="1"/>
    <s v="Travel_Rarely"/>
    <n v="921"/>
    <x v="1"/>
    <n v="1"/>
    <n v="3"/>
    <s v="Life Sciences"/>
    <x v="0"/>
    <n v="806"/>
    <n v="4"/>
    <s v="Male"/>
    <n v="38"/>
    <n v="1"/>
    <n v="1"/>
    <s v="Laboratory Technician"/>
    <n v="3"/>
    <s v="Married"/>
    <n v="3833"/>
    <n v="24375"/>
    <n v="3"/>
    <s v="Y"/>
    <x v="1"/>
    <n v="21"/>
    <n v="4"/>
    <n v="3"/>
    <n v="80"/>
    <n v="2"/>
    <n v="7"/>
    <n v="2"/>
    <n v="3"/>
    <n v="2"/>
    <n v="2"/>
    <n v="0"/>
    <n v="2"/>
    <s v="Low"/>
    <s v="Low"/>
    <s v="new"/>
  </r>
  <r>
    <n v="40"/>
    <x v="1"/>
    <s v="Travel_Frequently"/>
    <n v="791"/>
    <x v="1"/>
    <n v="2"/>
    <n v="2"/>
    <s v="Medical"/>
    <x v="0"/>
    <n v="807"/>
    <n v="3"/>
    <s v="Female"/>
    <n v="38"/>
    <n v="4"/>
    <n v="2"/>
    <s v="Healthcare Representative"/>
    <n v="2"/>
    <s v="Married"/>
    <n v="4244"/>
    <n v="9931"/>
    <n v="1"/>
    <s v="Y"/>
    <x v="1"/>
    <n v="24"/>
    <n v="4"/>
    <n v="4"/>
    <n v="80"/>
    <n v="1"/>
    <n v="8"/>
    <n v="2"/>
    <n v="3"/>
    <n v="8"/>
    <n v="7"/>
    <n v="3"/>
    <n v="7"/>
    <s v="Low"/>
    <s v="Medium"/>
    <s v="High"/>
  </r>
  <r>
    <n v="34"/>
    <x v="1"/>
    <s v="Travel_Rarely"/>
    <n v="1111"/>
    <x v="0"/>
    <n v="8"/>
    <n v="2"/>
    <s v="Life Sciences"/>
    <x v="0"/>
    <n v="808"/>
    <n v="3"/>
    <s v="Female"/>
    <n v="93"/>
    <n v="3"/>
    <n v="2"/>
    <s v="Sales Executive"/>
    <n v="1"/>
    <s v="Married"/>
    <n v="6500"/>
    <n v="13305"/>
    <n v="5"/>
    <s v="Y"/>
    <x v="1"/>
    <n v="17"/>
    <n v="3"/>
    <n v="2"/>
    <n v="80"/>
    <n v="1"/>
    <n v="6"/>
    <n v="1"/>
    <n v="3"/>
    <n v="3"/>
    <n v="2"/>
    <n v="1"/>
    <n v="2"/>
    <s v="High"/>
    <s v="Medium"/>
    <s v="Experienced"/>
  </r>
  <r>
    <n v="42"/>
    <x v="1"/>
    <s v="Travel_Frequently"/>
    <n v="570"/>
    <x v="1"/>
    <n v="8"/>
    <n v="3"/>
    <s v="Life Sciences"/>
    <x v="0"/>
    <n v="809"/>
    <n v="2"/>
    <s v="Male"/>
    <n v="66"/>
    <n v="3"/>
    <n v="5"/>
    <s v="Manager"/>
    <n v="4"/>
    <s v="Divorced"/>
    <n v="18430"/>
    <n v="16225"/>
    <n v="1"/>
    <s v="Y"/>
    <x v="1"/>
    <n v="13"/>
    <n v="3"/>
    <n v="2"/>
    <n v="80"/>
    <n v="1"/>
    <n v="24"/>
    <n v="4"/>
    <n v="2"/>
    <n v="24"/>
    <n v="7"/>
    <n v="14"/>
    <n v="9"/>
    <s v="High"/>
    <s v="High"/>
    <s v="High"/>
  </r>
  <r>
    <n v="23"/>
    <x v="0"/>
    <s v="Travel_Rarely"/>
    <n v="1243"/>
    <x v="1"/>
    <n v="6"/>
    <n v="3"/>
    <s v="Life Sciences"/>
    <x v="0"/>
    <n v="811"/>
    <n v="3"/>
    <s v="Male"/>
    <n v="63"/>
    <n v="4"/>
    <n v="1"/>
    <s v="Laboratory Technician"/>
    <n v="1"/>
    <s v="Married"/>
    <n v="1601"/>
    <n v="3445"/>
    <n v="1"/>
    <s v="Y"/>
    <x v="0"/>
    <n v="21"/>
    <n v="4"/>
    <n v="3"/>
    <n v="80"/>
    <n v="2"/>
    <n v="1"/>
    <n v="2"/>
    <n v="3"/>
    <n v="0"/>
    <n v="0"/>
    <n v="0"/>
    <n v="0"/>
    <s v="Low"/>
    <s v="Low"/>
    <s v="new"/>
  </r>
  <r>
    <n v="24"/>
    <x v="1"/>
    <s v="Non-Travel"/>
    <n v="1092"/>
    <x v="1"/>
    <n v="9"/>
    <n v="3"/>
    <s v="Life Sciences"/>
    <x v="0"/>
    <n v="812"/>
    <n v="3"/>
    <s v="Male"/>
    <n v="60"/>
    <n v="2"/>
    <n v="1"/>
    <s v="Laboratory Technician"/>
    <n v="2"/>
    <s v="Divorced"/>
    <n v="2694"/>
    <n v="26551"/>
    <n v="1"/>
    <s v="Y"/>
    <x v="1"/>
    <n v="11"/>
    <n v="3"/>
    <n v="3"/>
    <n v="80"/>
    <n v="3"/>
    <n v="1"/>
    <n v="4"/>
    <n v="3"/>
    <n v="1"/>
    <n v="0"/>
    <n v="0"/>
    <n v="0"/>
    <s v="Low"/>
    <s v="Low"/>
    <s v="new"/>
  </r>
  <r>
    <n v="52"/>
    <x v="1"/>
    <s v="Travel_Rarely"/>
    <n v="1325"/>
    <x v="1"/>
    <n v="11"/>
    <n v="4"/>
    <s v="Life Sciences"/>
    <x v="0"/>
    <n v="813"/>
    <n v="4"/>
    <s v="Female"/>
    <n v="82"/>
    <n v="3"/>
    <n v="2"/>
    <s v="Laboratory Technician"/>
    <n v="3"/>
    <s v="Married"/>
    <n v="3149"/>
    <n v="21821"/>
    <n v="8"/>
    <s v="Y"/>
    <x v="1"/>
    <n v="20"/>
    <n v="4"/>
    <n v="2"/>
    <n v="80"/>
    <n v="1"/>
    <n v="9"/>
    <n v="3"/>
    <n v="3"/>
    <n v="5"/>
    <n v="2"/>
    <n v="1"/>
    <n v="4"/>
    <s v="Low"/>
    <s v="Low"/>
    <s v="Experienced"/>
  </r>
  <r>
    <n v="50"/>
    <x v="1"/>
    <s v="Travel_Rarely"/>
    <n v="691"/>
    <x v="1"/>
    <n v="2"/>
    <n v="3"/>
    <s v="Medical"/>
    <x v="0"/>
    <n v="815"/>
    <n v="3"/>
    <s v="Male"/>
    <n v="64"/>
    <n v="3"/>
    <n v="4"/>
    <s v="Research Director"/>
    <n v="3"/>
    <s v="Married"/>
    <n v="17639"/>
    <n v="6881"/>
    <n v="5"/>
    <s v="Y"/>
    <x v="1"/>
    <n v="16"/>
    <n v="3"/>
    <n v="4"/>
    <n v="80"/>
    <n v="0"/>
    <n v="30"/>
    <n v="3"/>
    <n v="3"/>
    <n v="4"/>
    <n v="3"/>
    <n v="0"/>
    <n v="3"/>
    <s v="High"/>
    <s v="High"/>
    <s v="Experienced"/>
  </r>
  <r>
    <n v="29"/>
    <x v="0"/>
    <s v="Travel_Rarely"/>
    <n v="805"/>
    <x v="1"/>
    <n v="1"/>
    <n v="2"/>
    <s v="Life Sciences"/>
    <x v="0"/>
    <n v="816"/>
    <n v="2"/>
    <s v="Female"/>
    <n v="36"/>
    <n v="2"/>
    <n v="1"/>
    <s v="Laboratory Technician"/>
    <n v="1"/>
    <s v="Married"/>
    <n v="2319"/>
    <n v="6689"/>
    <n v="1"/>
    <s v="Y"/>
    <x v="0"/>
    <n v="11"/>
    <n v="3"/>
    <n v="4"/>
    <n v="80"/>
    <n v="1"/>
    <n v="1"/>
    <n v="1"/>
    <n v="3"/>
    <n v="1"/>
    <n v="0"/>
    <n v="0"/>
    <n v="0"/>
    <s v="Low"/>
    <s v="Low"/>
    <s v="new"/>
  </r>
  <r>
    <n v="33"/>
    <x v="1"/>
    <s v="Travel_Rarely"/>
    <n v="213"/>
    <x v="1"/>
    <n v="7"/>
    <n v="3"/>
    <s v="Medical"/>
    <x v="0"/>
    <n v="817"/>
    <n v="3"/>
    <s v="Male"/>
    <n v="49"/>
    <n v="3"/>
    <n v="3"/>
    <s v="Research Director"/>
    <n v="3"/>
    <s v="Married"/>
    <n v="11691"/>
    <n v="25995"/>
    <n v="0"/>
    <s v="Y"/>
    <x v="1"/>
    <n v="11"/>
    <n v="3"/>
    <n v="4"/>
    <n v="80"/>
    <n v="0"/>
    <n v="14"/>
    <n v="3"/>
    <n v="4"/>
    <n v="13"/>
    <n v="9"/>
    <n v="3"/>
    <n v="7"/>
    <s v="High"/>
    <s v="High"/>
    <s v="High"/>
  </r>
  <r>
    <n v="33"/>
    <x v="0"/>
    <s v="Travel_Rarely"/>
    <n v="118"/>
    <x v="0"/>
    <n v="16"/>
    <n v="3"/>
    <s v="Marketing"/>
    <x v="0"/>
    <n v="819"/>
    <n v="1"/>
    <s v="Female"/>
    <n v="69"/>
    <n v="3"/>
    <n v="2"/>
    <s v="Sales Executive"/>
    <n v="1"/>
    <s v="Single"/>
    <n v="5324"/>
    <n v="26507"/>
    <n v="5"/>
    <s v="Y"/>
    <x v="1"/>
    <n v="15"/>
    <n v="3"/>
    <n v="3"/>
    <n v="80"/>
    <n v="0"/>
    <n v="6"/>
    <n v="3"/>
    <n v="3"/>
    <n v="3"/>
    <n v="2"/>
    <n v="0"/>
    <n v="2"/>
    <s v="Low"/>
    <s v="Medium"/>
    <s v="Experienced"/>
  </r>
  <r>
    <n v="47"/>
    <x v="1"/>
    <s v="Travel_Rarely"/>
    <n v="202"/>
    <x v="1"/>
    <n v="2"/>
    <n v="2"/>
    <s v="Other"/>
    <x v="0"/>
    <n v="820"/>
    <n v="3"/>
    <s v="Female"/>
    <n v="33"/>
    <n v="3"/>
    <n v="4"/>
    <s v="Manager"/>
    <n v="4"/>
    <s v="Married"/>
    <n v="16752"/>
    <n v="12982"/>
    <n v="1"/>
    <s v="Y"/>
    <x v="0"/>
    <n v="11"/>
    <n v="3"/>
    <n v="3"/>
    <n v="80"/>
    <n v="1"/>
    <n v="26"/>
    <n v="3"/>
    <n v="2"/>
    <n v="26"/>
    <n v="14"/>
    <n v="3"/>
    <n v="0"/>
    <s v="High"/>
    <s v="High"/>
    <s v="High"/>
  </r>
  <r>
    <n v="36"/>
    <x v="1"/>
    <s v="Travel_Rarely"/>
    <n v="676"/>
    <x v="1"/>
    <n v="1"/>
    <n v="3"/>
    <s v="Other"/>
    <x v="0"/>
    <n v="823"/>
    <n v="3"/>
    <s v="Female"/>
    <n v="35"/>
    <n v="3"/>
    <n v="2"/>
    <s v="Manufacturing Director"/>
    <n v="2"/>
    <s v="Married"/>
    <n v="5228"/>
    <n v="23361"/>
    <n v="0"/>
    <s v="Y"/>
    <x v="1"/>
    <n v="15"/>
    <n v="3"/>
    <n v="1"/>
    <n v="80"/>
    <n v="1"/>
    <n v="10"/>
    <n v="2"/>
    <n v="3"/>
    <n v="9"/>
    <n v="7"/>
    <n v="0"/>
    <n v="5"/>
    <s v="Low"/>
    <s v="Medium"/>
    <s v="High"/>
  </r>
  <r>
    <n v="29"/>
    <x v="1"/>
    <s v="Travel_Rarely"/>
    <n v="1252"/>
    <x v="1"/>
    <n v="23"/>
    <n v="2"/>
    <s v="Life Sciences"/>
    <x v="0"/>
    <n v="824"/>
    <n v="3"/>
    <s v="Male"/>
    <n v="81"/>
    <n v="4"/>
    <n v="1"/>
    <s v="Research Scientist"/>
    <n v="3"/>
    <s v="Married"/>
    <n v="2700"/>
    <n v="23779"/>
    <n v="1"/>
    <s v="Y"/>
    <x v="1"/>
    <n v="24"/>
    <n v="4"/>
    <n v="3"/>
    <n v="80"/>
    <n v="1"/>
    <n v="10"/>
    <n v="3"/>
    <n v="3"/>
    <n v="10"/>
    <n v="7"/>
    <n v="0"/>
    <n v="7"/>
    <s v="Low"/>
    <s v="Low"/>
    <s v="High"/>
  </r>
  <r>
    <n v="58"/>
    <x v="0"/>
    <s v="Travel_Rarely"/>
    <n v="286"/>
    <x v="1"/>
    <n v="2"/>
    <n v="4"/>
    <s v="Life Sciences"/>
    <x v="0"/>
    <n v="825"/>
    <n v="4"/>
    <s v="Male"/>
    <n v="31"/>
    <n v="3"/>
    <n v="5"/>
    <s v="Research Director"/>
    <n v="2"/>
    <s v="Single"/>
    <n v="19246"/>
    <n v="25761"/>
    <n v="7"/>
    <s v="Y"/>
    <x v="0"/>
    <n v="12"/>
    <n v="3"/>
    <n v="4"/>
    <n v="80"/>
    <n v="0"/>
    <n v="40"/>
    <n v="2"/>
    <n v="3"/>
    <n v="31"/>
    <n v="15"/>
    <n v="13"/>
    <n v="8"/>
    <s v="High"/>
    <s v="High"/>
    <s v="High"/>
  </r>
  <r>
    <n v="35"/>
    <x v="1"/>
    <s v="Travel_Rarely"/>
    <n v="1258"/>
    <x v="1"/>
    <n v="1"/>
    <n v="4"/>
    <s v="Life Sciences"/>
    <x v="0"/>
    <n v="826"/>
    <n v="4"/>
    <s v="Female"/>
    <n v="40"/>
    <n v="4"/>
    <n v="1"/>
    <s v="Research Scientist"/>
    <n v="3"/>
    <s v="Single"/>
    <n v="2506"/>
    <n v="13301"/>
    <n v="3"/>
    <s v="Y"/>
    <x v="1"/>
    <n v="13"/>
    <n v="3"/>
    <n v="3"/>
    <n v="80"/>
    <n v="0"/>
    <n v="7"/>
    <n v="0"/>
    <n v="3"/>
    <n v="2"/>
    <n v="2"/>
    <n v="2"/>
    <n v="2"/>
    <s v="Low"/>
    <s v="Low"/>
    <s v="new"/>
  </r>
  <r>
    <n v="42"/>
    <x v="1"/>
    <s v="Travel_Rarely"/>
    <n v="932"/>
    <x v="1"/>
    <n v="1"/>
    <n v="2"/>
    <s v="Life Sciences"/>
    <x v="0"/>
    <n v="827"/>
    <n v="4"/>
    <s v="Female"/>
    <n v="43"/>
    <n v="2"/>
    <n v="2"/>
    <s v="Manufacturing Director"/>
    <n v="4"/>
    <s v="Married"/>
    <n v="6062"/>
    <n v="4051"/>
    <n v="9"/>
    <s v="Y"/>
    <x v="0"/>
    <n v="13"/>
    <n v="3"/>
    <n v="4"/>
    <n v="80"/>
    <n v="1"/>
    <n v="8"/>
    <n v="4"/>
    <n v="3"/>
    <n v="4"/>
    <n v="3"/>
    <n v="0"/>
    <n v="2"/>
    <s v="Low"/>
    <s v="Medium"/>
    <s v="Experienced"/>
  </r>
  <r>
    <n v="28"/>
    <x v="0"/>
    <s v="Travel_Rarely"/>
    <n v="890"/>
    <x v="1"/>
    <n v="2"/>
    <n v="4"/>
    <s v="Medical"/>
    <x v="0"/>
    <n v="828"/>
    <n v="3"/>
    <s v="Male"/>
    <n v="46"/>
    <n v="3"/>
    <n v="1"/>
    <s v="Research Scientist"/>
    <n v="3"/>
    <s v="Single"/>
    <n v="4382"/>
    <n v="16374"/>
    <n v="6"/>
    <s v="Y"/>
    <x v="1"/>
    <n v="17"/>
    <n v="3"/>
    <n v="4"/>
    <n v="80"/>
    <n v="0"/>
    <n v="5"/>
    <n v="3"/>
    <n v="2"/>
    <n v="2"/>
    <n v="2"/>
    <n v="2"/>
    <n v="1"/>
    <s v="Low"/>
    <s v="Medium"/>
    <s v="new"/>
  </r>
  <r>
    <n v="36"/>
    <x v="1"/>
    <s v="Travel_Rarely"/>
    <n v="1041"/>
    <x v="2"/>
    <n v="13"/>
    <n v="3"/>
    <s v="Human Resources"/>
    <x v="0"/>
    <n v="829"/>
    <n v="3"/>
    <s v="Male"/>
    <n v="36"/>
    <n v="3"/>
    <n v="1"/>
    <s v="Human Resources"/>
    <n v="2"/>
    <s v="Married"/>
    <n v="2143"/>
    <n v="25527"/>
    <n v="4"/>
    <s v="Y"/>
    <x v="1"/>
    <n v="13"/>
    <n v="3"/>
    <n v="2"/>
    <n v="80"/>
    <n v="1"/>
    <n v="8"/>
    <n v="2"/>
    <n v="3"/>
    <n v="5"/>
    <n v="2"/>
    <n v="0"/>
    <n v="4"/>
    <s v="Low"/>
    <s v="Low"/>
    <s v="Experienced"/>
  </r>
  <r>
    <n v="32"/>
    <x v="1"/>
    <s v="Travel_Rarely"/>
    <n v="859"/>
    <x v="1"/>
    <n v="4"/>
    <n v="3"/>
    <s v="Life Sciences"/>
    <x v="0"/>
    <n v="830"/>
    <n v="3"/>
    <s v="Female"/>
    <n v="98"/>
    <n v="2"/>
    <n v="2"/>
    <s v="Manufacturing Director"/>
    <n v="3"/>
    <s v="Married"/>
    <n v="6162"/>
    <n v="19124"/>
    <n v="1"/>
    <s v="Y"/>
    <x v="1"/>
    <n v="12"/>
    <n v="3"/>
    <n v="3"/>
    <n v="80"/>
    <n v="1"/>
    <n v="14"/>
    <n v="3"/>
    <n v="3"/>
    <n v="14"/>
    <n v="13"/>
    <n v="6"/>
    <n v="8"/>
    <s v="Low"/>
    <s v="Medium"/>
    <s v="High"/>
  </r>
  <r>
    <n v="40"/>
    <x v="1"/>
    <s v="Travel_Frequently"/>
    <n v="720"/>
    <x v="1"/>
    <n v="16"/>
    <n v="4"/>
    <s v="Medical"/>
    <x v="0"/>
    <n v="832"/>
    <n v="1"/>
    <s v="Male"/>
    <n v="51"/>
    <n v="2"/>
    <n v="2"/>
    <s v="Laboratory Technician"/>
    <n v="3"/>
    <s v="Single"/>
    <n v="5094"/>
    <n v="11983"/>
    <n v="6"/>
    <s v="Y"/>
    <x v="1"/>
    <n v="14"/>
    <n v="3"/>
    <n v="4"/>
    <n v="80"/>
    <n v="0"/>
    <n v="10"/>
    <n v="6"/>
    <n v="3"/>
    <n v="1"/>
    <n v="0"/>
    <n v="0"/>
    <n v="0"/>
    <s v="Low"/>
    <s v="Medium"/>
    <s v="new"/>
  </r>
  <r>
    <n v="30"/>
    <x v="1"/>
    <s v="Travel_Rarely"/>
    <n v="946"/>
    <x v="1"/>
    <n v="2"/>
    <n v="3"/>
    <s v="Medical"/>
    <x v="0"/>
    <n v="833"/>
    <n v="3"/>
    <s v="Female"/>
    <n v="52"/>
    <n v="2"/>
    <n v="2"/>
    <s v="Manufacturing Director"/>
    <n v="4"/>
    <s v="Single"/>
    <n v="6877"/>
    <n v="20234"/>
    <n v="5"/>
    <s v="Y"/>
    <x v="0"/>
    <n v="24"/>
    <n v="4"/>
    <n v="2"/>
    <n v="80"/>
    <n v="0"/>
    <n v="12"/>
    <n v="4"/>
    <n v="2"/>
    <n v="0"/>
    <n v="0"/>
    <n v="0"/>
    <n v="0"/>
    <s v="High"/>
    <s v="Medium"/>
    <s v="new"/>
  </r>
  <r>
    <n v="45"/>
    <x v="1"/>
    <s v="Travel_Rarely"/>
    <n v="252"/>
    <x v="1"/>
    <n v="2"/>
    <n v="3"/>
    <s v="Life Sciences"/>
    <x v="0"/>
    <n v="834"/>
    <n v="2"/>
    <s v="Female"/>
    <n v="95"/>
    <n v="2"/>
    <n v="1"/>
    <s v="Research Scientist"/>
    <n v="3"/>
    <s v="Single"/>
    <n v="2274"/>
    <n v="6153"/>
    <n v="1"/>
    <s v="Y"/>
    <x v="1"/>
    <n v="14"/>
    <n v="3"/>
    <n v="4"/>
    <n v="80"/>
    <n v="0"/>
    <n v="1"/>
    <n v="3"/>
    <n v="3"/>
    <n v="1"/>
    <n v="0"/>
    <n v="0"/>
    <n v="0"/>
    <s v="Low"/>
    <s v="Low"/>
    <s v="new"/>
  </r>
  <r>
    <n v="42"/>
    <x v="1"/>
    <s v="Travel_Rarely"/>
    <n v="933"/>
    <x v="1"/>
    <n v="29"/>
    <n v="3"/>
    <s v="Life Sciences"/>
    <x v="0"/>
    <n v="836"/>
    <n v="2"/>
    <s v="Male"/>
    <n v="98"/>
    <n v="3"/>
    <n v="2"/>
    <s v="Manufacturing Director"/>
    <n v="2"/>
    <s v="Married"/>
    <n v="4434"/>
    <n v="11806"/>
    <n v="1"/>
    <s v="Y"/>
    <x v="1"/>
    <n v="13"/>
    <n v="3"/>
    <n v="4"/>
    <n v="80"/>
    <n v="1"/>
    <n v="10"/>
    <n v="3"/>
    <n v="2"/>
    <n v="9"/>
    <n v="8"/>
    <n v="7"/>
    <n v="8"/>
    <s v="Low"/>
    <s v="Medium"/>
    <s v="High"/>
  </r>
  <r>
    <n v="38"/>
    <x v="1"/>
    <s v="Travel_Frequently"/>
    <n v="471"/>
    <x v="1"/>
    <n v="12"/>
    <n v="3"/>
    <s v="Life Sciences"/>
    <x v="0"/>
    <n v="837"/>
    <n v="1"/>
    <s v="Male"/>
    <n v="45"/>
    <n v="2"/>
    <n v="2"/>
    <s v="Healthcare Representative"/>
    <n v="1"/>
    <s v="Divorced"/>
    <n v="6288"/>
    <n v="4284"/>
    <n v="2"/>
    <s v="Y"/>
    <x v="1"/>
    <n v="15"/>
    <n v="3"/>
    <n v="3"/>
    <n v="80"/>
    <n v="1"/>
    <n v="13"/>
    <n v="3"/>
    <n v="2"/>
    <n v="4"/>
    <n v="3"/>
    <n v="1"/>
    <n v="2"/>
    <s v="Low"/>
    <s v="Medium"/>
    <s v="Experienced"/>
  </r>
  <r>
    <n v="34"/>
    <x v="1"/>
    <s v="Travel_Frequently"/>
    <n v="702"/>
    <x v="1"/>
    <n v="16"/>
    <n v="4"/>
    <s v="Life Sciences"/>
    <x v="0"/>
    <n v="838"/>
    <n v="3"/>
    <s v="Female"/>
    <n v="100"/>
    <n v="2"/>
    <n v="1"/>
    <s v="Research Scientist"/>
    <n v="4"/>
    <s v="Single"/>
    <n v="2553"/>
    <n v="8306"/>
    <n v="1"/>
    <s v="Y"/>
    <x v="1"/>
    <n v="16"/>
    <n v="3"/>
    <n v="3"/>
    <n v="80"/>
    <n v="0"/>
    <n v="6"/>
    <n v="3"/>
    <n v="3"/>
    <n v="5"/>
    <n v="2"/>
    <n v="1"/>
    <n v="3"/>
    <s v="Low"/>
    <s v="Low"/>
    <s v="Experienced"/>
  </r>
  <r>
    <n v="49"/>
    <x v="0"/>
    <s v="Travel_Rarely"/>
    <n v="1184"/>
    <x v="0"/>
    <n v="11"/>
    <n v="3"/>
    <s v="Marketing"/>
    <x v="0"/>
    <n v="840"/>
    <n v="3"/>
    <s v="Female"/>
    <n v="43"/>
    <n v="3"/>
    <n v="3"/>
    <s v="Sales Executive"/>
    <n v="4"/>
    <s v="Married"/>
    <n v="7654"/>
    <n v="5860"/>
    <n v="1"/>
    <s v="Y"/>
    <x v="1"/>
    <n v="18"/>
    <n v="3"/>
    <n v="1"/>
    <n v="80"/>
    <n v="2"/>
    <n v="9"/>
    <n v="3"/>
    <n v="4"/>
    <n v="9"/>
    <n v="8"/>
    <n v="7"/>
    <n v="7"/>
    <s v="High"/>
    <s v="Medium"/>
    <s v="High"/>
  </r>
  <r>
    <n v="55"/>
    <x v="0"/>
    <s v="Travel_Rarely"/>
    <n v="436"/>
    <x v="0"/>
    <n v="2"/>
    <n v="1"/>
    <s v="Medical"/>
    <x v="0"/>
    <n v="842"/>
    <n v="3"/>
    <s v="Male"/>
    <n v="37"/>
    <n v="3"/>
    <n v="2"/>
    <s v="Sales Executive"/>
    <n v="4"/>
    <s v="Single"/>
    <n v="5160"/>
    <n v="21519"/>
    <n v="4"/>
    <s v="Y"/>
    <x v="1"/>
    <n v="16"/>
    <n v="3"/>
    <n v="3"/>
    <n v="80"/>
    <n v="0"/>
    <n v="12"/>
    <n v="3"/>
    <n v="2"/>
    <n v="9"/>
    <n v="7"/>
    <n v="7"/>
    <n v="3"/>
    <s v="Low"/>
    <s v="Medium"/>
    <s v="High"/>
  </r>
  <r>
    <n v="43"/>
    <x v="1"/>
    <s v="Travel_Rarely"/>
    <n v="589"/>
    <x v="1"/>
    <n v="14"/>
    <n v="2"/>
    <s v="Life Sciences"/>
    <x v="0"/>
    <n v="843"/>
    <n v="2"/>
    <s v="Male"/>
    <n v="94"/>
    <n v="3"/>
    <n v="4"/>
    <s v="Research Director"/>
    <n v="1"/>
    <s v="Married"/>
    <n v="17159"/>
    <n v="5200"/>
    <n v="6"/>
    <s v="Y"/>
    <x v="1"/>
    <n v="24"/>
    <n v="4"/>
    <n v="3"/>
    <n v="80"/>
    <n v="1"/>
    <n v="22"/>
    <n v="3"/>
    <n v="3"/>
    <n v="4"/>
    <n v="1"/>
    <n v="1"/>
    <n v="0"/>
    <s v="High"/>
    <s v="High"/>
    <s v="Experienced"/>
  </r>
  <r>
    <n v="27"/>
    <x v="1"/>
    <s v="Travel_Rarely"/>
    <n v="269"/>
    <x v="1"/>
    <n v="5"/>
    <n v="1"/>
    <s v="Technical Degree"/>
    <x v="0"/>
    <n v="844"/>
    <n v="3"/>
    <s v="Male"/>
    <n v="42"/>
    <n v="2"/>
    <n v="3"/>
    <s v="Research Director"/>
    <n v="4"/>
    <s v="Divorced"/>
    <n v="12808"/>
    <n v="8842"/>
    <n v="1"/>
    <s v="Y"/>
    <x v="0"/>
    <n v="16"/>
    <n v="3"/>
    <n v="2"/>
    <n v="80"/>
    <n v="1"/>
    <n v="9"/>
    <n v="3"/>
    <n v="3"/>
    <n v="9"/>
    <n v="8"/>
    <n v="0"/>
    <n v="8"/>
    <s v="High"/>
    <s v="High"/>
    <s v="High"/>
  </r>
  <r>
    <n v="35"/>
    <x v="1"/>
    <s v="Travel_Rarely"/>
    <n v="950"/>
    <x v="1"/>
    <n v="7"/>
    <n v="3"/>
    <s v="Other"/>
    <x v="0"/>
    <n v="845"/>
    <n v="3"/>
    <s v="Male"/>
    <n v="59"/>
    <n v="3"/>
    <n v="3"/>
    <s v="Manufacturing Director"/>
    <n v="3"/>
    <s v="Single"/>
    <n v="10221"/>
    <n v="18869"/>
    <n v="3"/>
    <s v="Y"/>
    <x v="1"/>
    <n v="21"/>
    <n v="4"/>
    <n v="2"/>
    <n v="80"/>
    <n v="0"/>
    <n v="17"/>
    <n v="3"/>
    <n v="4"/>
    <n v="8"/>
    <n v="5"/>
    <n v="1"/>
    <n v="6"/>
    <s v="High"/>
    <s v="High"/>
    <s v="High"/>
  </r>
  <r>
    <n v="28"/>
    <x v="1"/>
    <s v="Travel_Rarely"/>
    <n v="760"/>
    <x v="0"/>
    <n v="2"/>
    <n v="4"/>
    <s v="Marketing"/>
    <x v="0"/>
    <n v="846"/>
    <n v="2"/>
    <s v="Female"/>
    <n v="81"/>
    <n v="3"/>
    <n v="2"/>
    <s v="Sales Executive"/>
    <n v="2"/>
    <s v="Married"/>
    <n v="4779"/>
    <n v="3698"/>
    <n v="1"/>
    <s v="Y"/>
    <x v="0"/>
    <n v="20"/>
    <n v="4"/>
    <n v="1"/>
    <n v="80"/>
    <n v="0"/>
    <n v="8"/>
    <n v="2"/>
    <n v="3"/>
    <n v="8"/>
    <n v="7"/>
    <n v="7"/>
    <n v="5"/>
    <s v="Low"/>
    <s v="Medium"/>
    <s v="High"/>
  </r>
  <r>
    <n v="34"/>
    <x v="1"/>
    <s v="Travel_Rarely"/>
    <n v="829"/>
    <x v="2"/>
    <n v="3"/>
    <n v="2"/>
    <s v="Human Resources"/>
    <x v="0"/>
    <n v="847"/>
    <n v="3"/>
    <s v="Male"/>
    <n v="88"/>
    <n v="3"/>
    <n v="1"/>
    <s v="Human Resources"/>
    <n v="4"/>
    <s v="Married"/>
    <n v="3737"/>
    <n v="2243"/>
    <n v="0"/>
    <s v="Y"/>
    <x v="1"/>
    <n v="19"/>
    <n v="3"/>
    <n v="3"/>
    <n v="80"/>
    <n v="1"/>
    <n v="4"/>
    <n v="1"/>
    <n v="1"/>
    <n v="3"/>
    <n v="2"/>
    <n v="0"/>
    <n v="2"/>
    <s v="Low"/>
    <s v="Low"/>
    <s v="Experienced"/>
  </r>
  <r>
    <n v="26"/>
    <x v="0"/>
    <s v="Travel_Frequently"/>
    <n v="887"/>
    <x v="1"/>
    <n v="5"/>
    <n v="2"/>
    <s v="Medical"/>
    <x v="0"/>
    <n v="848"/>
    <n v="3"/>
    <s v="Female"/>
    <n v="88"/>
    <n v="2"/>
    <n v="1"/>
    <s v="Research Scientist"/>
    <n v="3"/>
    <s v="Married"/>
    <n v="2366"/>
    <n v="20898"/>
    <n v="1"/>
    <s v="Y"/>
    <x v="0"/>
    <n v="14"/>
    <n v="3"/>
    <n v="1"/>
    <n v="80"/>
    <n v="1"/>
    <n v="8"/>
    <n v="2"/>
    <n v="3"/>
    <n v="8"/>
    <n v="7"/>
    <n v="1"/>
    <n v="7"/>
    <s v="Low"/>
    <s v="Low"/>
    <s v="High"/>
  </r>
  <r>
    <n v="27"/>
    <x v="1"/>
    <s v="Non-Travel"/>
    <n v="443"/>
    <x v="1"/>
    <n v="3"/>
    <n v="3"/>
    <s v="Medical"/>
    <x v="0"/>
    <n v="850"/>
    <n v="4"/>
    <s v="Male"/>
    <n v="50"/>
    <n v="3"/>
    <n v="1"/>
    <s v="Research Scientist"/>
    <n v="4"/>
    <s v="Married"/>
    <n v="1706"/>
    <n v="16571"/>
    <n v="1"/>
    <s v="Y"/>
    <x v="1"/>
    <n v="11"/>
    <n v="3"/>
    <n v="3"/>
    <n v="80"/>
    <n v="3"/>
    <n v="0"/>
    <n v="6"/>
    <n v="2"/>
    <n v="0"/>
    <n v="0"/>
    <n v="0"/>
    <n v="0"/>
    <s v="Low"/>
    <s v="Low"/>
    <s v="new"/>
  </r>
  <r>
    <n v="51"/>
    <x v="1"/>
    <s v="Travel_Rarely"/>
    <n v="1318"/>
    <x v="0"/>
    <n v="26"/>
    <n v="4"/>
    <s v="Marketing"/>
    <x v="0"/>
    <n v="851"/>
    <n v="1"/>
    <s v="Female"/>
    <n v="66"/>
    <n v="3"/>
    <n v="4"/>
    <s v="Manager"/>
    <n v="3"/>
    <s v="Married"/>
    <n v="16307"/>
    <n v="5594"/>
    <n v="2"/>
    <s v="Y"/>
    <x v="1"/>
    <n v="14"/>
    <n v="3"/>
    <n v="3"/>
    <n v="80"/>
    <n v="1"/>
    <n v="29"/>
    <n v="2"/>
    <n v="2"/>
    <n v="20"/>
    <n v="6"/>
    <n v="4"/>
    <n v="17"/>
    <s v="High"/>
    <s v="High"/>
    <s v="High"/>
  </r>
  <r>
    <n v="44"/>
    <x v="1"/>
    <s v="Travel_Rarely"/>
    <n v="625"/>
    <x v="1"/>
    <n v="4"/>
    <n v="3"/>
    <s v="Medical"/>
    <x v="0"/>
    <n v="852"/>
    <n v="4"/>
    <s v="Male"/>
    <n v="50"/>
    <n v="3"/>
    <n v="2"/>
    <s v="Healthcare Representative"/>
    <n v="2"/>
    <s v="Single"/>
    <n v="5933"/>
    <n v="5197"/>
    <n v="9"/>
    <s v="Y"/>
    <x v="1"/>
    <n v="12"/>
    <n v="3"/>
    <n v="4"/>
    <n v="80"/>
    <n v="0"/>
    <n v="10"/>
    <n v="2"/>
    <n v="2"/>
    <n v="5"/>
    <n v="2"/>
    <n v="2"/>
    <n v="3"/>
    <s v="Low"/>
    <s v="Medium"/>
    <s v="Experienced"/>
  </r>
  <r>
    <n v="25"/>
    <x v="1"/>
    <s v="Travel_Rarely"/>
    <n v="180"/>
    <x v="1"/>
    <n v="2"/>
    <n v="1"/>
    <s v="Medical"/>
    <x v="0"/>
    <n v="854"/>
    <n v="1"/>
    <s v="Male"/>
    <n v="65"/>
    <n v="4"/>
    <n v="1"/>
    <s v="Research Scientist"/>
    <n v="1"/>
    <s v="Single"/>
    <n v="3424"/>
    <n v="21632"/>
    <n v="7"/>
    <s v="Y"/>
    <x v="1"/>
    <n v="13"/>
    <n v="3"/>
    <n v="3"/>
    <n v="80"/>
    <n v="0"/>
    <n v="6"/>
    <n v="3"/>
    <n v="2"/>
    <n v="4"/>
    <n v="3"/>
    <n v="0"/>
    <n v="1"/>
    <s v="Low"/>
    <s v="Low"/>
    <s v="Experienced"/>
  </r>
  <r>
    <n v="33"/>
    <x v="1"/>
    <s v="Travel_Rarely"/>
    <n v="586"/>
    <x v="0"/>
    <n v="1"/>
    <n v="3"/>
    <s v="Medical"/>
    <x v="0"/>
    <n v="855"/>
    <n v="1"/>
    <s v="Male"/>
    <n v="48"/>
    <n v="4"/>
    <n v="2"/>
    <s v="Sales Executive"/>
    <n v="1"/>
    <s v="Divorced"/>
    <n v="4037"/>
    <n v="21816"/>
    <n v="1"/>
    <s v="Y"/>
    <x v="1"/>
    <n v="22"/>
    <n v="4"/>
    <n v="1"/>
    <n v="80"/>
    <n v="1"/>
    <n v="9"/>
    <n v="5"/>
    <n v="3"/>
    <n v="9"/>
    <n v="8"/>
    <n v="0"/>
    <n v="8"/>
    <s v="Low"/>
    <s v="Medium"/>
    <s v="High"/>
  </r>
  <r>
    <n v="35"/>
    <x v="1"/>
    <s v="Travel_Rarely"/>
    <n v="1343"/>
    <x v="1"/>
    <n v="27"/>
    <n v="1"/>
    <s v="Medical"/>
    <x v="0"/>
    <n v="856"/>
    <n v="3"/>
    <s v="Female"/>
    <n v="53"/>
    <n v="2"/>
    <n v="1"/>
    <s v="Research Scientist"/>
    <n v="1"/>
    <s v="Single"/>
    <n v="2559"/>
    <n v="17852"/>
    <n v="1"/>
    <s v="Y"/>
    <x v="1"/>
    <n v="11"/>
    <n v="3"/>
    <n v="4"/>
    <n v="80"/>
    <n v="0"/>
    <n v="6"/>
    <n v="3"/>
    <n v="2"/>
    <n v="6"/>
    <n v="5"/>
    <n v="1"/>
    <n v="1"/>
    <s v="Low"/>
    <s v="Low"/>
    <s v="Experienced"/>
  </r>
  <r>
    <n v="36"/>
    <x v="1"/>
    <s v="Travel_Rarely"/>
    <n v="928"/>
    <x v="0"/>
    <n v="1"/>
    <n v="2"/>
    <s v="Life Sciences"/>
    <x v="0"/>
    <n v="857"/>
    <n v="2"/>
    <s v="Male"/>
    <n v="56"/>
    <n v="3"/>
    <n v="2"/>
    <s v="Sales Executive"/>
    <n v="4"/>
    <s v="Married"/>
    <n v="6201"/>
    <n v="2823"/>
    <n v="1"/>
    <s v="Y"/>
    <x v="0"/>
    <n v="14"/>
    <n v="3"/>
    <n v="4"/>
    <n v="80"/>
    <n v="1"/>
    <n v="18"/>
    <n v="1"/>
    <n v="2"/>
    <n v="18"/>
    <n v="14"/>
    <n v="4"/>
    <n v="11"/>
    <s v="Low"/>
    <s v="Medium"/>
    <s v="High"/>
  </r>
  <r>
    <n v="32"/>
    <x v="1"/>
    <s v="Travel_Rarely"/>
    <n v="117"/>
    <x v="0"/>
    <n v="13"/>
    <n v="4"/>
    <s v="Life Sciences"/>
    <x v="0"/>
    <n v="859"/>
    <n v="2"/>
    <s v="Male"/>
    <n v="73"/>
    <n v="3"/>
    <n v="2"/>
    <s v="Sales Executive"/>
    <n v="4"/>
    <s v="Divorced"/>
    <n v="4403"/>
    <n v="9250"/>
    <n v="2"/>
    <s v="Y"/>
    <x v="1"/>
    <n v="11"/>
    <n v="3"/>
    <n v="3"/>
    <n v="80"/>
    <n v="1"/>
    <n v="8"/>
    <n v="3"/>
    <n v="2"/>
    <n v="5"/>
    <n v="2"/>
    <n v="0"/>
    <n v="3"/>
    <s v="Low"/>
    <s v="Medium"/>
    <s v="Experienced"/>
  </r>
  <r>
    <n v="30"/>
    <x v="1"/>
    <s v="Travel_Frequently"/>
    <n v="1012"/>
    <x v="1"/>
    <n v="5"/>
    <n v="4"/>
    <s v="Life Sciences"/>
    <x v="0"/>
    <n v="861"/>
    <n v="2"/>
    <s v="Male"/>
    <n v="75"/>
    <n v="2"/>
    <n v="1"/>
    <s v="Research Scientist"/>
    <n v="4"/>
    <s v="Divorced"/>
    <n v="3761"/>
    <n v="2373"/>
    <n v="9"/>
    <s v="Y"/>
    <x v="1"/>
    <n v="12"/>
    <n v="3"/>
    <n v="2"/>
    <n v="80"/>
    <n v="1"/>
    <n v="10"/>
    <n v="3"/>
    <n v="2"/>
    <n v="5"/>
    <n v="4"/>
    <n v="0"/>
    <n v="3"/>
    <s v="Low"/>
    <s v="Low"/>
    <s v="Experienced"/>
  </r>
  <r>
    <n v="53"/>
    <x v="1"/>
    <s v="Travel_Rarely"/>
    <n v="661"/>
    <x v="0"/>
    <n v="7"/>
    <n v="2"/>
    <s v="Marketing"/>
    <x v="0"/>
    <n v="862"/>
    <n v="1"/>
    <s v="Female"/>
    <n v="78"/>
    <n v="2"/>
    <n v="3"/>
    <s v="Sales Executive"/>
    <n v="4"/>
    <s v="Married"/>
    <n v="10934"/>
    <n v="20715"/>
    <n v="7"/>
    <s v="Y"/>
    <x v="0"/>
    <n v="18"/>
    <n v="3"/>
    <n v="4"/>
    <n v="80"/>
    <n v="1"/>
    <n v="35"/>
    <n v="3"/>
    <n v="3"/>
    <n v="5"/>
    <n v="2"/>
    <n v="0"/>
    <n v="4"/>
    <s v="High"/>
    <s v="High"/>
    <s v="Experienced"/>
  </r>
  <r>
    <n v="45"/>
    <x v="1"/>
    <s v="Travel_Rarely"/>
    <n v="930"/>
    <x v="0"/>
    <n v="9"/>
    <n v="3"/>
    <s v="Marketing"/>
    <x v="0"/>
    <n v="864"/>
    <n v="4"/>
    <s v="Male"/>
    <n v="74"/>
    <n v="3"/>
    <n v="3"/>
    <s v="Sales Executive"/>
    <n v="1"/>
    <s v="Divorced"/>
    <n v="10761"/>
    <n v="19239"/>
    <n v="4"/>
    <s v="Y"/>
    <x v="0"/>
    <n v="12"/>
    <n v="3"/>
    <n v="3"/>
    <n v="80"/>
    <n v="1"/>
    <n v="18"/>
    <n v="2"/>
    <n v="3"/>
    <n v="5"/>
    <n v="4"/>
    <n v="0"/>
    <n v="2"/>
    <s v="High"/>
    <s v="High"/>
    <s v="Experienced"/>
  </r>
  <r>
    <n v="32"/>
    <x v="1"/>
    <s v="Travel_Rarely"/>
    <n v="638"/>
    <x v="1"/>
    <n v="8"/>
    <n v="2"/>
    <s v="Medical"/>
    <x v="0"/>
    <n v="865"/>
    <n v="3"/>
    <s v="Female"/>
    <n v="91"/>
    <n v="4"/>
    <n v="2"/>
    <s v="Research Scientist"/>
    <n v="3"/>
    <s v="Married"/>
    <n v="5175"/>
    <n v="22162"/>
    <n v="5"/>
    <s v="Y"/>
    <x v="1"/>
    <n v="12"/>
    <n v="3"/>
    <n v="3"/>
    <n v="80"/>
    <n v="1"/>
    <n v="9"/>
    <n v="3"/>
    <n v="2"/>
    <n v="5"/>
    <n v="3"/>
    <n v="1"/>
    <n v="3"/>
    <s v="Low"/>
    <s v="Medium"/>
    <s v="Experienced"/>
  </r>
  <r>
    <n v="52"/>
    <x v="1"/>
    <s v="Travel_Frequently"/>
    <n v="890"/>
    <x v="1"/>
    <n v="25"/>
    <n v="4"/>
    <s v="Medical"/>
    <x v="0"/>
    <n v="867"/>
    <n v="3"/>
    <s v="Female"/>
    <n v="81"/>
    <n v="2"/>
    <n v="4"/>
    <s v="Manufacturing Director"/>
    <n v="4"/>
    <s v="Married"/>
    <n v="13826"/>
    <n v="19028"/>
    <n v="3"/>
    <s v="Y"/>
    <x v="1"/>
    <n v="22"/>
    <n v="4"/>
    <n v="3"/>
    <n v="80"/>
    <n v="0"/>
    <n v="31"/>
    <n v="3"/>
    <n v="3"/>
    <n v="9"/>
    <n v="8"/>
    <n v="0"/>
    <n v="0"/>
    <s v="High"/>
    <s v="High"/>
    <s v="High"/>
  </r>
  <r>
    <n v="37"/>
    <x v="1"/>
    <s v="Travel_Rarely"/>
    <n v="342"/>
    <x v="0"/>
    <n v="16"/>
    <n v="4"/>
    <s v="Marketing"/>
    <x v="0"/>
    <n v="868"/>
    <n v="4"/>
    <s v="Male"/>
    <n v="66"/>
    <n v="2"/>
    <n v="2"/>
    <s v="Sales Executive"/>
    <n v="3"/>
    <s v="Divorced"/>
    <n v="6334"/>
    <n v="24558"/>
    <n v="4"/>
    <s v="Y"/>
    <x v="1"/>
    <n v="19"/>
    <n v="3"/>
    <n v="4"/>
    <n v="80"/>
    <n v="2"/>
    <n v="9"/>
    <n v="2"/>
    <n v="3"/>
    <n v="1"/>
    <n v="0"/>
    <n v="0"/>
    <n v="0"/>
    <s v="Low"/>
    <s v="Medium"/>
    <s v="new"/>
  </r>
  <r>
    <n v="28"/>
    <x v="1"/>
    <s v="Travel_Rarely"/>
    <n v="1169"/>
    <x v="2"/>
    <n v="8"/>
    <n v="2"/>
    <s v="Medical"/>
    <x v="0"/>
    <n v="869"/>
    <n v="2"/>
    <s v="Male"/>
    <n v="63"/>
    <n v="2"/>
    <n v="1"/>
    <s v="Human Resources"/>
    <n v="4"/>
    <s v="Divorced"/>
    <n v="4936"/>
    <n v="23965"/>
    <n v="1"/>
    <s v="Y"/>
    <x v="1"/>
    <n v="13"/>
    <n v="3"/>
    <n v="4"/>
    <n v="80"/>
    <n v="1"/>
    <n v="6"/>
    <n v="6"/>
    <n v="3"/>
    <n v="5"/>
    <n v="1"/>
    <n v="0"/>
    <n v="4"/>
    <s v="Low"/>
    <s v="Medium"/>
    <s v="Experienced"/>
  </r>
  <r>
    <n v="22"/>
    <x v="1"/>
    <s v="Travel_Rarely"/>
    <n v="1230"/>
    <x v="1"/>
    <n v="1"/>
    <n v="2"/>
    <s v="Life Sciences"/>
    <x v="0"/>
    <n v="872"/>
    <n v="4"/>
    <s v="Male"/>
    <n v="33"/>
    <n v="2"/>
    <n v="2"/>
    <s v="Manufacturing Director"/>
    <n v="4"/>
    <s v="Married"/>
    <n v="4775"/>
    <n v="19146"/>
    <n v="6"/>
    <s v="Y"/>
    <x v="1"/>
    <n v="22"/>
    <n v="4"/>
    <n v="1"/>
    <n v="80"/>
    <n v="2"/>
    <n v="4"/>
    <n v="2"/>
    <n v="1"/>
    <n v="2"/>
    <n v="2"/>
    <n v="2"/>
    <n v="2"/>
    <s v="Low"/>
    <s v="Medium"/>
    <s v="new"/>
  </r>
  <r>
    <n v="44"/>
    <x v="1"/>
    <s v="Travel_Rarely"/>
    <n v="986"/>
    <x v="1"/>
    <n v="8"/>
    <n v="4"/>
    <s v="Life Sciences"/>
    <x v="0"/>
    <n v="874"/>
    <n v="1"/>
    <s v="Male"/>
    <n v="62"/>
    <n v="4"/>
    <n v="1"/>
    <s v="Laboratory Technician"/>
    <n v="4"/>
    <s v="Married"/>
    <n v="2818"/>
    <n v="5044"/>
    <n v="2"/>
    <s v="Y"/>
    <x v="0"/>
    <n v="24"/>
    <n v="4"/>
    <n v="3"/>
    <n v="80"/>
    <n v="1"/>
    <n v="10"/>
    <n v="2"/>
    <n v="2"/>
    <n v="3"/>
    <n v="2"/>
    <n v="0"/>
    <n v="2"/>
    <s v="Low"/>
    <s v="Low"/>
    <s v="Experienced"/>
  </r>
  <r>
    <n v="42"/>
    <x v="1"/>
    <s v="Travel_Frequently"/>
    <n v="1271"/>
    <x v="1"/>
    <n v="2"/>
    <n v="1"/>
    <s v="Medical"/>
    <x v="0"/>
    <n v="875"/>
    <n v="2"/>
    <s v="Male"/>
    <n v="35"/>
    <n v="3"/>
    <n v="1"/>
    <s v="Research Scientist"/>
    <n v="4"/>
    <s v="Single"/>
    <n v="2515"/>
    <n v="9068"/>
    <n v="5"/>
    <s v="Y"/>
    <x v="0"/>
    <n v="14"/>
    <n v="3"/>
    <n v="4"/>
    <n v="80"/>
    <n v="0"/>
    <n v="8"/>
    <n v="2"/>
    <n v="3"/>
    <n v="2"/>
    <n v="1"/>
    <n v="2"/>
    <n v="2"/>
    <s v="Low"/>
    <s v="Low"/>
    <s v="new"/>
  </r>
  <r>
    <n v="36"/>
    <x v="1"/>
    <s v="Travel_Rarely"/>
    <n v="1278"/>
    <x v="2"/>
    <n v="8"/>
    <n v="3"/>
    <s v="Life Sciences"/>
    <x v="0"/>
    <n v="878"/>
    <n v="1"/>
    <s v="Male"/>
    <n v="77"/>
    <n v="2"/>
    <n v="1"/>
    <s v="Human Resources"/>
    <n v="1"/>
    <s v="Married"/>
    <n v="2342"/>
    <n v="8635"/>
    <n v="0"/>
    <s v="Y"/>
    <x v="1"/>
    <n v="21"/>
    <n v="4"/>
    <n v="3"/>
    <n v="80"/>
    <n v="0"/>
    <n v="6"/>
    <n v="3"/>
    <n v="3"/>
    <n v="5"/>
    <n v="4"/>
    <n v="0"/>
    <n v="3"/>
    <s v="Low"/>
    <s v="Low"/>
    <s v="Experienced"/>
  </r>
  <r>
    <n v="25"/>
    <x v="1"/>
    <s v="Travel_Rarely"/>
    <n v="141"/>
    <x v="0"/>
    <n v="3"/>
    <n v="1"/>
    <s v="Other"/>
    <x v="0"/>
    <n v="879"/>
    <n v="3"/>
    <s v="Male"/>
    <n v="98"/>
    <n v="3"/>
    <n v="2"/>
    <s v="Sales Executive"/>
    <n v="1"/>
    <s v="Married"/>
    <n v="4194"/>
    <n v="14363"/>
    <n v="1"/>
    <s v="Y"/>
    <x v="0"/>
    <n v="18"/>
    <n v="3"/>
    <n v="4"/>
    <n v="80"/>
    <n v="0"/>
    <n v="5"/>
    <n v="3"/>
    <n v="3"/>
    <n v="5"/>
    <n v="3"/>
    <n v="0"/>
    <n v="3"/>
    <s v="Low"/>
    <s v="Medium"/>
    <s v="Experienced"/>
  </r>
  <r>
    <n v="35"/>
    <x v="1"/>
    <s v="Travel_Rarely"/>
    <n v="607"/>
    <x v="1"/>
    <n v="9"/>
    <n v="3"/>
    <s v="Life Sciences"/>
    <x v="0"/>
    <n v="880"/>
    <n v="4"/>
    <s v="Female"/>
    <n v="66"/>
    <n v="2"/>
    <n v="3"/>
    <s v="Manufacturing Director"/>
    <n v="3"/>
    <s v="Married"/>
    <n v="10685"/>
    <n v="23457"/>
    <n v="1"/>
    <s v="Y"/>
    <x v="0"/>
    <n v="20"/>
    <n v="4"/>
    <n v="2"/>
    <n v="80"/>
    <n v="1"/>
    <n v="17"/>
    <n v="2"/>
    <n v="3"/>
    <n v="17"/>
    <n v="14"/>
    <n v="5"/>
    <n v="15"/>
    <s v="High"/>
    <s v="High"/>
    <s v="High"/>
  </r>
  <r>
    <n v="35"/>
    <x v="0"/>
    <s v="Travel_Frequently"/>
    <n v="130"/>
    <x v="1"/>
    <n v="25"/>
    <n v="4"/>
    <s v="Life Sciences"/>
    <x v="0"/>
    <n v="881"/>
    <n v="4"/>
    <s v="Female"/>
    <n v="96"/>
    <n v="3"/>
    <n v="1"/>
    <s v="Research Scientist"/>
    <n v="2"/>
    <s v="Divorced"/>
    <n v="2022"/>
    <n v="16612"/>
    <n v="1"/>
    <s v="Y"/>
    <x v="0"/>
    <n v="19"/>
    <n v="3"/>
    <n v="1"/>
    <n v="80"/>
    <n v="1"/>
    <n v="10"/>
    <n v="3"/>
    <n v="2"/>
    <n v="10"/>
    <n v="2"/>
    <n v="7"/>
    <n v="8"/>
    <s v="Low"/>
    <s v="Low"/>
    <s v="High"/>
  </r>
  <r>
    <n v="32"/>
    <x v="1"/>
    <s v="Non-Travel"/>
    <n v="300"/>
    <x v="1"/>
    <n v="1"/>
    <n v="3"/>
    <s v="Life Sciences"/>
    <x v="0"/>
    <n v="882"/>
    <n v="4"/>
    <s v="Male"/>
    <n v="61"/>
    <n v="3"/>
    <n v="1"/>
    <s v="Laboratory Technician"/>
    <n v="4"/>
    <s v="Divorced"/>
    <n v="2314"/>
    <n v="9148"/>
    <n v="0"/>
    <s v="Y"/>
    <x v="1"/>
    <n v="12"/>
    <n v="3"/>
    <n v="2"/>
    <n v="80"/>
    <n v="1"/>
    <n v="4"/>
    <n v="2"/>
    <n v="3"/>
    <n v="3"/>
    <n v="0"/>
    <n v="0"/>
    <n v="2"/>
    <s v="Low"/>
    <s v="Low"/>
    <s v="Experienced"/>
  </r>
  <r>
    <n v="25"/>
    <x v="1"/>
    <s v="Travel_Rarely"/>
    <n v="583"/>
    <x v="0"/>
    <n v="4"/>
    <n v="1"/>
    <s v="Marketing"/>
    <x v="0"/>
    <n v="885"/>
    <n v="3"/>
    <s v="Male"/>
    <n v="87"/>
    <n v="2"/>
    <n v="2"/>
    <s v="Sales Executive"/>
    <n v="1"/>
    <s v="Married"/>
    <n v="4256"/>
    <n v="18154"/>
    <n v="1"/>
    <s v="Y"/>
    <x v="1"/>
    <n v="12"/>
    <n v="3"/>
    <n v="1"/>
    <n v="80"/>
    <n v="0"/>
    <n v="5"/>
    <n v="1"/>
    <n v="4"/>
    <n v="5"/>
    <n v="2"/>
    <n v="0"/>
    <n v="3"/>
    <s v="Low"/>
    <s v="Medium"/>
    <s v="Experienced"/>
  </r>
  <r>
    <n v="49"/>
    <x v="1"/>
    <s v="Travel_Rarely"/>
    <n v="1418"/>
    <x v="1"/>
    <n v="1"/>
    <n v="3"/>
    <s v="Technical Degree"/>
    <x v="0"/>
    <n v="887"/>
    <n v="3"/>
    <s v="Female"/>
    <n v="36"/>
    <n v="3"/>
    <n v="1"/>
    <s v="Research Scientist"/>
    <n v="1"/>
    <s v="Married"/>
    <n v="3580"/>
    <n v="10554"/>
    <n v="2"/>
    <s v="Y"/>
    <x v="1"/>
    <n v="16"/>
    <n v="3"/>
    <n v="2"/>
    <n v="80"/>
    <n v="1"/>
    <n v="7"/>
    <n v="2"/>
    <n v="3"/>
    <n v="4"/>
    <n v="2"/>
    <n v="0"/>
    <n v="2"/>
    <s v="Low"/>
    <s v="Low"/>
    <s v="Experienced"/>
  </r>
  <r>
    <n v="24"/>
    <x v="1"/>
    <s v="Non-Travel"/>
    <n v="1269"/>
    <x v="1"/>
    <n v="4"/>
    <n v="1"/>
    <s v="Life Sciences"/>
    <x v="0"/>
    <n v="888"/>
    <n v="1"/>
    <s v="Male"/>
    <n v="46"/>
    <n v="2"/>
    <n v="1"/>
    <s v="Laboratory Technician"/>
    <n v="4"/>
    <s v="Married"/>
    <n v="3162"/>
    <n v="10778"/>
    <n v="0"/>
    <s v="Y"/>
    <x v="1"/>
    <n v="17"/>
    <n v="3"/>
    <n v="4"/>
    <n v="80"/>
    <n v="0"/>
    <n v="6"/>
    <n v="2"/>
    <n v="2"/>
    <n v="5"/>
    <n v="2"/>
    <n v="3"/>
    <n v="4"/>
    <s v="Low"/>
    <s v="Low"/>
    <s v="Experienced"/>
  </r>
  <r>
    <n v="32"/>
    <x v="1"/>
    <s v="Travel_Frequently"/>
    <n v="379"/>
    <x v="0"/>
    <n v="5"/>
    <n v="2"/>
    <s v="Life Sciences"/>
    <x v="0"/>
    <n v="889"/>
    <n v="2"/>
    <s v="Male"/>
    <n v="48"/>
    <n v="3"/>
    <n v="2"/>
    <s v="Sales Executive"/>
    <n v="2"/>
    <s v="Married"/>
    <n v="6524"/>
    <n v="8891"/>
    <n v="1"/>
    <s v="Y"/>
    <x v="1"/>
    <n v="14"/>
    <n v="3"/>
    <n v="4"/>
    <n v="80"/>
    <n v="1"/>
    <n v="10"/>
    <n v="3"/>
    <n v="3"/>
    <n v="10"/>
    <n v="8"/>
    <n v="5"/>
    <n v="3"/>
    <s v="High"/>
    <s v="Medium"/>
    <s v="High"/>
  </r>
  <r>
    <n v="38"/>
    <x v="1"/>
    <s v="Travel_Rarely"/>
    <n v="395"/>
    <x v="0"/>
    <n v="9"/>
    <n v="3"/>
    <s v="Marketing"/>
    <x v="0"/>
    <n v="893"/>
    <n v="2"/>
    <s v="Male"/>
    <n v="98"/>
    <n v="2"/>
    <n v="1"/>
    <s v="Sales Representative"/>
    <n v="2"/>
    <s v="Married"/>
    <n v="2899"/>
    <n v="12102"/>
    <n v="0"/>
    <s v="Y"/>
    <x v="1"/>
    <n v="19"/>
    <n v="3"/>
    <n v="4"/>
    <n v="80"/>
    <n v="1"/>
    <n v="3"/>
    <n v="3"/>
    <n v="3"/>
    <n v="2"/>
    <n v="2"/>
    <n v="1"/>
    <n v="2"/>
    <s v="Low"/>
    <s v="Low"/>
    <s v="new"/>
  </r>
  <r>
    <n v="42"/>
    <x v="1"/>
    <s v="Travel_Rarely"/>
    <n v="1265"/>
    <x v="1"/>
    <n v="3"/>
    <n v="3"/>
    <s v="Life Sciences"/>
    <x v="0"/>
    <n v="894"/>
    <n v="3"/>
    <s v="Female"/>
    <n v="95"/>
    <n v="4"/>
    <n v="2"/>
    <s v="Laboratory Technician"/>
    <n v="4"/>
    <s v="Married"/>
    <n v="5231"/>
    <n v="23726"/>
    <n v="2"/>
    <s v="Y"/>
    <x v="0"/>
    <n v="13"/>
    <n v="3"/>
    <n v="2"/>
    <n v="80"/>
    <n v="1"/>
    <n v="17"/>
    <n v="1"/>
    <n v="2"/>
    <n v="5"/>
    <n v="3"/>
    <n v="1"/>
    <n v="3"/>
    <s v="Low"/>
    <s v="Medium"/>
    <s v="Experienced"/>
  </r>
  <r>
    <n v="31"/>
    <x v="1"/>
    <s v="Travel_Rarely"/>
    <n v="1222"/>
    <x v="1"/>
    <n v="11"/>
    <n v="4"/>
    <s v="Life Sciences"/>
    <x v="0"/>
    <n v="895"/>
    <n v="4"/>
    <s v="Male"/>
    <n v="48"/>
    <n v="3"/>
    <n v="1"/>
    <s v="Research Scientist"/>
    <n v="4"/>
    <s v="Married"/>
    <n v="2356"/>
    <n v="14871"/>
    <n v="3"/>
    <s v="Y"/>
    <x v="0"/>
    <n v="19"/>
    <n v="3"/>
    <n v="2"/>
    <n v="80"/>
    <n v="1"/>
    <n v="8"/>
    <n v="2"/>
    <n v="3"/>
    <n v="6"/>
    <n v="4"/>
    <n v="0"/>
    <n v="2"/>
    <s v="Low"/>
    <s v="Low"/>
    <s v="Experienced"/>
  </r>
  <r>
    <n v="29"/>
    <x v="0"/>
    <s v="Travel_Rarely"/>
    <n v="341"/>
    <x v="0"/>
    <n v="1"/>
    <n v="3"/>
    <s v="Medical"/>
    <x v="0"/>
    <n v="896"/>
    <n v="2"/>
    <s v="Female"/>
    <n v="48"/>
    <n v="2"/>
    <n v="1"/>
    <s v="Sales Representative"/>
    <n v="3"/>
    <s v="Divorced"/>
    <n v="2800"/>
    <n v="23522"/>
    <n v="6"/>
    <s v="Y"/>
    <x v="0"/>
    <n v="19"/>
    <n v="3"/>
    <n v="3"/>
    <n v="80"/>
    <n v="3"/>
    <n v="5"/>
    <n v="3"/>
    <n v="3"/>
    <n v="3"/>
    <n v="2"/>
    <n v="0"/>
    <n v="2"/>
    <s v="Low"/>
    <s v="Low"/>
    <s v="Experienced"/>
  </r>
  <r>
    <n v="53"/>
    <x v="1"/>
    <s v="Travel_Rarely"/>
    <n v="868"/>
    <x v="0"/>
    <n v="8"/>
    <n v="3"/>
    <s v="Marketing"/>
    <x v="0"/>
    <n v="897"/>
    <n v="1"/>
    <s v="Male"/>
    <n v="73"/>
    <n v="3"/>
    <n v="4"/>
    <s v="Sales Executive"/>
    <n v="4"/>
    <s v="Married"/>
    <n v="11836"/>
    <n v="22789"/>
    <n v="5"/>
    <s v="Y"/>
    <x v="1"/>
    <n v="14"/>
    <n v="3"/>
    <n v="3"/>
    <n v="80"/>
    <n v="1"/>
    <n v="28"/>
    <n v="3"/>
    <n v="3"/>
    <n v="2"/>
    <n v="0"/>
    <n v="2"/>
    <n v="2"/>
    <s v="High"/>
    <s v="High"/>
    <s v="new"/>
  </r>
  <r>
    <n v="35"/>
    <x v="1"/>
    <s v="Travel_Rarely"/>
    <n v="672"/>
    <x v="1"/>
    <n v="25"/>
    <n v="3"/>
    <s v="Technical Degree"/>
    <x v="0"/>
    <n v="899"/>
    <n v="4"/>
    <s v="Male"/>
    <n v="78"/>
    <n v="2"/>
    <n v="3"/>
    <s v="Manufacturing Director"/>
    <n v="2"/>
    <s v="Married"/>
    <n v="10903"/>
    <n v="9129"/>
    <n v="3"/>
    <s v="Y"/>
    <x v="1"/>
    <n v="16"/>
    <n v="3"/>
    <n v="1"/>
    <n v="80"/>
    <n v="0"/>
    <n v="16"/>
    <n v="2"/>
    <n v="3"/>
    <n v="13"/>
    <n v="10"/>
    <n v="4"/>
    <n v="8"/>
    <s v="High"/>
    <s v="High"/>
    <s v="High"/>
  </r>
  <r>
    <n v="37"/>
    <x v="1"/>
    <s v="Travel_Frequently"/>
    <n v="1231"/>
    <x v="0"/>
    <n v="21"/>
    <n v="2"/>
    <s v="Medical"/>
    <x v="0"/>
    <n v="900"/>
    <n v="3"/>
    <s v="Female"/>
    <n v="54"/>
    <n v="3"/>
    <n v="1"/>
    <s v="Sales Representative"/>
    <n v="4"/>
    <s v="Married"/>
    <n v="2973"/>
    <n v="21222"/>
    <n v="5"/>
    <s v="Y"/>
    <x v="1"/>
    <n v="15"/>
    <n v="3"/>
    <n v="2"/>
    <n v="80"/>
    <n v="1"/>
    <n v="10"/>
    <n v="3"/>
    <n v="3"/>
    <n v="5"/>
    <n v="4"/>
    <n v="0"/>
    <n v="0"/>
    <s v="Low"/>
    <s v="Low"/>
    <s v="Experienced"/>
  </r>
  <r>
    <n v="53"/>
    <x v="1"/>
    <s v="Travel_Rarely"/>
    <n v="102"/>
    <x v="1"/>
    <n v="23"/>
    <n v="4"/>
    <s v="Life Sciences"/>
    <x v="0"/>
    <n v="901"/>
    <n v="4"/>
    <s v="Female"/>
    <n v="72"/>
    <n v="3"/>
    <n v="4"/>
    <s v="Research Director"/>
    <n v="4"/>
    <s v="Single"/>
    <n v="14275"/>
    <n v="20206"/>
    <n v="6"/>
    <s v="Y"/>
    <x v="1"/>
    <n v="18"/>
    <n v="3"/>
    <n v="3"/>
    <n v="80"/>
    <n v="0"/>
    <n v="33"/>
    <n v="0"/>
    <n v="3"/>
    <n v="12"/>
    <n v="9"/>
    <n v="3"/>
    <n v="8"/>
    <s v="High"/>
    <s v="High"/>
    <s v="High"/>
  </r>
  <r>
    <n v="43"/>
    <x v="1"/>
    <s v="Travel_Frequently"/>
    <n v="422"/>
    <x v="1"/>
    <n v="1"/>
    <n v="3"/>
    <s v="Life Sciences"/>
    <x v="0"/>
    <n v="902"/>
    <n v="4"/>
    <s v="Female"/>
    <n v="33"/>
    <n v="3"/>
    <n v="2"/>
    <s v="Healthcare Representative"/>
    <n v="4"/>
    <s v="Married"/>
    <n v="5562"/>
    <n v="21782"/>
    <n v="4"/>
    <s v="Y"/>
    <x v="1"/>
    <n v="13"/>
    <n v="3"/>
    <n v="2"/>
    <n v="80"/>
    <n v="1"/>
    <n v="12"/>
    <n v="2"/>
    <n v="2"/>
    <n v="5"/>
    <n v="2"/>
    <n v="2"/>
    <n v="2"/>
    <s v="Low"/>
    <s v="Medium"/>
    <s v="Experienced"/>
  </r>
  <r>
    <n v="47"/>
    <x v="1"/>
    <s v="Travel_Rarely"/>
    <n v="249"/>
    <x v="0"/>
    <n v="2"/>
    <n v="2"/>
    <s v="Marketing"/>
    <x v="0"/>
    <n v="903"/>
    <n v="3"/>
    <s v="Female"/>
    <n v="35"/>
    <n v="3"/>
    <n v="2"/>
    <s v="Sales Executive"/>
    <n v="4"/>
    <s v="Married"/>
    <n v="4537"/>
    <n v="17783"/>
    <n v="0"/>
    <s v="Y"/>
    <x v="0"/>
    <n v="22"/>
    <n v="4"/>
    <n v="1"/>
    <n v="80"/>
    <n v="1"/>
    <n v="8"/>
    <n v="2"/>
    <n v="3"/>
    <n v="7"/>
    <n v="6"/>
    <n v="7"/>
    <n v="7"/>
    <s v="Low"/>
    <s v="Medium"/>
    <s v="Experienced"/>
  </r>
  <r>
    <n v="37"/>
    <x v="1"/>
    <s v="Non-Travel"/>
    <n v="1252"/>
    <x v="0"/>
    <n v="19"/>
    <n v="2"/>
    <s v="Medical"/>
    <x v="0"/>
    <n v="904"/>
    <n v="1"/>
    <s v="Male"/>
    <n v="32"/>
    <n v="3"/>
    <n v="3"/>
    <s v="Sales Executive"/>
    <n v="2"/>
    <s v="Single"/>
    <n v="7642"/>
    <n v="4814"/>
    <n v="1"/>
    <s v="Y"/>
    <x v="0"/>
    <n v="13"/>
    <n v="3"/>
    <n v="4"/>
    <n v="80"/>
    <n v="0"/>
    <n v="10"/>
    <n v="2"/>
    <n v="3"/>
    <n v="10"/>
    <n v="0"/>
    <n v="0"/>
    <n v="9"/>
    <s v="High"/>
    <s v="Medium"/>
    <s v="High"/>
  </r>
  <r>
    <n v="50"/>
    <x v="1"/>
    <s v="Non-Travel"/>
    <n v="881"/>
    <x v="1"/>
    <n v="2"/>
    <n v="4"/>
    <s v="Life Sciences"/>
    <x v="0"/>
    <n v="905"/>
    <n v="1"/>
    <s v="Male"/>
    <n v="98"/>
    <n v="3"/>
    <n v="4"/>
    <s v="Manager"/>
    <n v="1"/>
    <s v="Divorced"/>
    <n v="17924"/>
    <n v="4544"/>
    <n v="1"/>
    <s v="Y"/>
    <x v="1"/>
    <n v="11"/>
    <n v="3"/>
    <n v="4"/>
    <n v="80"/>
    <n v="1"/>
    <n v="31"/>
    <n v="3"/>
    <n v="3"/>
    <n v="31"/>
    <n v="6"/>
    <n v="14"/>
    <n v="7"/>
    <s v="High"/>
    <s v="High"/>
    <s v="High"/>
  </r>
  <r>
    <n v="39"/>
    <x v="1"/>
    <s v="Travel_Rarely"/>
    <n v="1383"/>
    <x v="2"/>
    <n v="2"/>
    <n v="3"/>
    <s v="Life Sciences"/>
    <x v="0"/>
    <n v="909"/>
    <n v="4"/>
    <s v="Female"/>
    <n v="42"/>
    <n v="2"/>
    <n v="2"/>
    <s v="Human Resources"/>
    <n v="4"/>
    <s v="Married"/>
    <n v="5204"/>
    <n v="7790"/>
    <n v="8"/>
    <s v="Y"/>
    <x v="1"/>
    <n v="11"/>
    <n v="3"/>
    <n v="3"/>
    <n v="80"/>
    <n v="2"/>
    <n v="13"/>
    <n v="2"/>
    <n v="3"/>
    <n v="5"/>
    <n v="4"/>
    <n v="0"/>
    <n v="4"/>
    <s v="Low"/>
    <s v="Medium"/>
    <s v="Experienced"/>
  </r>
  <r>
    <n v="33"/>
    <x v="1"/>
    <s v="Travel_Rarely"/>
    <n v="1075"/>
    <x v="2"/>
    <n v="3"/>
    <n v="2"/>
    <s v="Human Resources"/>
    <x v="0"/>
    <n v="910"/>
    <n v="4"/>
    <s v="Male"/>
    <n v="57"/>
    <n v="3"/>
    <n v="1"/>
    <s v="Human Resources"/>
    <n v="2"/>
    <s v="Divorced"/>
    <n v="2277"/>
    <n v="22650"/>
    <n v="3"/>
    <s v="Y"/>
    <x v="0"/>
    <n v="11"/>
    <n v="3"/>
    <n v="3"/>
    <n v="80"/>
    <n v="1"/>
    <n v="7"/>
    <n v="4"/>
    <n v="4"/>
    <n v="4"/>
    <n v="3"/>
    <n v="0"/>
    <n v="3"/>
    <s v="Low"/>
    <s v="Low"/>
    <s v="Experienced"/>
  </r>
  <r>
    <n v="32"/>
    <x v="0"/>
    <s v="Travel_Rarely"/>
    <n v="374"/>
    <x v="1"/>
    <n v="25"/>
    <n v="4"/>
    <s v="Life Sciences"/>
    <x v="0"/>
    <n v="911"/>
    <n v="1"/>
    <s v="Male"/>
    <n v="87"/>
    <n v="3"/>
    <n v="1"/>
    <s v="Laboratory Technician"/>
    <n v="4"/>
    <s v="Single"/>
    <n v="2795"/>
    <n v="18016"/>
    <n v="1"/>
    <s v="Y"/>
    <x v="0"/>
    <n v="24"/>
    <n v="4"/>
    <n v="3"/>
    <n v="80"/>
    <n v="0"/>
    <n v="1"/>
    <n v="2"/>
    <n v="1"/>
    <n v="1"/>
    <n v="0"/>
    <n v="0"/>
    <n v="1"/>
    <s v="Low"/>
    <s v="Low"/>
    <s v="new"/>
  </r>
  <r>
    <n v="29"/>
    <x v="1"/>
    <s v="Travel_Rarely"/>
    <n v="1086"/>
    <x v="1"/>
    <n v="7"/>
    <n v="1"/>
    <s v="Medical"/>
    <x v="0"/>
    <n v="912"/>
    <n v="1"/>
    <s v="Female"/>
    <n v="62"/>
    <n v="2"/>
    <n v="1"/>
    <s v="Laboratory Technician"/>
    <n v="4"/>
    <s v="Divorced"/>
    <n v="2532"/>
    <n v="6054"/>
    <n v="6"/>
    <s v="Y"/>
    <x v="1"/>
    <n v="14"/>
    <n v="3"/>
    <n v="3"/>
    <n v="80"/>
    <n v="3"/>
    <n v="8"/>
    <n v="5"/>
    <n v="3"/>
    <n v="4"/>
    <n v="3"/>
    <n v="0"/>
    <n v="3"/>
    <s v="Low"/>
    <s v="Low"/>
    <s v="Experienced"/>
  </r>
  <r>
    <n v="44"/>
    <x v="1"/>
    <s v="Travel_Rarely"/>
    <n v="661"/>
    <x v="1"/>
    <n v="9"/>
    <n v="2"/>
    <s v="Life Sciences"/>
    <x v="0"/>
    <n v="913"/>
    <n v="2"/>
    <s v="Male"/>
    <n v="61"/>
    <n v="3"/>
    <n v="1"/>
    <s v="Research Scientist"/>
    <n v="1"/>
    <s v="Married"/>
    <n v="2559"/>
    <n v="7508"/>
    <n v="1"/>
    <s v="Y"/>
    <x v="0"/>
    <n v="13"/>
    <n v="3"/>
    <n v="4"/>
    <n v="80"/>
    <n v="0"/>
    <n v="8"/>
    <n v="0"/>
    <n v="3"/>
    <n v="8"/>
    <n v="7"/>
    <n v="7"/>
    <n v="1"/>
    <s v="Low"/>
    <s v="Low"/>
    <s v="High"/>
  </r>
  <r>
    <n v="28"/>
    <x v="1"/>
    <s v="Travel_Rarely"/>
    <n v="821"/>
    <x v="0"/>
    <n v="5"/>
    <n v="4"/>
    <s v="Medical"/>
    <x v="0"/>
    <n v="916"/>
    <n v="1"/>
    <s v="Male"/>
    <n v="98"/>
    <n v="3"/>
    <n v="2"/>
    <s v="Sales Executive"/>
    <n v="4"/>
    <s v="Single"/>
    <n v="4908"/>
    <n v="24252"/>
    <n v="1"/>
    <s v="Y"/>
    <x v="1"/>
    <n v="14"/>
    <n v="3"/>
    <n v="2"/>
    <n v="80"/>
    <n v="0"/>
    <n v="4"/>
    <n v="3"/>
    <n v="3"/>
    <n v="4"/>
    <n v="2"/>
    <n v="0"/>
    <n v="2"/>
    <s v="Low"/>
    <s v="Medium"/>
    <s v="Experienced"/>
  </r>
  <r>
    <n v="58"/>
    <x v="0"/>
    <s v="Travel_Frequently"/>
    <n v="781"/>
    <x v="1"/>
    <n v="2"/>
    <n v="1"/>
    <s v="Life Sciences"/>
    <x v="0"/>
    <n v="918"/>
    <n v="4"/>
    <s v="Male"/>
    <n v="57"/>
    <n v="2"/>
    <n v="1"/>
    <s v="Laboratory Technician"/>
    <n v="4"/>
    <s v="Divorced"/>
    <n v="2380"/>
    <n v="13384"/>
    <n v="9"/>
    <s v="Y"/>
    <x v="0"/>
    <n v="14"/>
    <n v="3"/>
    <n v="4"/>
    <n v="80"/>
    <n v="1"/>
    <n v="3"/>
    <n v="3"/>
    <n v="2"/>
    <n v="1"/>
    <n v="0"/>
    <n v="0"/>
    <n v="0"/>
    <s v="Low"/>
    <s v="Low"/>
    <s v="new"/>
  </r>
  <r>
    <n v="43"/>
    <x v="1"/>
    <s v="Travel_Rarely"/>
    <n v="177"/>
    <x v="1"/>
    <n v="8"/>
    <n v="3"/>
    <s v="Life Sciences"/>
    <x v="0"/>
    <n v="920"/>
    <n v="1"/>
    <s v="Female"/>
    <n v="55"/>
    <n v="3"/>
    <n v="2"/>
    <s v="Manufacturing Director"/>
    <n v="2"/>
    <s v="Divorced"/>
    <n v="4765"/>
    <n v="23814"/>
    <n v="4"/>
    <s v="Y"/>
    <x v="1"/>
    <n v="21"/>
    <n v="4"/>
    <n v="3"/>
    <n v="80"/>
    <n v="1"/>
    <n v="4"/>
    <n v="2"/>
    <n v="4"/>
    <n v="1"/>
    <n v="0"/>
    <n v="0"/>
    <n v="0"/>
    <s v="Low"/>
    <s v="Medium"/>
    <s v="new"/>
  </r>
  <r>
    <n v="20"/>
    <x v="0"/>
    <s v="Travel_Rarely"/>
    <n v="500"/>
    <x v="0"/>
    <n v="2"/>
    <n v="3"/>
    <s v="Medical"/>
    <x v="0"/>
    <n v="922"/>
    <n v="3"/>
    <s v="Female"/>
    <n v="49"/>
    <n v="2"/>
    <n v="1"/>
    <s v="Sales Representative"/>
    <n v="3"/>
    <s v="Single"/>
    <n v="2044"/>
    <n v="22052"/>
    <n v="1"/>
    <s v="Y"/>
    <x v="1"/>
    <n v="13"/>
    <n v="3"/>
    <n v="4"/>
    <n v="80"/>
    <n v="0"/>
    <n v="2"/>
    <n v="3"/>
    <n v="2"/>
    <n v="2"/>
    <n v="2"/>
    <n v="0"/>
    <n v="2"/>
    <s v="Low"/>
    <s v="Low"/>
    <s v="new"/>
  </r>
  <r>
    <n v="21"/>
    <x v="0"/>
    <s v="Travel_Rarely"/>
    <n v="1427"/>
    <x v="1"/>
    <n v="18"/>
    <n v="1"/>
    <s v="Other"/>
    <x v="0"/>
    <n v="923"/>
    <n v="4"/>
    <s v="Female"/>
    <n v="65"/>
    <n v="3"/>
    <n v="1"/>
    <s v="Research Scientist"/>
    <n v="4"/>
    <s v="Single"/>
    <n v="2693"/>
    <n v="8870"/>
    <n v="1"/>
    <s v="Y"/>
    <x v="1"/>
    <n v="19"/>
    <n v="3"/>
    <n v="1"/>
    <n v="80"/>
    <n v="0"/>
    <n v="1"/>
    <n v="3"/>
    <n v="2"/>
    <n v="1"/>
    <n v="0"/>
    <n v="0"/>
    <n v="0"/>
    <s v="Low"/>
    <s v="Low"/>
    <s v="new"/>
  </r>
  <r>
    <n v="36"/>
    <x v="1"/>
    <s v="Travel_Rarely"/>
    <n v="1425"/>
    <x v="1"/>
    <n v="14"/>
    <n v="1"/>
    <s v="Life Sciences"/>
    <x v="0"/>
    <n v="924"/>
    <n v="3"/>
    <s v="Male"/>
    <n v="68"/>
    <n v="3"/>
    <n v="2"/>
    <s v="Healthcare Representative"/>
    <n v="4"/>
    <s v="Married"/>
    <n v="6586"/>
    <n v="4821"/>
    <n v="0"/>
    <s v="Y"/>
    <x v="0"/>
    <n v="17"/>
    <n v="3"/>
    <n v="1"/>
    <n v="80"/>
    <n v="1"/>
    <n v="17"/>
    <n v="2"/>
    <n v="2"/>
    <n v="16"/>
    <n v="8"/>
    <n v="4"/>
    <n v="11"/>
    <s v="High"/>
    <s v="Medium"/>
    <s v="High"/>
  </r>
  <r>
    <n v="47"/>
    <x v="1"/>
    <s v="Travel_Rarely"/>
    <n v="1454"/>
    <x v="0"/>
    <n v="2"/>
    <n v="4"/>
    <s v="Life Sciences"/>
    <x v="0"/>
    <n v="925"/>
    <n v="4"/>
    <s v="Female"/>
    <n v="65"/>
    <n v="2"/>
    <n v="1"/>
    <s v="Sales Representative"/>
    <n v="4"/>
    <s v="Single"/>
    <n v="3294"/>
    <n v="13137"/>
    <n v="1"/>
    <s v="Y"/>
    <x v="0"/>
    <n v="18"/>
    <n v="3"/>
    <n v="1"/>
    <n v="80"/>
    <n v="0"/>
    <n v="3"/>
    <n v="3"/>
    <n v="2"/>
    <n v="3"/>
    <n v="2"/>
    <n v="1"/>
    <n v="2"/>
    <s v="Low"/>
    <s v="Low"/>
    <s v="Experienced"/>
  </r>
  <r>
    <n v="22"/>
    <x v="0"/>
    <s v="Travel_Rarely"/>
    <n v="617"/>
    <x v="1"/>
    <n v="3"/>
    <n v="1"/>
    <s v="Life Sciences"/>
    <x v="0"/>
    <n v="926"/>
    <n v="2"/>
    <s v="Female"/>
    <n v="34"/>
    <n v="3"/>
    <n v="2"/>
    <s v="Manufacturing Director"/>
    <n v="3"/>
    <s v="Married"/>
    <n v="4171"/>
    <n v="10022"/>
    <n v="0"/>
    <s v="Y"/>
    <x v="0"/>
    <n v="19"/>
    <n v="3"/>
    <n v="1"/>
    <n v="80"/>
    <n v="1"/>
    <n v="4"/>
    <n v="3"/>
    <n v="4"/>
    <n v="3"/>
    <n v="2"/>
    <n v="0"/>
    <n v="2"/>
    <s v="Low"/>
    <s v="Medium"/>
    <s v="Experienced"/>
  </r>
  <r>
    <n v="41"/>
    <x v="0"/>
    <s v="Travel_Rarely"/>
    <n v="1085"/>
    <x v="1"/>
    <n v="2"/>
    <n v="4"/>
    <s v="Life Sciences"/>
    <x v="0"/>
    <n v="927"/>
    <n v="2"/>
    <s v="Female"/>
    <n v="57"/>
    <n v="1"/>
    <n v="1"/>
    <s v="Laboratory Technician"/>
    <n v="4"/>
    <s v="Divorced"/>
    <n v="2778"/>
    <n v="17725"/>
    <n v="4"/>
    <s v="Y"/>
    <x v="0"/>
    <n v="13"/>
    <n v="3"/>
    <n v="3"/>
    <n v="80"/>
    <n v="1"/>
    <n v="10"/>
    <n v="1"/>
    <n v="2"/>
    <n v="7"/>
    <n v="7"/>
    <n v="1"/>
    <n v="0"/>
    <s v="Low"/>
    <s v="Low"/>
    <s v="Experienced"/>
  </r>
  <r>
    <n v="28"/>
    <x v="1"/>
    <s v="Travel_Rarely"/>
    <n v="995"/>
    <x v="1"/>
    <n v="9"/>
    <n v="3"/>
    <s v="Medical"/>
    <x v="0"/>
    <n v="930"/>
    <n v="3"/>
    <s v="Female"/>
    <n v="77"/>
    <n v="3"/>
    <n v="1"/>
    <s v="Research Scientist"/>
    <n v="3"/>
    <s v="Divorced"/>
    <n v="2377"/>
    <n v="9834"/>
    <n v="5"/>
    <s v="Y"/>
    <x v="1"/>
    <n v="18"/>
    <n v="3"/>
    <n v="2"/>
    <n v="80"/>
    <n v="1"/>
    <n v="6"/>
    <n v="2"/>
    <n v="3"/>
    <n v="2"/>
    <n v="2"/>
    <n v="2"/>
    <n v="2"/>
    <s v="Low"/>
    <s v="Low"/>
    <s v="new"/>
  </r>
  <r>
    <n v="39"/>
    <x v="0"/>
    <s v="Travel_Rarely"/>
    <n v="1122"/>
    <x v="1"/>
    <n v="6"/>
    <n v="3"/>
    <s v="Medical"/>
    <x v="0"/>
    <n v="932"/>
    <n v="4"/>
    <s v="Male"/>
    <n v="70"/>
    <n v="3"/>
    <n v="1"/>
    <s v="Laboratory Technician"/>
    <n v="1"/>
    <s v="Married"/>
    <n v="2404"/>
    <n v="4303"/>
    <n v="7"/>
    <s v="Y"/>
    <x v="0"/>
    <n v="21"/>
    <n v="4"/>
    <n v="4"/>
    <n v="80"/>
    <n v="0"/>
    <n v="8"/>
    <n v="2"/>
    <n v="1"/>
    <n v="2"/>
    <n v="2"/>
    <n v="2"/>
    <n v="2"/>
    <s v="Low"/>
    <s v="Low"/>
    <s v="new"/>
  </r>
  <r>
    <n v="27"/>
    <x v="1"/>
    <s v="Travel_Rarely"/>
    <n v="618"/>
    <x v="1"/>
    <n v="4"/>
    <n v="3"/>
    <s v="Life Sciences"/>
    <x v="0"/>
    <n v="933"/>
    <n v="2"/>
    <s v="Female"/>
    <n v="76"/>
    <n v="3"/>
    <n v="1"/>
    <s v="Research Scientist"/>
    <n v="3"/>
    <s v="Single"/>
    <n v="2318"/>
    <n v="17808"/>
    <n v="1"/>
    <s v="Y"/>
    <x v="1"/>
    <n v="19"/>
    <n v="3"/>
    <n v="3"/>
    <n v="80"/>
    <n v="0"/>
    <n v="1"/>
    <n v="2"/>
    <n v="3"/>
    <n v="1"/>
    <n v="1"/>
    <n v="0"/>
    <n v="0"/>
    <s v="Low"/>
    <s v="Low"/>
    <s v="new"/>
  </r>
  <r>
    <n v="34"/>
    <x v="1"/>
    <s v="Travel_Rarely"/>
    <n v="546"/>
    <x v="1"/>
    <n v="10"/>
    <n v="3"/>
    <s v="Life Sciences"/>
    <x v="0"/>
    <n v="934"/>
    <n v="2"/>
    <s v="Male"/>
    <n v="83"/>
    <n v="3"/>
    <n v="1"/>
    <s v="Laboratory Technician"/>
    <n v="2"/>
    <s v="Divorced"/>
    <n v="2008"/>
    <n v="6896"/>
    <n v="1"/>
    <s v="Y"/>
    <x v="1"/>
    <n v="14"/>
    <n v="3"/>
    <n v="2"/>
    <n v="80"/>
    <n v="2"/>
    <n v="1"/>
    <n v="3"/>
    <n v="3"/>
    <n v="1"/>
    <n v="0"/>
    <n v="1"/>
    <n v="0"/>
    <s v="Low"/>
    <s v="Low"/>
    <s v="new"/>
  </r>
  <r>
    <n v="42"/>
    <x v="1"/>
    <s v="Travel_Rarely"/>
    <n v="462"/>
    <x v="0"/>
    <n v="14"/>
    <n v="2"/>
    <s v="Medical"/>
    <x v="0"/>
    <n v="936"/>
    <n v="3"/>
    <s v="Female"/>
    <n v="68"/>
    <n v="2"/>
    <n v="2"/>
    <s v="Sales Executive"/>
    <n v="3"/>
    <s v="Single"/>
    <n v="6244"/>
    <n v="7824"/>
    <n v="7"/>
    <s v="Y"/>
    <x v="1"/>
    <n v="17"/>
    <n v="3"/>
    <n v="1"/>
    <n v="80"/>
    <n v="0"/>
    <n v="10"/>
    <n v="6"/>
    <n v="3"/>
    <n v="5"/>
    <n v="4"/>
    <n v="0"/>
    <n v="3"/>
    <s v="Low"/>
    <s v="Medium"/>
    <s v="Experienced"/>
  </r>
  <r>
    <n v="33"/>
    <x v="1"/>
    <s v="Travel_Rarely"/>
    <n v="1198"/>
    <x v="1"/>
    <n v="1"/>
    <n v="4"/>
    <s v="Other"/>
    <x v="0"/>
    <n v="939"/>
    <n v="3"/>
    <s v="Male"/>
    <n v="100"/>
    <n v="2"/>
    <n v="1"/>
    <s v="Research Scientist"/>
    <n v="1"/>
    <s v="Single"/>
    <n v="2799"/>
    <n v="3339"/>
    <n v="3"/>
    <s v="Y"/>
    <x v="0"/>
    <n v="11"/>
    <n v="3"/>
    <n v="2"/>
    <n v="80"/>
    <n v="0"/>
    <n v="6"/>
    <n v="1"/>
    <n v="3"/>
    <n v="3"/>
    <n v="2"/>
    <n v="0"/>
    <n v="2"/>
    <s v="Low"/>
    <s v="Low"/>
    <s v="Experienced"/>
  </r>
  <r>
    <n v="58"/>
    <x v="1"/>
    <s v="Travel_Rarely"/>
    <n v="1272"/>
    <x v="1"/>
    <n v="5"/>
    <n v="3"/>
    <s v="Technical Degree"/>
    <x v="0"/>
    <n v="940"/>
    <n v="3"/>
    <s v="Female"/>
    <n v="37"/>
    <n v="2"/>
    <n v="3"/>
    <s v="Healthcare Representative"/>
    <n v="2"/>
    <s v="Divorced"/>
    <n v="10552"/>
    <n v="9255"/>
    <n v="2"/>
    <s v="Y"/>
    <x v="0"/>
    <n v="13"/>
    <n v="3"/>
    <n v="4"/>
    <n v="80"/>
    <n v="1"/>
    <n v="24"/>
    <n v="3"/>
    <n v="3"/>
    <n v="6"/>
    <n v="0"/>
    <n v="0"/>
    <n v="4"/>
    <s v="High"/>
    <s v="High"/>
    <s v="Experienced"/>
  </r>
  <r>
    <n v="31"/>
    <x v="1"/>
    <s v="Travel_Rarely"/>
    <n v="154"/>
    <x v="0"/>
    <n v="7"/>
    <n v="4"/>
    <s v="Life Sciences"/>
    <x v="0"/>
    <n v="941"/>
    <n v="2"/>
    <s v="Male"/>
    <n v="41"/>
    <n v="2"/>
    <n v="1"/>
    <s v="Sales Representative"/>
    <n v="3"/>
    <s v="Married"/>
    <n v="2329"/>
    <n v="11737"/>
    <n v="3"/>
    <s v="Y"/>
    <x v="1"/>
    <n v="15"/>
    <n v="3"/>
    <n v="2"/>
    <n v="80"/>
    <n v="0"/>
    <n v="13"/>
    <n v="2"/>
    <n v="4"/>
    <n v="7"/>
    <n v="7"/>
    <n v="5"/>
    <n v="2"/>
    <s v="Low"/>
    <s v="Low"/>
    <s v="Experienced"/>
  </r>
  <r>
    <n v="35"/>
    <x v="1"/>
    <s v="Travel_Rarely"/>
    <n v="1137"/>
    <x v="1"/>
    <n v="21"/>
    <n v="1"/>
    <s v="Life Sciences"/>
    <x v="0"/>
    <n v="942"/>
    <n v="4"/>
    <s v="Female"/>
    <n v="51"/>
    <n v="3"/>
    <n v="2"/>
    <s v="Healthcare Representative"/>
    <n v="4"/>
    <s v="Married"/>
    <n v="4014"/>
    <n v="19170"/>
    <n v="1"/>
    <s v="Y"/>
    <x v="0"/>
    <n v="25"/>
    <n v="4"/>
    <n v="4"/>
    <n v="80"/>
    <n v="1"/>
    <n v="10"/>
    <n v="2"/>
    <n v="1"/>
    <n v="10"/>
    <n v="6"/>
    <n v="0"/>
    <n v="7"/>
    <s v="Low"/>
    <s v="Medium"/>
    <s v="High"/>
  </r>
  <r>
    <n v="49"/>
    <x v="1"/>
    <s v="Travel_Rarely"/>
    <n v="527"/>
    <x v="1"/>
    <n v="8"/>
    <n v="2"/>
    <s v="Other"/>
    <x v="0"/>
    <n v="944"/>
    <n v="1"/>
    <s v="Female"/>
    <n v="51"/>
    <n v="3"/>
    <n v="3"/>
    <s v="Laboratory Technician"/>
    <n v="2"/>
    <s v="Married"/>
    <n v="7403"/>
    <n v="22477"/>
    <n v="4"/>
    <s v="Y"/>
    <x v="1"/>
    <n v="11"/>
    <n v="3"/>
    <n v="3"/>
    <n v="80"/>
    <n v="1"/>
    <n v="29"/>
    <n v="3"/>
    <n v="2"/>
    <n v="26"/>
    <n v="9"/>
    <n v="1"/>
    <n v="7"/>
    <s v="High"/>
    <s v="Medium"/>
    <s v="High"/>
  </r>
  <r>
    <n v="48"/>
    <x v="1"/>
    <s v="Travel_Rarely"/>
    <n v="1469"/>
    <x v="1"/>
    <n v="20"/>
    <n v="4"/>
    <s v="Medical"/>
    <x v="0"/>
    <n v="945"/>
    <n v="4"/>
    <s v="Male"/>
    <n v="51"/>
    <n v="3"/>
    <n v="1"/>
    <s v="Research Scientist"/>
    <n v="3"/>
    <s v="Married"/>
    <n v="2259"/>
    <n v="5543"/>
    <n v="4"/>
    <s v="Y"/>
    <x v="1"/>
    <n v="17"/>
    <n v="3"/>
    <n v="1"/>
    <n v="80"/>
    <n v="2"/>
    <n v="13"/>
    <n v="2"/>
    <n v="2"/>
    <n v="0"/>
    <n v="0"/>
    <n v="0"/>
    <n v="0"/>
    <s v="Low"/>
    <s v="Low"/>
    <s v="new"/>
  </r>
  <r>
    <n v="31"/>
    <x v="1"/>
    <s v="Non-Travel"/>
    <n v="1188"/>
    <x v="0"/>
    <n v="20"/>
    <n v="2"/>
    <s v="Marketing"/>
    <x v="0"/>
    <n v="947"/>
    <n v="4"/>
    <s v="Female"/>
    <n v="45"/>
    <n v="3"/>
    <n v="2"/>
    <s v="Sales Executive"/>
    <n v="3"/>
    <s v="Married"/>
    <n v="6932"/>
    <n v="24406"/>
    <n v="1"/>
    <s v="Y"/>
    <x v="1"/>
    <n v="13"/>
    <n v="3"/>
    <n v="4"/>
    <n v="80"/>
    <n v="1"/>
    <n v="9"/>
    <n v="2"/>
    <n v="2"/>
    <n v="9"/>
    <n v="8"/>
    <n v="0"/>
    <n v="0"/>
    <s v="High"/>
    <s v="Medium"/>
    <s v="High"/>
  </r>
  <r>
    <n v="36"/>
    <x v="1"/>
    <s v="Travel_Rarely"/>
    <n v="188"/>
    <x v="1"/>
    <n v="7"/>
    <n v="4"/>
    <s v="Other"/>
    <x v="0"/>
    <n v="949"/>
    <n v="2"/>
    <s v="Male"/>
    <n v="65"/>
    <n v="3"/>
    <n v="1"/>
    <s v="Research Scientist"/>
    <n v="4"/>
    <s v="Single"/>
    <n v="4678"/>
    <n v="23293"/>
    <n v="2"/>
    <s v="Y"/>
    <x v="1"/>
    <n v="18"/>
    <n v="3"/>
    <n v="3"/>
    <n v="80"/>
    <n v="0"/>
    <n v="8"/>
    <n v="6"/>
    <n v="3"/>
    <n v="6"/>
    <n v="2"/>
    <n v="0"/>
    <n v="1"/>
    <s v="Low"/>
    <s v="Medium"/>
    <s v="Experienced"/>
  </r>
  <r>
    <n v="38"/>
    <x v="1"/>
    <s v="Travel_Rarely"/>
    <n v="1333"/>
    <x v="1"/>
    <n v="1"/>
    <n v="3"/>
    <s v="Technical Degree"/>
    <x v="0"/>
    <n v="950"/>
    <n v="4"/>
    <s v="Female"/>
    <n v="80"/>
    <n v="3"/>
    <n v="3"/>
    <s v="Research Director"/>
    <n v="1"/>
    <s v="Married"/>
    <n v="13582"/>
    <n v="16292"/>
    <n v="1"/>
    <s v="Y"/>
    <x v="1"/>
    <n v="13"/>
    <n v="3"/>
    <n v="2"/>
    <n v="80"/>
    <n v="1"/>
    <n v="15"/>
    <n v="3"/>
    <n v="3"/>
    <n v="15"/>
    <n v="12"/>
    <n v="5"/>
    <n v="11"/>
    <s v="High"/>
    <s v="High"/>
    <s v="High"/>
  </r>
  <r>
    <n v="32"/>
    <x v="1"/>
    <s v="Non-Travel"/>
    <n v="1184"/>
    <x v="1"/>
    <n v="1"/>
    <n v="3"/>
    <s v="Life Sciences"/>
    <x v="0"/>
    <n v="951"/>
    <n v="3"/>
    <s v="Female"/>
    <n v="70"/>
    <n v="2"/>
    <n v="1"/>
    <s v="Laboratory Technician"/>
    <n v="2"/>
    <s v="Married"/>
    <n v="2332"/>
    <n v="3974"/>
    <n v="6"/>
    <s v="Y"/>
    <x v="1"/>
    <n v="20"/>
    <n v="4"/>
    <n v="3"/>
    <n v="80"/>
    <n v="0"/>
    <n v="5"/>
    <n v="3"/>
    <n v="3"/>
    <n v="3"/>
    <n v="0"/>
    <n v="0"/>
    <n v="2"/>
    <s v="Low"/>
    <s v="Low"/>
    <s v="Experienced"/>
  </r>
  <r>
    <n v="25"/>
    <x v="0"/>
    <s v="Travel_Rarely"/>
    <n v="867"/>
    <x v="0"/>
    <n v="19"/>
    <n v="2"/>
    <s v="Marketing"/>
    <x v="0"/>
    <n v="952"/>
    <n v="3"/>
    <s v="Male"/>
    <n v="36"/>
    <n v="2"/>
    <n v="1"/>
    <s v="Sales Representative"/>
    <n v="2"/>
    <s v="Married"/>
    <n v="2413"/>
    <n v="18798"/>
    <n v="1"/>
    <s v="Y"/>
    <x v="0"/>
    <n v="18"/>
    <n v="3"/>
    <n v="3"/>
    <n v="80"/>
    <n v="3"/>
    <n v="1"/>
    <n v="2"/>
    <n v="3"/>
    <n v="1"/>
    <n v="0"/>
    <n v="0"/>
    <n v="0"/>
    <s v="Low"/>
    <s v="Low"/>
    <s v="new"/>
  </r>
  <r>
    <n v="40"/>
    <x v="1"/>
    <s v="Travel_Rarely"/>
    <n v="658"/>
    <x v="0"/>
    <n v="10"/>
    <n v="4"/>
    <s v="Marketing"/>
    <x v="0"/>
    <n v="954"/>
    <n v="1"/>
    <s v="Male"/>
    <n v="67"/>
    <n v="2"/>
    <n v="3"/>
    <s v="Sales Executive"/>
    <n v="2"/>
    <s v="Divorced"/>
    <n v="9705"/>
    <n v="20652"/>
    <n v="2"/>
    <s v="Y"/>
    <x v="1"/>
    <n v="12"/>
    <n v="3"/>
    <n v="2"/>
    <n v="80"/>
    <n v="1"/>
    <n v="11"/>
    <n v="2"/>
    <n v="2"/>
    <n v="1"/>
    <n v="0"/>
    <n v="0"/>
    <n v="0"/>
    <s v="High"/>
    <s v="High"/>
    <s v="new"/>
  </r>
  <r>
    <n v="26"/>
    <x v="1"/>
    <s v="Travel_Frequently"/>
    <n v="1283"/>
    <x v="0"/>
    <n v="1"/>
    <n v="3"/>
    <s v="Medical"/>
    <x v="0"/>
    <n v="956"/>
    <n v="3"/>
    <s v="Male"/>
    <n v="52"/>
    <n v="2"/>
    <n v="2"/>
    <s v="Sales Executive"/>
    <n v="1"/>
    <s v="Single"/>
    <n v="4294"/>
    <n v="11148"/>
    <n v="1"/>
    <s v="Y"/>
    <x v="1"/>
    <n v="12"/>
    <n v="3"/>
    <n v="2"/>
    <n v="80"/>
    <n v="0"/>
    <n v="7"/>
    <n v="2"/>
    <n v="3"/>
    <n v="7"/>
    <n v="7"/>
    <n v="0"/>
    <n v="7"/>
    <s v="Low"/>
    <s v="Medium"/>
    <s v="Experienced"/>
  </r>
  <r>
    <n v="41"/>
    <x v="1"/>
    <s v="Travel_Rarely"/>
    <n v="263"/>
    <x v="1"/>
    <n v="6"/>
    <n v="3"/>
    <s v="Medical"/>
    <x v="0"/>
    <n v="957"/>
    <n v="4"/>
    <s v="Male"/>
    <n v="59"/>
    <n v="3"/>
    <n v="1"/>
    <s v="Laboratory Technician"/>
    <n v="1"/>
    <s v="Single"/>
    <n v="4721"/>
    <n v="3119"/>
    <n v="2"/>
    <s v="Y"/>
    <x v="0"/>
    <n v="13"/>
    <n v="3"/>
    <n v="3"/>
    <n v="80"/>
    <n v="0"/>
    <n v="20"/>
    <n v="3"/>
    <n v="3"/>
    <n v="18"/>
    <n v="13"/>
    <n v="2"/>
    <n v="17"/>
    <s v="Low"/>
    <s v="Medium"/>
    <s v="High"/>
  </r>
  <r>
    <n v="36"/>
    <x v="1"/>
    <s v="Travel_Rarely"/>
    <n v="938"/>
    <x v="1"/>
    <n v="2"/>
    <n v="4"/>
    <s v="Medical"/>
    <x v="0"/>
    <n v="958"/>
    <n v="3"/>
    <s v="Male"/>
    <n v="79"/>
    <n v="3"/>
    <n v="1"/>
    <s v="Laboratory Technician"/>
    <n v="3"/>
    <s v="Single"/>
    <n v="2519"/>
    <n v="12287"/>
    <n v="4"/>
    <s v="Y"/>
    <x v="1"/>
    <n v="21"/>
    <n v="4"/>
    <n v="3"/>
    <n v="80"/>
    <n v="0"/>
    <n v="16"/>
    <n v="6"/>
    <n v="3"/>
    <n v="11"/>
    <n v="8"/>
    <n v="3"/>
    <n v="9"/>
    <s v="Low"/>
    <s v="Low"/>
    <s v="High"/>
  </r>
  <r>
    <n v="19"/>
    <x v="0"/>
    <s v="Travel_Rarely"/>
    <n v="419"/>
    <x v="0"/>
    <n v="21"/>
    <n v="3"/>
    <s v="Other"/>
    <x v="0"/>
    <n v="959"/>
    <n v="4"/>
    <s v="Male"/>
    <n v="37"/>
    <n v="2"/>
    <n v="1"/>
    <s v="Sales Representative"/>
    <n v="2"/>
    <s v="Single"/>
    <n v="2121"/>
    <n v="9947"/>
    <n v="1"/>
    <s v="Y"/>
    <x v="0"/>
    <n v="13"/>
    <n v="3"/>
    <n v="2"/>
    <n v="80"/>
    <n v="0"/>
    <n v="1"/>
    <n v="3"/>
    <n v="4"/>
    <n v="1"/>
    <n v="0"/>
    <n v="0"/>
    <n v="0"/>
    <s v="Low"/>
    <s v="Low"/>
    <s v="new"/>
  </r>
  <r>
    <n v="20"/>
    <x v="0"/>
    <s v="Travel_Rarely"/>
    <n v="129"/>
    <x v="1"/>
    <n v="4"/>
    <n v="3"/>
    <s v="Technical Degree"/>
    <x v="0"/>
    <n v="960"/>
    <n v="1"/>
    <s v="Male"/>
    <n v="84"/>
    <n v="3"/>
    <n v="1"/>
    <s v="Laboratory Technician"/>
    <n v="1"/>
    <s v="Single"/>
    <n v="2973"/>
    <n v="13008"/>
    <n v="1"/>
    <s v="Y"/>
    <x v="1"/>
    <n v="19"/>
    <n v="3"/>
    <n v="2"/>
    <n v="80"/>
    <n v="0"/>
    <n v="1"/>
    <n v="2"/>
    <n v="3"/>
    <n v="1"/>
    <n v="0"/>
    <n v="0"/>
    <n v="0"/>
    <s v="Low"/>
    <s v="Low"/>
    <s v="new"/>
  </r>
  <r>
    <n v="31"/>
    <x v="1"/>
    <s v="Travel_Rarely"/>
    <n v="616"/>
    <x v="1"/>
    <n v="12"/>
    <n v="3"/>
    <s v="Medical"/>
    <x v="0"/>
    <n v="961"/>
    <n v="4"/>
    <s v="Female"/>
    <n v="41"/>
    <n v="3"/>
    <n v="2"/>
    <s v="Healthcare Representative"/>
    <n v="4"/>
    <s v="Married"/>
    <n v="5855"/>
    <n v="17369"/>
    <n v="0"/>
    <s v="Y"/>
    <x v="0"/>
    <n v="11"/>
    <n v="3"/>
    <n v="3"/>
    <n v="80"/>
    <n v="2"/>
    <n v="10"/>
    <n v="2"/>
    <n v="1"/>
    <n v="9"/>
    <n v="7"/>
    <n v="8"/>
    <n v="5"/>
    <s v="Low"/>
    <s v="Medium"/>
    <s v="High"/>
  </r>
  <r>
    <n v="40"/>
    <x v="1"/>
    <s v="Travel_Frequently"/>
    <n v="1469"/>
    <x v="1"/>
    <n v="9"/>
    <n v="4"/>
    <s v="Medical"/>
    <x v="0"/>
    <n v="964"/>
    <n v="4"/>
    <s v="Male"/>
    <n v="35"/>
    <n v="3"/>
    <n v="1"/>
    <s v="Research Scientist"/>
    <n v="2"/>
    <s v="Divorced"/>
    <n v="3617"/>
    <n v="25063"/>
    <n v="8"/>
    <s v="Y"/>
    <x v="0"/>
    <n v="14"/>
    <n v="3"/>
    <n v="4"/>
    <n v="80"/>
    <n v="1"/>
    <n v="3"/>
    <n v="2"/>
    <n v="3"/>
    <n v="1"/>
    <n v="1"/>
    <n v="0"/>
    <n v="0"/>
    <s v="Low"/>
    <s v="Low"/>
    <s v="new"/>
  </r>
  <r>
    <n v="32"/>
    <x v="1"/>
    <s v="Travel_Rarely"/>
    <n v="498"/>
    <x v="1"/>
    <n v="3"/>
    <n v="4"/>
    <s v="Medical"/>
    <x v="0"/>
    <n v="966"/>
    <n v="3"/>
    <s v="Female"/>
    <n v="93"/>
    <n v="3"/>
    <n v="2"/>
    <s v="Manufacturing Director"/>
    <n v="1"/>
    <s v="Married"/>
    <n v="6725"/>
    <n v="13554"/>
    <n v="1"/>
    <s v="Y"/>
    <x v="1"/>
    <n v="12"/>
    <n v="3"/>
    <n v="3"/>
    <n v="80"/>
    <n v="1"/>
    <n v="8"/>
    <n v="2"/>
    <n v="4"/>
    <n v="8"/>
    <n v="7"/>
    <n v="6"/>
    <n v="3"/>
    <s v="High"/>
    <s v="Medium"/>
    <s v="High"/>
  </r>
  <r>
    <n v="36"/>
    <x v="0"/>
    <s v="Travel_Rarely"/>
    <n v="530"/>
    <x v="0"/>
    <n v="3"/>
    <n v="1"/>
    <s v="Life Sciences"/>
    <x v="0"/>
    <n v="967"/>
    <n v="3"/>
    <s v="Male"/>
    <n v="51"/>
    <n v="2"/>
    <n v="3"/>
    <s v="Sales Executive"/>
    <n v="4"/>
    <s v="Married"/>
    <n v="10325"/>
    <n v="5518"/>
    <n v="1"/>
    <s v="Y"/>
    <x v="0"/>
    <n v="11"/>
    <n v="3"/>
    <n v="1"/>
    <n v="80"/>
    <n v="1"/>
    <n v="16"/>
    <n v="6"/>
    <n v="3"/>
    <n v="16"/>
    <n v="7"/>
    <n v="3"/>
    <n v="7"/>
    <s v="High"/>
    <s v="High"/>
    <s v="High"/>
  </r>
  <r>
    <n v="33"/>
    <x v="1"/>
    <s v="Travel_Rarely"/>
    <n v="1069"/>
    <x v="1"/>
    <n v="1"/>
    <n v="3"/>
    <s v="Life Sciences"/>
    <x v="0"/>
    <n v="969"/>
    <n v="2"/>
    <s v="Female"/>
    <n v="42"/>
    <n v="2"/>
    <n v="2"/>
    <s v="Healthcare Representative"/>
    <n v="4"/>
    <s v="Single"/>
    <n v="6949"/>
    <n v="12291"/>
    <n v="0"/>
    <s v="Y"/>
    <x v="1"/>
    <n v="14"/>
    <n v="3"/>
    <n v="1"/>
    <n v="80"/>
    <n v="0"/>
    <n v="6"/>
    <n v="3"/>
    <n v="3"/>
    <n v="5"/>
    <n v="0"/>
    <n v="1"/>
    <n v="4"/>
    <s v="High"/>
    <s v="Medium"/>
    <s v="Experienced"/>
  </r>
  <r>
    <n v="37"/>
    <x v="0"/>
    <s v="Travel_Rarely"/>
    <n v="625"/>
    <x v="0"/>
    <n v="1"/>
    <n v="4"/>
    <s v="Life Sciences"/>
    <x v="0"/>
    <n v="970"/>
    <n v="1"/>
    <s v="Male"/>
    <n v="46"/>
    <n v="2"/>
    <n v="3"/>
    <s v="Sales Executive"/>
    <n v="3"/>
    <s v="Married"/>
    <n v="10609"/>
    <n v="14922"/>
    <n v="5"/>
    <s v="Y"/>
    <x v="1"/>
    <n v="11"/>
    <n v="3"/>
    <n v="3"/>
    <n v="80"/>
    <n v="0"/>
    <n v="17"/>
    <n v="2"/>
    <n v="1"/>
    <n v="14"/>
    <n v="1"/>
    <n v="11"/>
    <n v="7"/>
    <s v="High"/>
    <s v="High"/>
    <s v="High"/>
  </r>
  <r>
    <n v="45"/>
    <x v="1"/>
    <s v="Non-Travel"/>
    <n v="805"/>
    <x v="1"/>
    <n v="4"/>
    <n v="2"/>
    <s v="Life Sciences"/>
    <x v="0"/>
    <n v="972"/>
    <n v="3"/>
    <s v="Male"/>
    <n v="57"/>
    <n v="3"/>
    <n v="2"/>
    <s v="Laboratory Technician"/>
    <n v="2"/>
    <s v="Married"/>
    <n v="4447"/>
    <n v="23163"/>
    <n v="1"/>
    <s v="Y"/>
    <x v="1"/>
    <n v="12"/>
    <n v="3"/>
    <n v="2"/>
    <n v="80"/>
    <n v="0"/>
    <n v="9"/>
    <n v="5"/>
    <n v="2"/>
    <n v="9"/>
    <n v="7"/>
    <n v="0"/>
    <n v="8"/>
    <s v="Low"/>
    <s v="Medium"/>
    <s v="High"/>
  </r>
  <r>
    <n v="29"/>
    <x v="1"/>
    <s v="Travel_Frequently"/>
    <n v="1404"/>
    <x v="0"/>
    <n v="20"/>
    <n v="3"/>
    <s v="Technical Degree"/>
    <x v="0"/>
    <n v="974"/>
    <n v="3"/>
    <s v="Female"/>
    <n v="84"/>
    <n v="3"/>
    <n v="1"/>
    <s v="Sales Representative"/>
    <n v="4"/>
    <s v="Married"/>
    <n v="2157"/>
    <n v="18203"/>
    <n v="1"/>
    <s v="Y"/>
    <x v="1"/>
    <n v="15"/>
    <n v="3"/>
    <n v="2"/>
    <n v="80"/>
    <n v="1"/>
    <n v="3"/>
    <n v="5"/>
    <n v="3"/>
    <n v="3"/>
    <n v="1"/>
    <n v="0"/>
    <n v="2"/>
    <s v="Low"/>
    <s v="Low"/>
    <s v="Experienced"/>
  </r>
  <r>
    <n v="35"/>
    <x v="1"/>
    <s v="Travel_Rarely"/>
    <n v="1219"/>
    <x v="0"/>
    <n v="18"/>
    <n v="3"/>
    <s v="Medical"/>
    <x v="0"/>
    <n v="975"/>
    <n v="3"/>
    <s v="Female"/>
    <n v="86"/>
    <n v="3"/>
    <n v="2"/>
    <s v="Sales Executive"/>
    <n v="3"/>
    <s v="Married"/>
    <n v="4601"/>
    <n v="6179"/>
    <n v="1"/>
    <s v="Y"/>
    <x v="1"/>
    <n v="16"/>
    <n v="3"/>
    <n v="2"/>
    <n v="80"/>
    <n v="0"/>
    <n v="5"/>
    <n v="3"/>
    <n v="3"/>
    <n v="5"/>
    <n v="2"/>
    <n v="1"/>
    <n v="0"/>
    <s v="Low"/>
    <s v="Medium"/>
    <s v="Experienced"/>
  </r>
  <r>
    <n v="52"/>
    <x v="1"/>
    <s v="Travel_Rarely"/>
    <n v="1053"/>
    <x v="1"/>
    <n v="1"/>
    <n v="2"/>
    <s v="Life Sciences"/>
    <x v="0"/>
    <n v="976"/>
    <n v="4"/>
    <s v="Male"/>
    <n v="70"/>
    <n v="3"/>
    <n v="4"/>
    <s v="Manager"/>
    <n v="4"/>
    <s v="Married"/>
    <n v="17099"/>
    <n v="13829"/>
    <n v="2"/>
    <s v="Y"/>
    <x v="1"/>
    <n v="15"/>
    <n v="3"/>
    <n v="2"/>
    <n v="80"/>
    <n v="1"/>
    <n v="26"/>
    <n v="2"/>
    <n v="2"/>
    <n v="9"/>
    <n v="8"/>
    <n v="7"/>
    <n v="8"/>
    <s v="High"/>
    <s v="High"/>
    <s v="High"/>
  </r>
  <r>
    <n v="58"/>
    <x v="0"/>
    <s v="Travel_Rarely"/>
    <n v="289"/>
    <x v="1"/>
    <n v="2"/>
    <n v="3"/>
    <s v="Technical Degree"/>
    <x v="0"/>
    <n v="977"/>
    <n v="4"/>
    <s v="Male"/>
    <n v="51"/>
    <n v="3"/>
    <n v="1"/>
    <s v="Research Scientist"/>
    <n v="3"/>
    <s v="Single"/>
    <n v="2479"/>
    <n v="26227"/>
    <n v="4"/>
    <s v="Y"/>
    <x v="1"/>
    <n v="24"/>
    <n v="4"/>
    <n v="1"/>
    <n v="80"/>
    <n v="0"/>
    <n v="7"/>
    <n v="4"/>
    <n v="3"/>
    <n v="1"/>
    <n v="0"/>
    <n v="0"/>
    <n v="0"/>
    <s v="Low"/>
    <s v="Low"/>
    <s v="new"/>
  </r>
  <r>
    <n v="53"/>
    <x v="1"/>
    <s v="Travel_Rarely"/>
    <n v="1376"/>
    <x v="0"/>
    <n v="2"/>
    <n v="2"/>
    <s v="Medical"/>
    <x v="0"/>
    <n v="981"/>
    <n v="3"/>
    <s v="Male"/>
    <n v="45"/>
    <n v="3"/>
    <n v="4"/>
    <s v="Manager"/>
    <n v="3"/>
    <s v="Divorced"/>
    <n v="14852"/>
    <n v="13938"/>
    <n v="6"/>
    <s v="Y"/>
    <x v="1"/>
    <n v="13"/>
    <n v="3"/>
    <n v="3"/>
    <n v="80"/>
    <n v="1"/>
    <n v="22"/>
    <n v="3"/>
    <n v="4"/>
    <n v="17"/>
    <n v="13"/>
    <n v="15"/>
    <n v="2"/>
    <s v="High"/>
    <s v="High"/>
    <s v="High"/>
  </r>
  <r>
    <n v="30"/>
    <x v="1"/>
    <s v="Travel_Rarely"/>
    <n v="231"/>
    <x v="0"/>
    <n v="8"/>
    <n v="2"/>
    <s v="Other"/>
    <x v="0"/>
    <n v="982"/>
    <n v="3"/>
    <s v="Male"/>
    <n v="62"/>
    <n v="3"/>
    <n v="3"/>
    <s v="Sales Executive"/>
    <n v="3"/>
    <s v="Divorced"/>
    <n v="7264"/>
    <n v="9977"/>
    <n v="5"/>
    <s v="Y"/>
    <x v="1"/>
    <n v="11"/>
    <n v="3"/>
    <n v="1"/>
    <n v="80"/>
    <n v="1"/>
    <n v="10"/>
    <n v="2"/>
    <n v="4"/>
    <n v="8"/>
    <n v="4"/>
    <n v="7"/>
    <n v="7"/>
    <s v="High"/>
    <s v="Medium"/>
    <s v="High"/>
  </r>
  <r>
    <n v="38"/>
    <x v="1"/>
    <s v="Non-Travel"/>
    <n v="152"/>
    <x v="0"/>
    <n v="10"/>
    <n v="3"/>
    <s v="Technical Degree"/>
    <x v="0"/>
    <n v="983"/>
    <n v="3"/>
    <s v="Female"/>
    <n v="85"/>
    <n v="3"/>
    <n v="2"/>
    <s v="Sales Executive"/>
    <n v="4"/>
    <s v="Single"/>
    <n v="5666"/>
    <n v="19899"/>
    <n v="1"/>
    <s v="Y"/>
    <x v="0"/>
    <n v="13"/>
    <n v="3"/>
    <n v="2"/>
    <n v="80"/>
    <n v="0"/>
    <n v="6"/>
    <n v="1"/>
    <n v="3"/>
    <n v="5"/>
    <n v="3"/>
    <n v="1"/>
    <n v="3"/>
    <s v="Low"/>
    <s v="Medium"/>
    <s v="Experienced"/>
  </r>
  <r>
    <n v="35"/>
    <x v="1"/>
    <s v="Travel_Rarely"/>
    <n v="882"/>
    <x v="0"/>
    <n v="3"/>
    <n v="4"/>
    <s v="Life Sciences"/>
    <x v="0"/>
    <n v="984"/>
    <n v="4"/>
    <s v="Male"/>
    <n v="92"/>
    <n v="3"/>
    <n v="3"/>
    <s v="Sales Executive"/>
    <n v="4"/>
    <s v="Divorced"/>
    <n v="7823"/>
    <n v="6812"/>
    <n v="6"/>
    <s v="Y"/>
    <x v="1"/>
    <n v="13"/>
    <n v="3"/>
    <n v="2"/>
    <n v="80"/>
    <n v="1"/>
    <n v="12"/>
    <n v="2"/>
    <n v="3"/>
    <n v="10"/>
    <n v="9"/>
    <n v="0"/>
    <n v="8"/>
    <s v="High"/>
    <s v="Medium"/>
    <s v="High"/>
  </r>
  <r>
    <n v="39"/>
    <x v="1"/>
    <s v="Travel_Rarely"/>
    <n v="903"/>
    <x v="0"/>
    <n v="2"/>
    <n v="5"/>
    <s v="Life Sciences"/>
    <x v="0"/>
    <n v="985"/>
    <n v="1"/>
    <s v="Male"/>
    <n v="41"/>
    <n v="4"/>
    <n v="3"/>
    <s v="Sales Executive"/>
    <n v="3"/>
    <s v="Single"/>
    <n v="7880"/>
    <n v="2560"/>
    <n v="0"/>
    <s v="Y"/>
    <x v="1"/>
    <n v="18"/>
    <n v="3"/>
    <n v="4"/>
    <n v="80"/>
    <n v="0"/>
    <n v="9"/>
    <n v="3"/>
    <n v="3"/>
    <n v="8"/>
    <n v="7"/>
    <n v="0"/>
    <n v="7"/>
    <s v="High"/>
    <s v="Medium"/>
    <s v="High"/>
  </r>
  <r>
    <n v="40"/>
    <x v="0"/>
    <s v="Non-Travel"/>
    <n v="1479"/>
    <x v="0"/>
    <n v="24"/>
    <n v="3"/>
    <s v="Life Sciences"/>
    <x v="0"/>
    <n v="986"/>
    <n v="2"/>
    <s v="Female"/>
    <n v="100"/>
    <n v="4"/>
    <n v="4"/>
    <s v="Sales Executive"/>
    <n v="2"/>
    <s v="Single"/>
    <n v="13194"/>
    <n v="17071"/>
    <n v="4"/>
    <s v="Y"/>
    <x v="0"/>
    <n v="16"/>
    <n v="3"/>
    <n v="4"/>
    <n v="80"/>
    <n v="0"/>
    <n v="22"/>
    <n v="2"/>
    <n v="2"/>
    <n v="1"/>
    <n v="0"/>
    <n v="0"/>
    <n v="0"/>
    <s v="High"/>
    <s v="High"/>
    <s v="new"/>
  </r>
  <r>
    <n v="47"/>
    <x v="1"/>
    <s v="Travel_Frequently"/>
    <n v="1379"/>
    <x v="1"/>
    <n v="16"/>
    <n v="4"/>
    <s v="Medical"/>
    <x v="0"/>
    <n v="987"/>
    <n v="3"/>
    <s v="Male"/>
    <n v="64"/>
    <n v="4"/>
    <n v="2"/>
    <s v="Manufacturing Director"/>
    <n v="3"/>
    <s v="Divorced"/>
    <n v="5067"/>
    <n v="6759"/>
    <n v="1"/>
    <s v="Y"/>
    <x v="0"/>
    <n v="19"/>
    <n v="3"/>
    <n v="3"/>
    <n v="80"/>
    <n v="0"/>
    <n v="20"/>
    <n v="3"/>
    <n v="4"/>
    <n v="19"/>
    <n v="10"/>
    <n v="2"/>
    <n v="7"/>
    <s v="Low"/>
    <s v="Medium"/>
    <s v="High"/>
  </r>
  <r>
    <n v="36"/>
    <x v="1"/>
    <s v="Non-Travel"/>
    <n v="1229"/>
    <x v="0"/>
    <n v="8"/>
    <n v="4"/>
    <s v="Technical Degree"/>
    <x v="0"/>
    <n v="990"/>
    <n v="1"/>
    <s v="Male"/>
    <n v="84"/>
    <n v="3"/>
    <n v="2"/>
    <s v="Sales Executive"/>
    <n v="4"/>
    <s v="Divorced"/>
    <n v="5079"/>
    <n v="25952"/>
    <n v="4"/>
    <s v="Y"/>
    <x v="1"/>
    <n v="13"/>
    <n v="3"/>
    <n v="4"/>
    <n v="80"/>
    <n v="2"/>
    <n v="12"/>
    <n v="3"/>
    <n v="3"/>
    <n v="7"/>
    <n v="7"/>
    <n v="0"/>
    <n v="7"/>
    <s v="Low"/>
    <s v="Medium"/>
    <s v="Experienced"/>
  </r>
  <r>
    <n v="31"/>
    <x v="0"/>
    <s v="Non-Travel"/>
    <n v="335"/>
    <x v="1"/>
    <n v="9"/>
    <n v="2"/>
    <s v="Medical"/>
    <x v="0"/>
    <n v="991"/>
    <n v="3"/>
    <s v="Male"/>
    <n v="46"/>
    <n v="2"/>
    <n v="1"/>
    <s v="Research Scientist"/>
    <n v="1"/>
    <s v="Single"/>
    <n v="2321"/>
    <n v="10322"/>
    <n v="0"/>
    <s v="Y"/>
    <x v="0"/>
    <n v="22"/>
    <n v="4"/>
    <n v="1"/>
    <n v="80"/>
    <n v="0"/>
    <n v="4"/>
    <n v="0"/>
    <n v="3"/>
    <n v="3"/>
    <n v="2"/>
    <n v="1"/>
    <n v="2"/>
    <s v="Low"/>
    <s v="Low"/>
    <s v="Experienced"/>
  </r>
  <r>
    <n v="33"/>
    <x v="1"/>
    <s v="Non-Travel"/>
    <n v="722"/>
    <x v="0"/>
    <n v="17"/>
    <n v="3"/>
    <s v="Life Sciences"/>
    <x v="0"/>
    <n v="992"/>
    <n v="4"/>
    <s v="Male"/>
    <n v="38"/>
    <n v="3"/>
    <n v="4"/>
    <s v="Manager"/>
    <n v="3"/>
    <s v="Single"/>
    <n v="17444"/>
    <n v="20489"/>
    <n v="1"/>
    <s v="Y"/>
    <x v="1"/>
    <n v="11"/>
    <n v="3"/>
    <n v="4"/>
    <n v="80"/>
    <n v="0"/>
    <n v="10"/>
    <n v="2"/>
    <n v="3"/>
    <n v="10"/>
    <n v="8"/>
    <n v="6"/>
    <n v="0"/>
    <s v="High"/>
    <s v="High"/>
    <s v="High"/>
  </r>
  <r>
    <n v="29"/>
    <x v="0"/>
    <s v="Travel_Rarely"/>
    <n v="906"/>
    <x v="1"/>
    <n v="10"/>
    <n v="3"/>
    <s v="Life Sciences"/>
    <x v="0"/>
    <n v="994"/>
    <n v="4"/>
    <s v="Female"/>
    <n v="92"/>
    <n v="2"/>
    <n v="1"/>
    <s v="Research Scientist"/>
    <n v="1"/>
    <s v="Single"/>
    <n v="2404"/>
    <n v="11479"/>
    <n v="6"/>
    <s v="Y"/>
    <x v="0"/>
    <n v="20"/>
    <n v="4"/>
    <n v="3"/>
    <n v="80"/>
    <n v="0"/>
    <n v="3"/>
    <n v="5"/>
    <n v="3"/>
    <n v="0"/>
    <n v="0"/>
    <n v="0"/>
    <n v="0"/>
    <s v="Low"/>
    <s v="Low"/>
    <s v="new"/>
  </r>
  <r>
    <n v="33"/>
    <x v="1"/>
    <s v="Travel_Rarely"/>
    <n v="461"/>
    <x v="1"/>
    <n v="13"/>
    <n v="1"/>
    <s v="Life Sciences"/>
    <x v="0"/>
    <n v="995"/>
    <n v="2"/>
    <s v="Female"/>
    <n v="53"/>
    <n v="3"/>
    <n v="1"/>
    <s v="Research Scientist"/>
    <n v="4"/>
    <s v="Single"/>
    <n v="3452"/>
    <n v="17241"/>
    <n v="3"/>
    <s v="Y"/>
    <x v="1"/>
    <n v="18"/>
    <n v="3"/>
    <n v="1"/>
    <n v="80"/>
    <n v="0"/>
    <n v="5"/>
    <n v="4"/>
    <n v="3"/>
    <n v="3"/>
    <n v="2"/>
    <n v="0"/>
    <n v="2"/>
    <s v="Low"/>
    <s v="Low"/>
    <s v="Experienced"/>
  </r>
  <r>
    <n v="45"/>
    <x v="1"/>
    <s v="Travel_Rarely"/>
    <n v="974"/>
    <x v="1"/>
    <n v="1"/>
    <n v="4"/>
    <s v="Medical"/>
    <x v="0"/>
    <n v="996"/>
    <n v="4"/>
    <s v="Female"/>
    <n v="91"/>
    <n v="3"/>
    <n v="1"/>
    <s v="Laboratory Technician"/>
    <n v="4"/>
    <s v="Divorced"/>
    <n v="2270"/>
    <n v="11005"/>
    <n v="3"/>
    <s v="Y"/>
    <x v="1"/>
    <n v="14"/>
    <n v="3"/>
    <n v="4"/>
    <n v="80"/>
    <n v="2"/>
    <n v="8"/>
    <n v="2"/>
    <n v="3"/>
    <n v="5"/>
    <n v="3"/>
    <n v="0"/>
    <n v="2"/>
    <s v="Low"/>
    <s v="Low"/>
    <s v="Experienced"/>
  </r>
  <r>
    <n v="50"/>
    <x v="1"/>
    <s v="Travel_Rarely"/>
    <n v="1126"/>
    <x v="1"/>
    <n v="1"/>
    <n v="2"/>
    <s v="Medical"/>
    <x v="0"/>
    <n v="997"/>
    <n v="4"/>
    <s v="Male"/>
    <n v="66"/>
    <n v="3"/>
    <n v="4"/>
    <s v="Research Director"/>
    <n v="4"/>
    <s v="Divorced"/>
    <n v="17399"/>
    <n v="6615"/>
    <n v="9"/>
    <s v="Y"/>
    <x v="1"/>
    <n v="22"/>
    <n v="4"/>
    <n v="3"/>
    <n v="80"/>
    <n v="1"/>
    <n v="32"/>
    <n v="1"/>
    <n v="2"/>
    <n v="5"/>
    <n v="4"/>
    <n v="1"/>
    <n v="3"/>
    <s v="High"/>
    <s v="High"/>
    <s v="Experienced"/>
  </r>
  <r>
    <n v="33"/>
    <x v="1"/>
    <s v="Travel_Frequently"/>
    <n v="827"/>
    <x v="1"/>
    <n v="1"/>
    <n v="4"/>
    <s v="Other"/>
    <x v="0"/>
    <n v="998"/>
    <n v="3"/>
    <s v="Female"/>
    <n v="84"/>
    <n v="4"/>
    <n v="2"/>
    <s v="Healthcare Representative"/>
    <n v="2"/>
    <s v="Married"/>
    <n v="5488"/>
    <n v="20161"/>
    <n v="1"/>
    <s v="Y"/>
    <x v="0"/>
    <n v="13"/>
    <n v="3"/>
    <n v="1"/>
    <n v="80"/>
    <n v="1"/>
    <n v="6"/>
    <n v="2"/>
    <n v="3"/>
    <n v="6"/>
    <n v="5"/>
    <n v="1"/>
    <n v="2"/>
    <s v="Low"/>
    <s v="Medium"/>
    <s v="Experienced"/>
  </r>
  <r>
    <n v="41"/>
    <x v="1"/>
    <s v="Travel_Frequently"/>
    <n v="840"/>
    <x v="1"/>
    <n v="9"/>
    <n v="3"/>
    <s v="Medical"/>
    <x v="0"/>
    <n v="999"/>
    <n v="1"/>
    <s v="Male"/>
    <n v="64"/>
    <n v="3"/>
    <n v="5"/>
    <s v="Research Director"/>
    <n v="3"/>
    <s v="Divorced"/>
    <n v="19419"/>
    <n v="3735"/>
    <n v="2"/>
    <s v="Y"/>
    <x v="1"/>
    <n v="17"/>
    <n v="3"/>
    <n v="2"/>
    <n v="80"/>
    <n v="1"/>
    <n v="21"/>
    <n v="2"/>
    <n v="4"/>
    <n v="18"/>
    <n v="16"/>
    <n v="0"/>
    <n v="11"/>
    <s v="High"/>
    <s v="High"/>
    <s v="High"/>
  </r>
  <r>
    <n v="27"/>
    <x v="1"/>
    <s v="Travel_Rarely"/>
    <n v="1134"/>
    <x v="1"/>
    <n v="16"/>
    <n v="4"/>
    <s v="Technical Degree"/>
    <x v="0"/>
    <n v="1001"/>
    <n v="3"/>
    <s v="Female"/>
    <n v="37"/>
    <n v="3"/>
    <n v="1"/>
    <s v="Laboratory Technician"/>
    <n v="2"/>
    <s v="Married"/>
    <n v="2811"/>
    <n v="12086"/>
    <n v="9"/>
    <s v="Y"/>
    <x v="1"/>
    <n v="14"/>
    <n v="3"/>
    <n v="2"/>
    <n v="80"/>
    <n v="1"/>
    <n v="4"/>
    <n v="2"/>
    <n v="3"/>
    <n v="2"/>
    <n v="2"/>
    <n v="2"/>
    <n v="2"/>
    <s v="Low"/>
    <s v="Low"/>
    <s v="new"/>
  </r>
  <r>
    <n v="45"/>
    <x v="1"/>
    <s v="Non-Travel"/>
    <n v="248"/>
    <x v="1"/>
    <n v="23"/>
    <n v="2"/>
    <s v="Life Sciences"/>
    <x v="0"/>
    <n v="1002"/>
    <n v="4"/>
    <s v="Male"/>
    <n v="42"/>
    <n v="3"/>
    <n v="2"/>
    <s v="Laboratory Technician"/>
    <n v="1"/>
    <s v="Married"/>
    <n v="3633"/>
    <n v="14039"/>
    <n v="1"/>
    <s v="Y"/>
    <x v="0"/>
    <n v="15"/>
    <n v="3"/>
    <n v="3"/>
    <n v="80"/>
    <n v="1"/>
    <n v="9"/>
    <n v="2"/>
    <n v="3"/>
    <n v="9"/>
    <n v="8"/>
    <n v="0"/>
    <n v="8"/>
    <s v="Low"/>
    <s v="Low"/>
    <s v="High"/>
  </r>
  <r>
    <n v="47"/>
    <x v="1"/>
    <s v="Travel_Rarely"/>
    <n v="955"/>
    <x v="0"/>
    <n v="4"/>
    <n v="2"/>
    <s v="Life Sciences"/>
    <x v="0"/>
    <n v="1003"/>
    <n v="4"/>
    <s v="Female"/>
    <n v="83"/>
    <n v="3"/>
    <n v="2"/>
    <s v="Sales Executive"/>
    <n v="4"/>
    <s v="Single"/>
    <n v="4163"/>
    <n v="8571"/>
    <n v="1"/>
    <s v="Y"/>
    <x v="0"/>
    <n v="17"/>
    <n v="3"/>
    <n v="3"/>
    <n v="80"/>
    <n v="0"/>
    <n v="9"/>
    <n v="0"/>
    <n v="3"/>
    <n v="9"/>
    <n v="0"/>
    <n v="0"/>
    <n v="7"/>
    <s v="Low"/>
    <s v="Medium"/>
    <s v="High"/>
  </r>
  <r>
    <n v="30"/>
    <x v="0"/>
    <s v="Travel_Rarely"/>
    <n v="138"/>
    <x v="1"/>
    <n v="22"/>
    <n v="3"/>
    <s v="Life Sciences"/>
    <x v="0"/>
    <n v="1004"/>
    <n v="1"/>
    <s v="Female"/>
    <n v="48"/>
    <n v="3"/>
    <n v="1"/>
    <s v="Research Scientist"/>
    <n v="3"/>
    <s v="Married"/>
    <n v="2132"/>
    <n v="11539"/>
    <n v="4"/>
    <s v="Y"/>
    <x v="0"/>
    <n v="11"/>
    <n v="3"/>
    <n v="2"/>
    <n v="80"/>
    <n v="0"/>
    <n v="7"/>
    <n v="2"/>
    <n v="3"/>
    <n v="5"/>
    <n v="2"/>
    <n v="0"/>
    <n v="1"/>
    <s v="Low"/>
    <s v="Low"/>
    <s v="Experienced"/>
  </r>
  <r>
    <n v="50"/>
    <x v="1"/>
    <s v="Travel_Rarely"/>
    <n v="939"/>
    <x v="1"/>
    <n v="24"/>
    <n v="3"/>
    <s v="Life Sciences"/>
    <x v="0"/>
    <n v="1005"/>
    <n v="4"/>
    <s v="Male"/>
    <n v="95"/>
    <n v="3"/>
    <n v="4"/>
    <s v="Manufacturing Director"/>
    <n v="3"/>
    <s v="Married"/>
    <n v="13973"/>
    <n v="4161"/>
    <n v="3"/>
    <s v="Y"/>
    <x v="0"/>
    <n v="18"/>
    <n v="3"/>
    <n v="4"/>
    <n v="80"/>
    <n v="1"/>
    <n v="22"/>
    <n v="2"/>
    <n v="3"/>
    <n v="12"/>
    <n v="11"/>
    <n v="1"/>
    <n v="5"/>
    <s v="High"/>
    <s v="High"/>
    <s v="High"/>
  </r>
  <r>
    <n v="38"/>
    <x v="1"/>
    <s v="Travel_Frequently"/>
    <n v="1391"/>
    <x v="1"/>
    <n v="10"/>
    <n v="1"/>
    <s v="Medical"/>
    <x v="0"/>
    <n v="1006"/>
    <n v="3"/>
    <s v="Male"/>
    <n v="66"/>
    <n v="3"/>
    <n v="1"/>
    <s v="Research Scientist"/>
    <n v="3"/>
    <s v="Married"/>
    <n v="2684"/>
    <n v="12127"/>
    <n v="0"/>
    <s v="Y"/>
    <x v="1"/>
    <n v="17"/>
    <n v="3"/>
    <n v="2"/>
    <n v="80"/>
    <n v="1"/>
    <n v="3"/>
    <n v="0"/>
    <n v="2"/>
    <n v="2"/>
    <n v="1"/>
    <n v="0"/>
    <n v="2"/>
    <s v="Low"/>
    <s v="Low"/>
    <s v="new"/>
  </r>
  <r>
    <n v="46"/>
    <x v="1"/>
    <s v="Travel_Rarely"/>
    <n v="566"/>
    <x v="1"/>
    <n v="7"/>
    <n v="2"/>
    <s v="Medical"/>
    <x v="0"/>
    <n v="1007"/>
    <n v="4"/>
    <s v="Male"/>
    <n v="75"/>
    <n v="3"/>
    <n v="3"/>
    <s v="Manufacturing Director"/>
    <n v="3"/>
    <s v="Divorced"/>
    <n v="10845"/>
    <n v="24208"/>
    <n v="6"/>
    <s v="Y"/>
    <x v="1"/>
    <n v="13"/>
    <n v="3"/>
    <n v="2"/>
    <n v="80"/>
    <n v="1"/>
    <n v="13"/>
    <n v="3"/>
    <n v="3"/>
    <n v="8"/>
    <n v="7"/>
    <n v="0"/>
    <n v="7"/>
    <s v="High"/>
    <s v="High"/>
    <s v="High"/>
  </r>
  <r>
    <n v="24"/>
    <x v="1"/>
    <s v="Travel_Rarely"/>
    <n v="1206"/>
    <x v="1"/>
    <n v="17"/>
    <n v="1"/>
    <s v="Medical"/>
    <x v="0"/>
    <n v="1009"/>
    <n v="4"/>
    <s v="Female"/>
    <n v="41"/>
    <n v="2"/>
    <n v="2"/>
    <s v="Manufacturing Director"/>
    <n v="3"/>
    <s v="Divorced"/>
    <n v="4377"/>
    <n v="24117"/>
    <n v="1"/>
    <s v="Y"/>
    <x v="1"/>
    <n v="15"/>
    <n v="3"/>
    <n v="2"/>
    <n v="80"/>
    <n v="2"/>
    <n v="5"/>
    <n v="6"/>
    <n v="3"/>
    <n v="4"/>
    <n v="2"/>
    <n v="3"/>
    <n v="2"/>
    <s v="Low"/>
    <s v="Medium"/>
    <s v="Experienced"/>
  </r>
  <r>
    <n v="35"/>
    <x v="0"/>
    <s v="Travel_Rarely"/>
    <n v="622"/>
    <x v="1"/>
    <n v="14"/>
    <n v="4"/>
    <s v="Other"/>
    <x v="0"/>
    <n v="1010"/>
    <n v="3"/>
    <s v="Male"/>
    <n v="39"/>
    <n v="2"/>
    <n v="1"/>
    <s v="Laboratory Technician"/>
    <n v="2"/>
    <s v="Divorced"/>
    <n v="3743"/>
    <n v="10074"/>
    <n v="1"/>
    <s v="Y"/>
    <x v="0"/>
    <n v="24"/>
    <n v="4"/>
    <n v="4"/>
    <n v="80"/>
    <n v="1"/>
    <n v="5"/>
    <n v="2"/>
    <n v="1"/>
    <n v="4"/>
    <n v="2"/>
    <n v="0"/>
    <n v="2"/>
    <s v="Low"/>
    <s v="Low"/>
    <s v="Experienced"/>
  </r>
  <r>
    <n v="31"/>
    <x v="1"/>
    <s v="Travel_Frequently"/>
    <n v="853"/>
    <x v="1"/>
    <n v="1"/>
    <n v="1"/>
    <s v="Life Sciences"/>
    <x v="0"/>
    <n v="1011"/>
    <n v="3"/>
    <s v="Female"/>
    <n v="96"/>
    <n v="3"/>
    <n v="2"/>
    <s v="Manufacturing Director"/>
    <n v="1"/>
    <s v="Married"/>
    <n v="4148"/>
    <n v="11275"/>
    <n v="1"/>
    <s v="Y"/>
    <x v="1"/>
    <n v="12"/>
    <n v="3"/>
    <n v="3"/>
    <n v="80"/>
    <n v="1"/>
    <n v="4"/>
    <n v="1"/>
    <n v="3"/>
    <n v="4"/>
    <n v="3"/>
    <n v="0"/>
    <n v="3"/>
    <s v="Low"/>
    <s v="Medium"/>
    <s v="Experienced"/>
  </r>
  <r>
    <n v="18"/>
    <x v="1"/>
    <s v="Non-Travel"/>
    <n v="287"/>
    <x v="1"/>
    <n v="5"/>
    <n v="2"/>
    <s v="Life Sciences"/>
    <x v="0"/>
    <n v="1012"/>
    <n v="2"/>
    <s v="Male"/>
    <n v="73"/>
    <n v="3"/>
    <n v="1"/>
    <s v="Research Scientist"/>
    <n v="4"/>
    <s v="Single"/>
    <n v="1051"/>
    <n v="13493"/>
    <n v="1"/>
    <s v="Y"/>
    <x v="1"/>
    <n v="15"/>
    <n v="3"/>
    <n v="4"/>
    <n v="80"/>
    <n v="0"/>
    <n v="0"/>
    <n v="2"/>
    <n v="3"/>
    <n v="0"/>
    <n v="0"/>
    <n v="0"/>
    <n v="0"/>
    <s v="Low"/>
    <s v="Low"/>
    <s v="new"/>
  </r>
  <r>
    <n v="54"/>
    <x v="1"/>
    <s v="Travel_Rarely"/>
    <n v="1441"/>
    <x v="1"/>
    <n v="17"/>
    <n v="3"/>
    <s v="Technical Degree"/>
    <x v="0"/>
    <n v="1013"/>
    <n v="3"/>
    <s v="Female"/>
    <n v="56"/>
    <n v="3"/>
    <n v="3"/>
    <s v="Manufacturing Director"/>
    <n v="3"/>
    <s v="Married"/>
    <n v="10739"/>
    <n v="13943"/>
    <n v="8"/>
    <s v="Y"/>
    <x v="1"/>
    <n v="11"/>
    <n v="3"/>
    <n v="3"/>
    <n v="80"/>
    <n v="1"/>
    <n v="22"/>
    <n v="2"/>
    <n v="3"/>
    <n v="10"/>
    <n v="7"/>
    <n v="0"/>
    <n v="8"/>
    <s v="High"/>
    <s v="High"/>
    <s v="High"/>
  </r>
  <r>
    <n v="35"/>
    <x v="1"/>
    <s v="Travel_Rarely"/>
    <n v="583"/>
    <x v="1"/>
    <n v="25"/>
    <n v="4"/>
    <s v="Medical"/>
    <x v="0"/>
    <n v="1014"/>
    <n v="3"/>
    <s v="Female"/>
    <n v="57"/>
    <n v="3"/>
    <n v="3"/>
    <s v="Healthcare Representative"/>
    <n v="3"/>
    <s v="Divorced"/>
    <n v="10388"/>
    <n v="6975"/>
    <n v="1"/>
    <s v="Y"/>
    <x v="0"/>
    <n v="11"/>
    <n v="3"/>
    <n v="3"/>
    <n v="80"/>
    <n v="1"/>
    <n v="16"/>
    <n v="3"/>
    <n v="2"/>
    <n v="16"/>
    <n v="10"/>
    <n v="10"/>
    <n v="1"/>
    <s v="High"/>
    <s v="High"/>
    <s v="High"/>
  </r>
  <r>
    <n v="30"/>
    <x v="1"/>
    <s v="Travel_Rarely"/>
    <n v="153"/>
    <x v="1"/>
    <n v="8"/>
    <n v="2"/>
    <s v="Life Sciences"/>
    <x v="0"/>
    <n v="1015"/>
    <n v="2"/>
    <s v="Female"/>
    <n v="73"/>
    <n v="4"/>
    <n v="3"/>
    <s v="Research Director"/>
    <n v="1"/>
    <s v="Married"/>
    <n v="11416"/>
    <n v="17802"/>
    <n v="0"/>
    <s v="Y"/>
    <x v="0"/>
    <n v="12"/>
    <n v="3"/>
    <n v="3"/>
    <n v="80"/>
    <n v="3"/>
    <n v="9"/>
    <n v="4"/>
    <n v="2"/>
    <n v="8"/>
    <n v="7"/>
    <n v="1"/>
    <n v="7"/>
    <s v="High"/>
    <s v="High"/>
    <s v="High"/>
  </r>
  <r>
    <n v="20"/>
    <x v="0"/>
    <s v="Travel_Rarely"/>
    <n v="1097"/>
    <x v="1"/>
    <n v="11"/>
    <n v="3"/>
    <s v="Medical"/>
    <x v="0"/>
    <n v="1016"/>
    <n v="4"/>
    <s v="Female"/>
    <n v="98"/>
    <n v="2"/>
    <n v="1"/>
    <s v="Research Scientist"/>
    <n v="1"/>
    <s v="Single"/>
    <n v="2600"/>
    <n v="18275"/>
    <n v="1"/>
    <s v="Y"/>
    <x v="0"/>
    <n v="15"/>
    <n v="3"/>
    <n v="1"/>
    <n v="80"/>
    <n v="0"/>
    <n v="1"/>
    <n v="2"/>
    <n v="3"/>
    <n v="1"/>
    <n v="0"/>
    <n v="0"/>
    <n v="0"/>
    <s v="Low"/>
    <s v="Low"/>
    <s v="new"/>
  </r>
  <r>
    <n v="30"/>
    <x v="0"/>
    <s v="Travel_Frequently"/>
    <n v="109"/>
    <x v="1"/>
    <n v="5"/>
    <n v="3"/>
    <s v="Medical"/>
    <x v="0"/>
    <n v="1017"/>
    <n v="2"/>
    <s v="Female"/>
    <n v="60"/>
    <n v="3"/>
    <n v="1"/>
    <s v="Laboratory Technician"/>
    <n v="2"/>
    <s v="Single"/>
    <n v="2422"/>
    <n v="25725"/>
    <n v="0"/>
    <s v="Y"/>
    <x v="1"/>
    <n v="17"/>
    <n v="3"/>
    <n v="1"/>
    <n v="80"/>
    <n v="0"/>
    <n v="4"/>
    <n v="3"/>
    <n v="3"/>
    <n v="3"/>
    <n v="2"/>
    <n v="1"/>
    <n v="2"/>
    <s v="Low"/>
    <s v="Low"/>
    <s v="Experienced"/>
  </r>
  <r>
    <n v="26"/>
    <x v="1"/>
    <s v="Travel_Rarely"/>
    <n v="1066"/>
    <x v="1"/>
    <n v="2"/>
    <n v="2"/>
    <s v="Medical"/>
    <x v="0"/>
    <n v="1018"/>
    <n v="4"/>
    <s v="Male"/>
    <n v="32"/>
    <n v="4"/>
    <n v="2"/>
    <s v="Manufacturing Director"/>
    <n v="4"/>
    <s v="Married"/>
    <n v="5472"/>
    <n v="3334"/>
    <n v="1"/>
    <s v="Y"/>
    <x v="1"/>
    <n v="12"/>
    <n v="3"/>
    <n v="2"/>
    <n v="80"/>
    <n v="0"/>
    <n v="8"/>
    <n v="2"/>
    <n v="3"/>
    <n v="8"/>
    <n v="7"/>
    <n v="1"/>
    <n v="3"/>
    <s v="Low"/>
    <s v="Medium"/>
    <s v="High"/>
  </r>
  <r>
    <n v="22"/>
    <x v="1"/>
    <s v="Travel_Rarely"/>
    <n v="217"/>
    <x v="1"/>
    <n v="8"/>
    <n v="1"/>
    <s v="Life Sciences"/>
    <x v="0"/>
    <n v="1019"/>
    <n v="2"/>
    <s v="Male"/>
    <n v="94"/>
    <n v="1"/>
    <n v="1"/>
    <s v="Laboratory Technician"/>
    <n v="1"/>
    <s v="Married"/>
    <n v="2451"/>
    <n v="6881"/>
    <n v="1"/>
    <s v="Y"/>
    <x v="1"/>
    <n v="15"/>
    <n v="3"/>
    <n v="1"/>
    <n v="80"/>
    <n v="1"/>
    <n v="4"/>
    <n v="3"/>
    <n v="2"/>
    <n v="4"/>
    <n v="3"/>
    <n v="1"/>
    <n v="1"/>
    <s v="Low"/>
    <s v="Low"/>
    <s v="Experienced"/>
  </r>
  <r>
    <n v="48"/>
    <x v="1"/>
    <s v="Travel_Rarely"/>
    <n v="277"/>
    <x v="1"/>
    <n v="6"/>
    <n v="3"/>
    <s v="Life Sciences"/>
    <x v="0"/>
    <n v="1022"/>
    <n v="1"/>
    <s v="Male"/>
    <n v="97"/>
    <n v="2"/>
    <n v="2"/>
    <s v="Healthcare Representative"/>
    <n v="3"/>
    <s v="Single"/>
    <n v="4240"/>
    <n v="13119"/>
    <n v="2"/>
    <s v="Y"/>
    <x v="1"/>
    <n v="13"/>
    <n v="3"/>
    <n v="4"/>
    <n v="80"/>
    <n v="0"/>
    <n v="19"/>
    <n v="0"/>
    <n v="3"/>
    <n v="2"/>
    <n v="2"/>
    <n v="2"/>
    <n v="2"/>
    <s v="Low"/>
    <s v="Medium"/>
    <s v="new"/>
  </r>
  <r>
    <n v="48"/>
    <x v="1"/>
    <s v="Travel_Rarely"/>
    <n v="1355"/>
    <x v="1"/>
    <n v="4"/>
    <n v="4"/>
    <s v="Life Sciences"/>
    <x v="0"/>
    <n v="1024"/>
    <n v="3"/>
    <s v="Male"/>
    <n v="78"/>
    <n v="2"/>
    <n v="3"/>
    <s v="Healthcare Representative"/>
    <n v="3"/>
    <s v="Single"/>
    <n v="10999"/>
    <n v="22245"/>
    <n v="7"/>
    <s v="Y"/>
    <x v="1"/>
    <n v="14"/>
    <n v="3"/>
    <n v="2"/>
    <n v="80"/>
    <n v="0"/>
    <n v="27"/>
    <n v="3"/>
    <n v="3"/>
    <n v="15"/>
    <n v="11"/>
    <n v="4"/>
    <n v="8"/>
    <s v="High"/>
    <s v="High"/>
    <s v="High"/>
  </r>
  <r>
    <n v="41"/>
    <x v="1"/>
    <s v="Travel_Rarely"/>
    <n v="549"/>
    <x v="1"/>
    <n v="7"/>
    <n v="2"/>
    <s v="Medical"/>
    <x v="0"/>
    <n v="1025"/>
    <n v="4"/>
    <s v="Female"/>
    <n v="42"/>
    <n v="3"/>
    <n v="2"/>
    <s v="Manufacturing Director"/>
    <n v="3"/>
    <s v="Single"/>
    <n v="5003"/>
    <n v="23371"/>
    <n v="6"/>
    <s v="Y"/>
    <x v="1"/>
    <n v="14"/>
    <n v="3"/>
    <n v="2"/>
    <n v="80"/>
    <n v="0"/>
    <n v="8"/>
    <n v="6"/>
    <n v="3"/>
    <n v="2"/>
    <n v="2"/>
    <n v="2"/>
    <n v="1"/>
    <s v="Low"/>
    <s v="Medium"/>
    <s v="new"/>
  </r>
  <r>
    <n v="39"/>
    <x v="1"/>
    <s v="Travel_Rarely"/>
    <n v="466"/>
    <x v="1"/>
    <n v="1"/>
    <n v="1"/>
    <s v="Life Sciences"/>
    <x v="0"/>
    <n v="1026"/>
    <n v="4"/>
    <s v="Female"/>
    <n v="65"/>
    <n v="2"/>
    <n v="4"/>
    <s v="Manufacturing Director"/>
    <n v="4"/>
    <s v="Married"/>
    <n v="12742"/>
    <n v="7060"/>
    <n v="1"/>
    <s v="Y"/>
    <x v="1"/>
    <n v="16"/>
    <n v="3"/>
    <n v="3"/>
    <n v="80"/>
    <n v="1"/>
    <n v="21"/>
    <n v="3"/>
    <n v="3"/>
    <n v="21"/>
    <n v="6"/>
    <n v="11"/>
    <n v="8"/>
    <s v="High"/>
    <s v="High"/>
    <s v="High"/>
  </r>
  <r>
    <n v="27"/>
    <x v="1"/>
    <s v="Travel_Rarely"/>
    <n v="1055"/>
    <x v="1"/>
    <n v="2"/>
    <n v="4"/>
    <s v="Life Sciences"/>
    <x v="0"/>
    <n v="1027"/>
    <n v="1"/>
    <s v="Female"/>
    <n v="47"/>
    <n v="3"/>
    <n v="2"/>
    <s v="Manufacturing Director"/>
    <n v="4"/>
    <s v="Married"/>
    <n v="4227"/>
    <n v="4658"/>
    <n v="0"/>
    <s v="Y"/>
    <x v="1"/>
    <n v="18"/>
    <n v="3"/>
    <n v="2"/>
    <n v="80"/>
    <n v="1"/>
    <n v="4"/>
    <n v="2"/>
    <n v="3"/>
    <n v="3"/>
    <n v="2"/>
    <n v="2"/>
    <n v="2"/>
    <s v="Low"/>
    <s v="Medium"/>
    <s v="Experienced"/>
  </r>
  <r>
    <n v="35"/>
    <x v="1"/>
    <s v="Travel_Rarely"/>
    <n v="802"/>
    <x v="1"/>
    <n v="10"/>
    <n v="3"/>
    <s v="Other"/>
    <x v="0"/>
    <n v="1028"/>
    <n v="2"/>
    <s v="Male"/>
    <n v="45"/>
    <n v="3"/>
    <n v="1"/>
    <s v="Laboratory Technician"/>
    <n v="4"/>
    <s v="Divorced"/>
    <n v="3917"/>
    <n v="9541"/>
    <n v="1"/>
    <s v="Y"/>
    <x v="1"/>
    <n v="20"/>
    <n v="4"/>
    <n v="1"/>
    <n v="80"/>
    <n v="1"/>
    <n v="3"/>
    <n v="4"/>
    <n v="2"/>
    <n v="3"/>
    <n v="2"/>
    <n v="1"/>
    <n v="2"/>
    <s v="Low"/>
    <s v="Low"/>
    <s v="Experienced"/>
  </r>
  <r>
    <n v="42"/>
    <x v="1"/>
    <s v="Travel_Rarely"/>
    <n v="265"/>
    <x v="0"/>
    <n v="5"/>
    <n v="2"/>
    <s v="Marketing"/>
    <x v="0"/>
    <n v="1029"/>
    <n v="4"/>
    <s v="Male"/>
    <n v="90"/>
    <n v="3"/>
    <n v="5"/>
    <s v="Manager"/>
    <n v="3"/>
    <s v="Married"/>
    <n v="18303"/>
    <n v="7770"/>
    <n v="6"/>
    <s v="Y"/>
    <x v="1"/>
    <n v="13"/>
    <n v="3"/>
    <n v="2"/>
    <n v="80"/>
    <n v="0"/>
    <n v="21"/>
    <n v="3"/>
    <n v="4"/>
    <n v="1"/>
    <n v="0"/>
    <n v="0"/>
    <n v="0"/>
    <s v="High"/>
    <s v="High"/>
    <s v="new"/>
  </r>
  <r>
    <n v="50"/>
    <x v="1"/>
    <s v="Travel_Rarely"/>
    <n v="804"/>
    <x v="1"/>
    <n v="9"/>
    <n v="3"/>
    <s v="Life Sciences"/>
    <x v="0"/>
    <n v="1030"/>
    <n v="1"/>
    <s v="Male"/>
    <n v="64"/>
    <n v="3"/>
    <n v="1"/>
    <s v="Laboratory Technician"/>
    <n v="4"/>
    <s v="Married"/>
    <n v="2380"/>
    <n v="20165"/>
    <n v="4"/>
    <s v="Y"/>
    <x v="1"/>
    <n v="18"/>
    <n v="3"/>
    <n v="2"/>
    <n v="80"/>
    <n v="0"/>
    <n v="8"/>
    <n v="5"/>
    <n v="3"/>
    <n v="1"/>
    <n v="0"/>
    <n v="0"/>
    <n v="0"/>
    <s v="Low"/>
    <s v="Low"/>
    <s v="new"/>
  </r>
  <r>
    <n v="59"/>
    <x v="1"/>
    <s v="Travel_Rarely"/>
    <n v="715"/>
    <x v="1"/>
    <n v="2"/>
    <n v="3"/>
    <s v="Life Sciences"/>
    <x v="0"/>
    <n v="1032"/>
    <n v="3"/>
    <s v="Female"/>
    <n v="69"/>
    <n v="2"/>
    <n v="4"/>
    <s v="Manufacturing Director"/>
    <n v="4"/>
    <s v="Single"/>
    <n v="13726"/>
    <n v="21829"/>
    <n v="3"/>
    <s v="Y"/>
    <x v="0"/>
    <n v="13"/>
    <n v="3"/>
    <n v="1"/>
    <n v="80"/>
    <n v="0"/>
    <n v="30"/>
    <n v="4"/>
    <n v="3"/>
    <n v="5"/>
    <n v="3"/>
    <n v="4"/>
    <n v="3"/>
    <s v="High"/>
    <s v="High"/>
    <s v="Experienced"/>
  </r>
  <r>
    <n v="37"/>
    <x v="0"/>
    <s v="Travel_Rarely"/>
    <n v="1141"/>
    <x v="1"/>
    <n v="11"/>
    <n v="2"/>
    <s v="Medical"/>
    <x v="0"/>
    <n v="1033"/>
    <n v="1"/>
    <s v="Female"/>
    <n v="61"/>
    <n v="1"/>
    <n v="2"/>
    <s v="Healthcare Representative"/>
    <n v="2"/>
    <s v="Married"/>
    <n v="4777"/>
    <n v="14382"/>
    <n v="5"/>
    <s v="Y"/>
    <x v="1"/>
    <n v="15"/>
    <n v="3"/>
    <n v="1"/>
    <n v="80"/>
    <n v="0"/>
    <n v="15"/>
    <n v="2"/>
    <n v="1"/>
    <n v="1"/>
    <n v="0"/>
    <n v="0"/>
    <n v="0"/>
    <s v="Low"/>
    <s v="Medium"/>
    <s v="new"/>
  </r>
  <r>
    <n v="55"/>
    <x v="1"/>
    <s v="Travel_Frequently"/>
    <n v="135"/>
    <x v="1"/>
    <n v="18"/>
    <n v="4"/>
    <s v="Medical"/>
    <x v="0"/>
    <n v="1034"/>
    <n v="3"/>
    <s v="Male"/>
    <n v="62"/>
    <n v="3"/>
    <n v="2"/>
    <s v="Healthcare Representative"/>
    <n v="2"/>
    <s v="Married"/>
    <n v="6385"/>
    <n v="12992"/>
    <n v="3"/>
    <s v="Y"/>
    <x v="0"/>
    <n v="14"/>
    <n v="3"/>
    <n v="4"/>
    <n v="80"/>
    <n v="2"/>
    <n v="17"/>
    <n v="3"/>
    <n v="3"/>
    <n v="8"/>
    <n v="7"/>
    <n v="6"/>
    <n v="7"/>
    <s v="Low"/>
    <s v="Medium"/>
    <s v="High"/>
  </r>
  <r>
    <n v="41"/>
    <x v="1"/>
    <s v="Non-Travel"/>
    <n v="247"/>
    <x v="1"/>
    <n v="7"/>
    <n v="1"/>
    <s v="Life Sciences"/>
    <x v="0"/>
    <n v="1035"/>
    <n v="2"/>
    <s v="Female"/>
    <n v="55"/>
    <n v="1"/>
    <n v="5"/>
    <s v="Research Director"/>
    <n v="3"/>
    <s v="Divorced"/>
    <n v="19973"/>
    <n v="20284"/>
    <n v="1"/>
    <s v="Y"/>
    <x v="1"/>
    <n v="22"/>
    <n v="4"/>
    <n v="2"/>
    <n v="80"/>
    <n v="2"/>
    <n v="21"/>
    <n v="3"/>
    <n v="3"/>
    <n v="21"/>
    <n v="16"/>
    <n v="5"/>
    <n v="10"/>
    <s v="High"/>
    <s v="High"/>
    <s v="High"/>
  </r>
  <r>
    <n v="38"/>
    <x v="1"/>
    <s v="Travel_Rarely"/>
    <n v="1035"/>
    <x v="0"/>
    <n v="3"/>
    <n v="4"/>
    <s v="Life Sciences"/>
    <x v="0"/>
    <n v="1036"/>
    <n v="2"/>
    <s v="Male"/>
    <n v="42"/>
    <n v="3"/>
    <n v="2"/>
    <s v="Sales Executive"/>
    <n v="4"/>
    <s v="Single"/>
    <n v="6861"/>
    <n v="4981"/>
    <n v="8"/>
    <s v="Y"/>
    <x v="0"/>
    <n v="12"/>
    <n v="3"/>
    <n v="3"/>
    <n v="80"/>
    <n v="0"/>
    <n v="19"/>
    <n v="1"/>
    <n v="3"/>
    <n v="1"/>
    <n v="0"/>
    <n v="0"/>
    <n v="0"/>
    <s v="High"/>
    <s v="Medium"/>
    <s v="new"/>
  </r>
  <r>
    <n v="26"/>
    <x v="0"/>
    <s v="Non-Travel"/>
    <n v="265"/>
    <x v="0"/>
    <n v="29"/>
    <n v="2"/>
    <s v="Medical"/>
    <x v="0"/>
    <n v="1037"/>
    <n v="2"/>
    <s v="Male"/>
    <n v="79"/>
    <n v="1"/>
    <n v="2"/>
    <s v="Sales Executive"/>
    <n v="1"/>
    <s v="Single"/>
    <n v="4969"/>
    <n v="21813"/>
    <n v="8"/>
    <s v="Y"/>
    <x v="1"/>
    <n v="18"/>
    <n v="3"/>
    <n v="4"/>
    <n v="80"/>
    <n v="0"/>
    <n v="7"/>
    <n v="6"/>
    <n v="3"/>
    <n v="2"/>
    <n v="2"/>
    <n v="2"/>
    <n v="2"/>
    <s v="Low"/>
    <s v="Medium"/>
    <s v="new"/>
  </r>
  <r>
    <n v="52"/>
    <x v="0"/>
    <s v="Travel_Rarely"/>
    <n v="266"/>
    <x v="0"/>
    <n v="2"/>
    <n v="1"/>
    <s v="Marketing"/>
    <x v="0"/>
    <n v="1038"/>
    <n v="1"/>
    <s v="Female"/>
    <n v="57"/>
    <n v="1"/>
    <n v="5"/>
    <s v="Manager"/>
    <n v="4"/>
    <s v="Married"/>
    <n v="19845"/>
    <n v="25846"/>
    <n v="1"/>
    <s v="Y"/>
    <x v="1"/>
    <n v="15"/>
    <n v="3"/>
    <n v="4"/>
    <n v="80"/>
    <n v="1"/>
    <n v="33"/>
    <n v="3"/>
    <n v="3"/>
    <n v="32"/>
    <n v="14"/>
    <n v="6"/>
    <n v="9"/>
    <s v="High"/>
    <s v="High"/>
    <s v="High"/>
  </r>
  <r>
    <n v="44"/>
    <x v="1"/>
    <s v="Travel_Rarely"/>
    <n v="1448"/>
    <x v="0"/>
    <n v="28"/>
    <n v="3"/>
    <s v="Medical"/>
    <x v="0"/>
    <n v="1039"/>
    <n v="4"/>
    <s v="Female"/>
    <n v="53"/>
    <n v="4"/>
    <n v="4"/>
    <s v="Sales Executive"/>
    <n v="4"/>
    <s v="Married"/>
    <n v="13320"/>
    <n v="11737"/>
    <n v="3"/>
    <s v="Y"/>
    <x v="0"/>
    <n v="18"/>
    <n v="3"/>
    <n v="3"/>
    <n v="80"/>
    <n v="1"/>
    <n v="23"/>
    <n v="2"/>
    <n v="3"/>
    <n v="12"/>
    <n v="11"/>
    <n v="11"/>
    <n v="11"/>
    <s v="High"/>
    <s v="High"/>
    <s v="High"/>
  </r>
  <r>
    <n v="50"/>
    <x v="1"/>
    <s v="Non-Travel"/>
    <n v="145"/>
    <x v="0"/>
    <n v="1"/>
    <n v="3"/>
    <s v="Life Sciences"/>
    <x v="0"/>
    <n v="1040"/>
    <n v="4"/>
    <s v="Female"/>
    <n v="95"/>
    <n v="3"/>
    <n v="2"/>
    <s v="Sales Executive"/>
    <n v="3"/>
    <s v="Married"/>
    <n v="6347"/>
    <n v="24920"/>
    <n v="0"/>
    <s v="Y"/>
    <x v="1"/>
    <n v="12"/>
    <n v="3"/>
    <n v="1"/>
    <n v="80"/>
    <n v="1"/>
    <n v="19"/>
    <n v="3"/>
    <n v="3"/>
    <n v="18"/>
    <n v="7"/>
    <n v="0"/>
    <n v="13"/>
    <s v="Low"/>
    <s v="Medium"/>
    <s v="High"/>
  </r>
  <r>
    <n v="36"/>
    <x v="0"/>
    <s v="Travel_Rarely"/>
    <n v="885"/>
    <x v="1"/>
    <n v="16"/>
    <n v="4"/>
    <s v="Life Sciences"/>
    <x v="0"/>
    <n v="1042"/>
    <n v="3"/>
    <s v="Female"/>
    <n v="43"/>
    <n v="4"/>
    <n v="1"/>
    <s v="Laboratory Technician"/>
    <n v="1"/>
    <s v="Single"/>
    <n v="2743"/>
    <n v="8269"/>
    <n v="1"/>
    <s v="Y"/>
    <x v="1"/>
    <n v="16"/>
    <n v="3"/>
    <n v="3"/>
    <n v="80"/>
    <n v="0"/>
    <n v="18"/>
    <n v="1"/>
    <n v="3"/>
    <n v="17"/>
    <n v="13"/>
    <n v="15"/>
    <n v="14"/>
    <s v="Low"/>
    <s v="Low"/>
    <s v="High"/>
  </r>
  <r>
    <n v="39"/>
    <x v="1"/>
    <s v="Travel_Frequently"/>
    <n v="945"/>
    <x v="1"/>
    <n v="22"/>
    <n v="3"/>
    <s v="Medical"/>
    <x v="0"/>
    <n v="1043"/>
    <n v="4"/>
    <s v="Female"/>
    <n v="82"/>
    <n v="3"/>
    <n v="3"/>
    <s v="Manufacturing Director"/>
    <n v="1"/>
    <s v="Single"/>
    <n v="10880"/>
    <n v="5083"/>
    <n v="1"/>
    <s v="Y"/>
    <x v="0"/>
    <n v="13"/>
    <n v="3"/>
    <n v="3"/>
    <n v="80"/>
    <n v="0"/>
    <n v="21"/>
    <n v="2"/>
    <n v="3"/>
    <n v="21"/>
    <n v="6"/>
    <n v="2"/>
    <n v="8"/>
    <s v="High"/>
    <s v="High"/>
    <s v="High"/>
  </r>
  <r>
    <n v="33"/>
    <x v="1"/>
    <s v="Non-Travel"/>
    <n v="1038"/>
    <x v="0"/>
    <n v="8"/>
    <n v="1"/>
    <s v="Life Sciences"/>
    <x v="0"/>
    <n v="1044"/>
    <n v="2"/>
    <s v="Female"/>
    <n v="88"/>
    <n v="2"/>
    <n v="1"/>
    <s v="Sales Representative"/>
    <n v="4"/>
    <s v="Single"/>
    <n v="2342"/>
    <n v="21437"/>
    <n v="0"/>
    <s v="Y"/>
    <x v="1"/>
    <n v="19"/>
    <n v="3"/>
    <n v="4"/>
    <n v="80"/>
    <n v="0"/>
    <n v="3"/>
    <n v="2"/>
    <n v="2"/>
    <n v="2"/>
    <n v="2"/>
    <n v="2"/>
    <n v="2"/>
    <s v="Low"/>
    <s v="Low"/>
    <s v="new"/>
  </r>
  <r>
    <n v="45"/>
    <x v="1"/>
    <s v="Travel_Rarely"/>
    <n v="1234"/>
    <x v="0"/>
    <n v="11"/>
    <n v="2"/>
    <s v="Life Sciences"/>
    <x v="0"/>
    <n v="1045"/>
    <n v="4"/>
    <s v="Female"/>
    <n v="90"/>
    <n v="3"/>
    <n v="4"/>
    <s v="Manager"/>
    <n v="4"/>
    <s v="Married"/>
    <n v="17650"/>
    <n v="5404"/>
    <n v="3"/>
    <s v="Y"/>
    <x v="1"/>
    <n v="13"/>
    <n v="3"/>
    <n v="2"/>
    <n v="80"/>
    <n v="1"/>
    <n v="26"/>
    <n v="4"/>
    <n v="4"/>
    <n v="9"/>
    <n v="3"/>
    <n v="1"/>
    <n v="1"/>
    <s v="High"/>
    <s v="High"/>
    <s v="High"/>
  </r>
  <r>
    <n v="32"/>
    <x v="1"/>
    <s v="Non-Travel"/>
    <n v="1109"/>
    <x v="1"/>
    <n v="29"/>
    <n v="4"/>
    <s v="Medical"/>
    <x v="0"/>
    <n v="1046"/>
    <n v="4"/>
    <s v="Female"/>
    <n v="69"/>
    <n v="3"/>
    <n v="1"/>
    <s v="Laboratory Technician"/>
    <n v="3"/>
    <s v="Single"/>
    <n v="4025"/>
    <n v="11135"/>
    <n v="9"/>
    <s v="Y"/>
    <x v="1"/>
    <n v="12"/>
    <n v="3"/>
    <n v="2"/>
    <n v="80"/>
    <n v="0"/>
    <n v="10"/>
    <n v="2"/>
    <n v="3"/>
    <n v="8"/>
    <n v="7"/>
    <n v="7"/>
    <n v="7"/>
    <s v="Low"/>
    <s v="Medium"/>
    <s v="High"/>
  </r>
  <r>
    <n v="34"/>
    <x v="1"/>
    <s v="Travel_Rarely"/>
    <n v="216"/>
    <x v="0"/>
    <n v="1"/>
    <n v="4"/>
    <s v="Marketing"/>
    <x v="0"/>
    <n v="1047"/>
    <n v="2"/>
    <s v="Male"/>
    <n v="75"/>
    <n v="4"/>
    <n v="2"/>
    <s v="Sales Executive"/>
    <n v="4"/>
    <s v="Divorced"/>
    <n v="9725"/>
    <n v="12278"/>
    <n v="0"/>
    <s v="Y"/>
    <x v="1"/>
    <n v="11"/>
    <n v="3"/>
    <n v="4"/>
    <n v="80"/>
    <n v="1"/>
    <n v="16"/>
    <n v="2"/>
    <n v="2"/>
    <n v="15"/>
    <n v="1"/>
    <n v="0"/>
    <n v="9"/>
    <s v="High"/>
    <s v="High"/>
    <s v="High"/>
  </r>
  <r>
    <n v="59"/>
    <x v="1"/>
    <s v="Travel_Rarely"/>
    <n v="1089"/>
    <x v="0"/>
    <n v="1"/>
    <n v="2"/>
    <s v="Technical Degree"/>
    <x v="0"/>
    <n v="1048"/>
    <n v="2"/>
    <s v="Male"/>
    <n v="66"/>
    <n v="3"/>
    <n v="3"/>
    <s v="Manager"/>
    <n v="4"/>
    <s v="Married"/>
    <n v="11904"/>
    <n v="11038"/>
    <n v="3"/>
    <s v="Y"/>
    <x v="0"/>
    <n v="14"/>
    <n v="3"/>
    <n v="3"/>
    <n v="80"/>
    <n v="1"/>
    <n v="14"/>
    <n v="1"/>
    <n v="1"/>
    <n v="6"/>
    <n v="4"/>
    <n v="0"/>
    <n v="4"/>
    <s v="High"/>
    <s v="High"/>
    <s v="Experienced"/>
  </r>
  <r>
    <n v="45"/>
    <x v="1"/>
    <s v="Travel_Rarely"/>
    <n v="788"/>
    <x v="2"/>
    <n v="24"/>
    <n v="4"/>
    <s v="Medical"/>
    <x v="0"/>
    <n v="1049"/>
    <n v="2"/>
    <s v="Male"/>
    <n v="36"/>
    <n v="3"/>
    <n v="1"/>
    <s v="Human Resources"/>
    <n v="2"/>
    <s v="Single"/>
    <n v="2177"/>
    <n v="8318"/>
    <n v="1"/>
    <s v="Y"/>
    <x v="1"/>
    <n v="16"/>
    <n v="3"/>
    <n v="1"/>
    <n v="80"/>
    <n v="0"/>
    <n v="6"/>
    <n v="3"/>
    <n v="3"/>
    <n v="6"/>
    <n v="3"/>
    <n v="0"/>
    <n v="4"/>
    <s v="Low"/>
    <s v="Low"/>
    <s v="Experienced"/>
  </r>
  <r>
    <n v="53"/>
    <x v="1"/>
    <s v="Travel_Frequently"/>
    <n v="124"/>
    <x v="0"/>
    <n v="2"/>
    <n v="3"/>
    <s v="Marketing"/>
    <x v="0"/>
    <n v="1050"/>
    <n v="3"/>
    <s v="Female"/>
    <n v="38"/>
    <n v="2"/>
    <n v="3"/>
    <s v="Sales Executive"/>
    <n v="2"/>
    <s v="Married"/>
    <n v="7525"/>
    <n v="23537"/>
    <n v="2"/>
    <s v="Y"/>
    <x v="1"/>
    <n v="12"/>
    <n v="3"/>
    <n v="1"/>
    <n v="80"/>
    <n v="1"/>
    <n v="30"/>
    <n v="2"/>
    <n v="3"/>
    <n v="15"/>
    <n v="7"/>
    <n v="6"/>
    <n v="12"/>
    <s v="High"/>
    <s v="Medium"/>
    <s v="High"/>
  </r>
  <r>
    <n v="36"/>
    <x v="0"/>
    <s v="Travel_Rarely"/>
    <n v="660"/>
    <x v="1"/>
    <n v="15"/>
    <n v="3"/>
    <s v="Other"/>
    <x v="0"/>
    <n v="1052"/>
    <n v="1"/>
    <s v="Male"/>
    <n v="81"/>
    <n v="3"/>
    <n v="2"/>
    <s v="Laboratory Technician"/>
    <n v="3"/>
    <s v="Divorced"/>
    <n v="4834"/>
    <n v="7858"/>
    <n v="7"/>
    <s v="Y"/>
    <x v="1"/>
    <n v="14"/>
    <n v="3"/>
    <n v="2"/>
    <n v="80"/>
    <n v="1"/>
    <n v="9"/>
    <n v="3"/>
    <n v="2"/>
    <n v="1"/>
    <n v="0"/>
    <n v="0"/>
    <n v="0"/>
    <s v="Low"/>
    <s v="Medium"/>
    <s v="new"/>
  </r>
  <r>
    <n v="26"/>
    <x v="0"/>
    <s v="Travel_Frequently"/>
    <n v="342"/>
    <x v="1"/>
    <n v="2"/>
    <n v="3"/>
    <s v="Life Sciences"/>
    <x v="0"/>
    <n v="1053"/>
    <n v="1"/>
    <s v="Male"/>
    <n v="57"/>
    <n v="3"/>
    <n v="1"/>
    <s v="Research Scientist"/>
    <n v="1"/>
    <s v="Married"/>
    <n v="2042"/>
    <n v="15346"/>
    <n v="6"/>
    <s v="Y"/>
    <x v="0"/>
    <n v="14"/>
    <n v="3"/>
    <n v="2"/>
    <n v="80"/>
    <n v="1"/>
    <n v="6"/>
    <n v="2"/>
    <n v="3"/>
    <n v="3"/>
    <n v="2"/>
    <n v="1"/>
    <n v="2"/>
    <s v="Low"/>
    <s v="Low"/>
    <s v="Experienced"/>
  </r>
  <r>
    <n v="34"/>
    <x v="1"/>
    <s v="Travel_Rarely"/>
    <n v="1333"/>
    <x v="0"/>
    <n v="10"/>
    <n v="4"/>
    <s v="Life Sciences"/>
    <x v="0"/>
    <n v="1055"/>
    <n v="3"/>
    <s v="Female"/>
    <n v="87"/>
    <n v="3"/>
    <n v="1"/>
    <s v="Sales Representative"/>
    <n v="3"/>
    <s v="Married"/>
    <n v="2220"/>
    <n v="18410"/>
    <n v="1"/>
    <s v="Y"/>
    <x v="0"/>
    <n v="19"/>
    <n v="3"/>
    <n v="4"/>
    <n v="80"/>
    <n v="1"/>
    <n v="1"/>
    <n v="2"/>
    <n v="3"/>
    <n v="1"/>
    <n v="1"/>
    <n v="0"/>
    <n v="0"/>
    <s v="Low"/>
    <s v="Low"/>
    <s v="new"/>
  </r>
  <r>
    <n v="28"/>
    <x v="1"/>
    <s v="Travel_Rarely"/>
    <n v="1144"/>
    <x v="0"/>
    <n v="10"/>
    <n v="1"/>
    <s v="Medical"/>
    <x v="0"/>
    <n v="1056"/>
    <n v="4"/>
    <s v="Male"/>
    <n v="74"/>
    <n v="3"/>
    <n v="1"/>
    <s v="Sales Representative"/>
    <n v="2"/>
    <s v="Married"/>
    <n v="1052"/>
    <n v="23384"/>
    <n v="1"/>
    <s v="Y"/>
    <x v="1"/>
    <n v="22"/>
    <n v="4"/>
    <n v="2"/>
    <n v="80"/>
    <n v="0"/>
    <n v="1"/>
    <n v="5"/>
    <n v="3"/>
    <n v="1"/>
    <n v="0"/>
    <n v="0"/>
    <n v="0"/>
    <s v="Low"/>
    <s v="Low"/>
    <s v="new"/>
  </r>
  <r>
    <n v="38"/>
    <x v="1"/>
    <s v="Travel_Frequently"/>
    <n v="1186"/>
    <x v="1"/>
    <n v="3"/>
    <n v="4"/>
    <s v="Other"/>
    <x v="0"/>
    <n v="1060"/>
    <n v="3"/>
    <s v="Male"/>
    <n v="44"/>
    <n v="3"/>
    <n v="1"/>
    <s v="Research Scientist"/>
    <n v="3"/>
    <s v="Married"/>
    <n v="2821"/>
    <n v="2997"/>
    <n v="3"/>
    <s v="Y"/>
    <x v="1"/>
    <n v="16"/>
    <n v="3"/>
    <n v="1"/>
    <n v="80"/>
    <n v="1"/>
    <n v="8"/>
    <n v="2"/>
    <n v="3"/>
    <n v="2"/>
    <n v="2"/>
    <n v="2"/>
    <n v="2"/>
    <s v="Low"/>
    <s v="Low"/>
    <s v="new"/>
  </r>
  <r>
    <n v="50"/>
    <x v="1"/>
    <s v="Travel_Rarely"/>
    <n v="1464"/>
    <x v="1"/>
    <n v="2"/>
    <n v="4"/>
    <s v="Medical"/>
    <x v="0"/>
    <n v="1061"/>
    <n v="2"/>
    <s v="Male"/>
    <n v="62"/>
    <n v="3"/>
    <n v="5"/>
    <s v="Research Director"/>
    <n v="3"/>
    <s v="Married"/>
    <n v="19237"/>
    <n v="12853"/>
    <n v="2"/>
    <s v="Y"/>
    <x v="0"/>
    <n v="11"/>
    <n v="3"/>
    <n v="4"/>
    <n v="80"/>
    <n v="1"/>
    <n v="29"/>
    <n v="2"/>
    <n v="2"/>
    <n v="8"/>
    <n v="1"/>
    <n v="7"/>
    <n v="7"/>
    <s v="High"/>
    <s v="High"/>
    <s v="High"/>
  </r>
  <r>
    <n v="37"/>
    <x v="1"/>
    <s v="Travel_Rarely"/>
    <n v="124"/>
    <x v="1"/>
    <n v="3"/>
    <n v="3"/>
    <s v="Other"/>
    <x v="0"/>
    <n v="1062"/>
    <n v="4"/>
    <s v="Female"/>
    <n v="35"/>
    <n v="3"/>
    <n v="2"/>
    <s v="Healthcare Representative"/>
    <n v="2"/>
    <s v="Single"/>
    <n v="4107"/>
    <n v="13848"/>
    <n v="3"/>
    <s v="Y"/>
    <x v="1"/>
    <n v="15"/>
    <n v="3"/>
    <n v="1"/>
    <n v="80"/>
    <n v="0"/>
    <n v="8"/>
    <n v="3"/>
    <n v="2"/>
    <n v="4"/>
    <n v="3"/>
    <n v="0"/>
    <n v="1"/>
    <s v="Low"/>
    <s v="Medium"/>
    <s v="Experienced"/>
  </r>
  <r>
    <n v="40"/>
    <x v="1"/>
    <s v="Travel_Rarely"/>
    <n v="300"/>
    <x v="0"/>
    <n v="26"/>
    <n v="3"/>
    <s v="Marketing"/>
    <x v="0"/>
    <n v="1066"/>
    <n v="3"/>
    <s v="Male"/>
    <n v="74"/>
    <n v="3"/>
    <n v="2"/>
    <s v="Sales Executive"/>
    <n v="1"/>
    <s v="Married"/>
    <n v="8396"/>
    <n v="22217"/>
    <n v="1"/>
    <s v="Y"/>
    <x v="1"/>
    <n v="14"/>
    <n v="3"/>
    <n v="2"/>
    <n v="80"/>
    <n v="1"/>
    <n v="8"/>
    <n v="3"/>
    <n v="2"/>
    <n v="7"/>
    <n v="7"/>
    <n v="7"/>
    <n v="5"/>
    <s v="High"/>
    <s v="High"/>
    <s v="Experienced"/>
  </r>
  <r>
    <n v="26"/>
    <x v="1"/>
    <s v="Travel_Frequently"/>
    <n v="921"/>
    <x v="1"/>
    <n v="1"/>
    <n v="1"/>
    <s v="Medical"/>
    <x v="0"/>
    <n v="1068"/>
    <n v="1"/>
    <s v="Female"/>
    <n v="66"/>
    <n v="2"/>
    <n v="1"/>
    <s v="Research Scientist"/>
    <n v="3"/>
    <s v="Divorced"/>
    <n v="2007"/>
    <n v="25265"/>
    <n v="1"/>
    <s v="Y"/>
    <x v="1"/>
    <n v="13"/>
    <n v="3"/>
    <n v="3"/>
    <n v="80"/>
    <n v="2"/>
    <n v="5"/>
    <n v="5"/>
    <n v="3"/>
    <n v="5"/>
    <n v="3"/>
    <n v="1"/>
    <n v="3"/>
    <s v="Low"/>
    <s v="Low"/>
    <s v="Experienced"/>
  </r>
  <r>
    <n v="46"/>
    <x v="1"/>
    <s v="Travel_Rarely"/>
    <n v="430"/>
    <x v="1"/>
    <n v="1"/>
    <n v="4"/>
    <s v="Medical"/>
    <x v="0"/>
    <n v="1069"/>
    <n v="4"/>
    <s v="Male"/>
    <n v="40"/>
    <n v="3"/>
    <n v="5"/>
    <s v="Research Director"/>
    <n v="4"/>
    <s v="Divorced"/>
    <n v="19627"/>
    <n v="21445"/>
    <n v="9"/>
    <s v="Y"/>
    <x v="1"/>
    <n v="17"/>
    <n v="3"/>
    <n v="4"/>
    <n v="80"/>
    <n v="2"/>
    <n v="23"/>
    <n v="0"/>
    <n v="3"/>
    <n v="2"/>
    <n v="2"/>
    <n v="2"/>
    <n v="2"/>
    <s v="High"/>
    <s v="High"/>
    <s v="new"/>
  </r>
  <r>
    <n v="54"/>
    <x v="1"/>
    <s v="Travel_Rarely"/>
    <n v="1082"/>
    <x v="0"/>
    <n v="2"/>
    <n v="4"/>
    <s v="Life Sciences"/>
    <x v="0"/>
    <n v="1070"/>
    <n v="3"/>
    <s v="Female"/>
    <n v="41"/>
    <n v="2"/>
    <n v="3"/>
    <s v="Sales Executive"/>
    <n v="3"/>
    <s v="Married"/>
    <n v="10686"/>
    <n v="8392"/>
    <n v="6"/>
    <s v="Y"/>
    <x v="1"/>
    <n v="11"/>
    <n v="3"/>
    <n v="2"/>
    <n v="80"/>
    <n v="1"/>
    <n v="13"/>
    <n v="4"/>
    <n v="3"/>
    <n v="9"/>
    <n v="4"/>
    <n v="7"/>
    <n v="0"/>
    <s v="High"/>
    <s v="High"/>
    <s v="High"/>
  </r>
  <r>
    <n v="56"/>
    <x v="1"/>
    <s v="Travel_Frequently"/>
    <n v="1240"/>
    <x v="1"/>
    <n v="9"/>
    <n v="3"/>
    <s v="Medical"/>
    <x v="0"/>
    <n v="1071"/>
    <n v="1"/>
    <s v="Female"/>
    <n v="63"/>
    <n v="3"/>
    <n v="1"/>
    <s v="Research Scientist"/>
    <n v="3"/>
    <s v="Married"/>
    <n v="2942"/>
    <n v="12154"/>
    <n v="2"/>
    <s v="Y"/>
    <x v="1"/>
    <n v="19"/>
    <n v="3"/>
    <n v="2"/>
    <n v="80"/>
    <n v="1"/>
    <n v="18"/>
    <n v="4"/>
    <n v="3"/>
    <n v="5"/>
    <n v="4"/>
    <n v="0"/>
    <n v="3"/>
    <s v="Low"/>
    <s v="Low"/>
    <s v="Experienced"/>
  </r>
  <r>
    <n v="36"/>
    <x v="1"/>
    <s v="Travel_Rarely"/>
    <n v="796"/>
    <x v="1"/>
    <n v="12"/>
    <n v="5"/>
    <s v="Medical"/>
    <x v="0"/>
    <n v="1073"/>
    <n v="4"/>
    <s v="Female"/>
    <n v="51"/>
    <n v="2"/>
    <n v="3"/>
    <s v="Manufacturing Director"/>
    <n v="4"/>
    <s v="Single"/>
    <n v="8858"/>
    <n v="15669"/>
    <n v="0"/>
    <s v="Y"/>
    <x v="1"/>
    <n v="11"/>
    <n v="3"/>
    <n v="2"/>
    <n v="80"/>
    <n v="0"/>
    <n v="15"/>
    <n v="2"/>
    <n v="2"/>
    <n v="14"/>
    <n v="8"/>
    <n v="7"/>
    <n v="8"/>
    <s v="High"/>
    <s v="High"/>
    <s v="High"/>
  </r>
  <r>
    <n v="55"/>
    <x v="1"/>
    <s v="Non-Travel"/>
    <n v="444"/>
    <x v="1"/>
    <n v="2"/>
    <n v="1"/>
    <s v="Medical"/>
    <x v="0"/>
    <n v="1074"/>
    <n v="3"/>
    <s v="Male"/>
    <n v="40"/>
    <n v="2"/>
    <n v="4"/>
    <s v="Manager"/>
    <n v="1"/>
    <s v="Single"/>
    <n v="16756"/>
    <n v="17323"/>
    <n v="7"/>
    <s v="Y"/>
    <x v="1"/>
    <n v="15"/>
    <n v="3"/>
    <n v="2"/>
    <n v="80"/>
    <n v="0"/>
    <n v="31"/>
    <n v="3"/>
    <n v="4"/>
    <n v="9"/>
    <n v="7"/>
    <n v="6"/>
    <n v="2"/>
    <s v="High"/>
    <s v="High"/>
    <s v="High"/>
  </r>
  <r>
    <n v="43"/>
    <x v="1"/>
    <s v="Travel_Rarely"/>
    <n v="415"/>
    <x v="0"/>
    <n v="25"/>
    <n v="3"/>
    <s v="Medical"/>
    <x v="0"/>
    <n v="1076"/>
    <n v="3"/>
    <s v="Male"/>
    <n v="79"/>
    <n v="2"/>
    <n v="3"/>
    <s v="Sales Executive"/>
    <n v="4"/>
    <s v="Divorced"/>
    <n v="10798"/>
    <n v="5268"/>
    <n v="5"/>
    <s v="Y"/>
    <x v="1"/>
    <n v="13"/>
    <n v="3"/>
    <n v="3"/>
    <n v="80"/>
    <n v="1"/>
    <n v="18"/>
    <n v="5"/>
    <n v="3"/>
    <n v="1"/>
    <n v="0"/>
    <n v="0"/>
    <n v="0"/>
    <s v="High"/>
    <s v="High"/>
    <s v="new"/>
  </r>
  <r>
    <n v="20"/>
    <x v="0"/>
    <s v="Travel_Frequently"/>
    <n v="769"/>
    <x v="0"/>
    <n v="9"/>
    <n v="3"/>
    <s v="Marketing"/>
    <x v="0"/>
    <n v="1077"/>
    <n v="4"/>
    <s v="Female"/>
    <n v="54"/>
    <n v="3"/>
    <n v="1"/>
    <s v="Sales Representative"/>
    <n v="4"/>
    <s v="Single"/>
    <n v="2323"/>
    <n v="17205"/>
    <n v="1"/>
    <s v="Y"/>
    <x v="0"/>
    <n v="14"/>
    <n v="3"/>
    <n v="2"/>
    <n v="80"/>
    <n v="0"/>
    <n v="2"/>
    <n v="3"/>
    <n v="3"/>
    <n v="2"/>
    <n v="2"/>
    <n v="0"/>
    <n v="2"/>
    <s v="Low"/>
    <s v="Low"/>
    <s v="new"/>
  </r>
  <r>
    <n v="21"/>
    <x v="0"/>
    <s v="Travel_Rarely"/>
    <n v="1334"/>
    <x v="1"/>
    <n v="10"/>
    <n v="3"/>
    <s v="Life Sciences"/>
    <x v="0"/>
    <n v="1079"/>
    <n v="3"/>
    <s v="Female"/>
    <n v="36"/>
    <n v="2"/>
    <n v="1"/>
    <s v="Laboratory Technician"/>
    <n v="1"/>
    <s v="Single"/>
    <n v="1416"/>
    <n v="17258"/>
    <n v="1"/>
    <s v="Y"/>
    <x v="1"/>
    <n v="13"/>
    <n v="3"/>
    <n v="1"/>
    <n v="80"/>
    <n v="0"/>
    <n v="1"/>
    <n v="6"/>
    <n v="2"/>
    <n v="1"/>
    <n v="0"/>
    <n v="1"/>
    <n v="0"/>
    <s v="Low"/>
    <s v="Low"/>
    <s v="new"/>
  </r>
  <r>
    <n v="46"/>
    <x v="1"/>
    <s v="Travel_Rarely"/>
    <n v="1003"/>
    <x v="1"/>
    <n v="8"/>
    <n v="4"/>
    <s v="Life Sciences"/>
    <x v="0"/>
    <n v="1080"/>
    <n v="4"/>
    <s v="Female"/>
    <n v="74"/>
    <n v="2"/>
    <n v="2"/>
    <s v="Research Scientist"/>
    <n v="1"/>
    <s v="Divorced"/>
    <n v="4615"/>
    <n v="21029"/>
    <n v="8"/>
    <s v="Y"/>
    <x v="0"/>
    <n v="23"/>
    <n v="4"/>
    <n v="1"/>
    <n v="80"/>
    <n v="3"/>
    <n v="19"/>
    <n v="2"/>
    <n v="3"/>
    <n v="16"/>
    <n v="13"/>
    <n v="1"/>
    <n v="7"/>
    <s v="Low"/>
    <s v="Medium"/>
    <s v="High"/>
  </r>
  <r>
    <n v="51"/>
    <x v="0"/>
    <s v="Travel_Rarely"/>
    <n v="1323"/>
    <x v="1"/>
    <n v="4"/>
    <n v="4"/>
    <s v="Life Sciences"/>
    <x v="0"/>
    <n v="1081"/>
    <n v="1"/>
    <s v="Male"/>
    <n v="34"/>
    <n v="3"/>
    <n v="1"/>
    <s v="Research Scientist"/>
    <n v="3"/>
    <s v="Married"/>
    <n v="2461"/>
    <n v="10332"/>
    <n v="9"/>
    <s v="Y"/>
    <x v="0"/>
    <n v="12"/>
    <n v="3"/>
    <n v="3"/>
    <n v="80"/>
    <n v="3"/>
    <n v="18"/>
    <n v="2"/>
    <n v="4"/>
    <n v="10"/>
    <n v="0"/>
    <n v="2"/>
    <n v="7"/>
    <s v="Low"/>
    <s v="Low"/>
    <s v="High"/>
  </r>
  <r>
    <n v="28"/>
    <x v="0"/>
    <s v="Non-Travel"/>
    <n v="1366"/>
    <x v="1"/>
    <n v="24"/>
    <n v="2"/>
    <s v="Technical Degree"/>
    <x v="0"/>
    <n v="1082"/>
    <n v="2"/>
    <s v="Male"/>
    <n v="72"/>
    <n v="2"/>
    <n v="3"/>
    <s v="Healthcare Representative"/>
    <n v="1"/>
    <s v="Single"/>
    <n v="8722"/>
    <n v="12355"/>
    <n v="1"/>
    <s v="Y"/>
    <x v="1"/>
    <n v="12"/>
    <n v="3"/>
    <n v="1"/>
    <n v="80"/>
    <n v="0"/>
    <n v="10"/>
    <n v="2"/>
    <n v="2"/>
    <n v="10"/>
    <n v="7"/>
    <n v="1"/>
    <n v="9"/>
    <s v="High"/>
    <s v="High"/>
    <s v="High"/>
  </r>
  <r>
    <n v="26"/>
    <x v="1"/>
    <s v="Travel_Rarely"/>
    <n v="192"/>
    <x v="1"/>
    <n v="1"/>
    <n v="2"/>
    <s v="Medical"/>
    <x v="0"/>
    <n v="1083"/>
    <n v="1"/>
    <s v="Male"/>
    <n v="59"/>
    <n v="2"/>
    <n v="1"/>
    <s v="Laboratory Technician"/>
    <n v="1"/>
    <s v="Married"/>
    <n v="3955"/>
    <n v="11141"/>
    <n v="1"/>
    <s v="Y"/>
    <x v="1"/>
    <n v="16"/>
    <n v="3"/>
    <n v="1"/>
    <n v="80"/>
    <n v="2"/>
    <n v="6"/>
    <n v="2"/>
    <n v="3"/>
    <n v="5"/>
    <n v="3"/>
    <n v="1"/>
    <n v="3"/>
    <s v="Low"/>
    <s v="Low"/>
    <s v="Experienced"/>
  </r>
  <r>
    <n v="30"/>
    <x v="1"/>
    <s v="Travel_Rarely"/>
    <n v="1176"/>
    <x v="1"/>
    <n v="20"/>
    <n v="3"/>
    <s v="Other"/>
    <x v="0"/>
    <n v="1084"/>
    <n v="3"/>
    <s v="Male"/>
    <n v="85"/>
    <n v="3"/>
    <n v="2"/>
    <s v="Manufacturing Director"/>
    <n v="1"/>
    <s v="Married"/>
    <n v="9957"/>
    <n v="9096"/>
    <n v="0"/>
    <s v="Y"/>
    <x v="1"/>
    <n v="15"/>
    <n v="3"/>
    <n v="3"/>
    <n v="80"/>
    <n v="1"/>
    <n v="7"/>
    <n v="1"/>
    <n v="2"/>
    <n v="6"/>
    <n v="2"/>
    <n v="0"/>
    <n v="2"/>
    <s v="High"/>
    <s v="High"/>
    <s v="Experienced"/>
  </r>
  <r>
    <n v="41"/>
    <x v="1"/>
    <s v="Travel_Rarely"/>
    <n v="509"/>
    <x v="1"/>
    <n v="7"/>
    <n v="2"/>
    <s v="Technical Degree"/>
    <x v="0"/>
    <n v="1085"/>
    <n v="2"/>
    <s v="Female"/>
    <n v="43"/>
    <n v="4"/>
    <n v="1"/>
    <s v="Research Scientist"/>
    <n v="3"/>
    <s v="Married"/>
    <n v="3376"/>
    <n v="18863"/>
    <n v="1"/>
    <s v="Y"/>
    <x v="1"/>
    <n v="13"/>
    <n v="3"/>
    <n v="3"/>
    <n v="80"/>
    <n v="0"/>
    <n v="10"/>
    <n v="3"/>
    <n v="3"/>
    <n v="10"/>
    <n v="6"/>
    <n v="0"/>
    <n v="8"/>
    <s v="Low"/>
    <s v="Low"/>
    <s v="High"/>
  </r>
  <r>
    <n v="38"/>
    <x v="1"/>
    <s v="Travel_Rarely"/>
    <n v="330"/>
    <x v="1"/>
    <n v="17"/>
    <n v="1"/>
    <s v="Life Sciences"/>
    <x v="0"/>
    <n v="1088"/>
    <n v="3"/>
    <s v="Female"/>
    <n v="65"/>
    <n v="2"/>
    <n v="3"/>
    <s v="Healthcare Representative"/>
    <n v="3"/>
    <s v="Married"/>
    <n v="8823"/>
    <n v="24608"/>
    <n v="0"/>
    <s v="Y"/>
    <x v="1"/>
    <n v="18"/>
    <n v="3"/>
    <n v="1"/>
    <n v="80"/>
    <n v="1"/>
    <n v="20"/>
    <n v="4"/>
    <n v="2"/>
    <n v="19"/>
    <n v="9"/>
    <n v="1"/>
    <n v="9"/>
    <s v="High"/>
    <s v="High"/>
    <s v="High"/>
  </r>
  <r>
    <n v="40"/>
    <x v="1"/>
    <s v="Travel_Rarely"/>
    <n v="1492"/>
    <x v="1"/>
    <n v="20"/>
    <n v="4"/>
    <s v="Technical Degree"/>
    <x v="0"/>
    <n v="1092"/>
    <n v="1"/>
    <s v="Male"/>
    <n v="61"/>
    <n v="3"/>
    <n v="3"/>
    <s v="Healthcare Representative"/>
    <n v="4"/>
    <s v="Married"/>
    <n v="10322"/>
    <n v="26542"/>
    <n v="4"/>
    <s v="Y"/>
    <x v="1"/>
    <n v="20"/>
    <n v="4"/>
    <n v="4"/>
    <n v="80"/>
    <n v="1"/>
    <n v="14"/>
    <n v="6"/>
    <n v="3"/>
    <n v="11"/>
    <n v="10"/>
    <n v="11"/>
    <n v="1"/>
    <s v="High"/>
    <s v="High"/>
    <s v="High"/>
  </r>
  <r>
    <n v="27"/>
    <x v="1"/>
    <s v="Non-Travel"/>
    <n v="1277"/>
    <x v="1"/>
    <n v="8"/>
    <n v="5"/>
    <s v="Life Sciences"/>
    <x v="0"/>
    <n v="1094"/>
    <n v="1"/>
    <s v="Male"/>
    <n v="87"/>
    <n v="1"/>
    <n v="1"/>
    <s v="Laboratory Technician"/>
    <n v="3"/>
    <s v="Married"/>
    <n v="4621"/>
    <n v="5869"/>
    <n v="1"/>
    <s v="Y"/>
    <x v="1"/>
    <n v="19"/>
    <n v="3"/>
    <n v="4"/>
    <n v="80"/>
    <n v="3"/>
    <n v="3"/>
    <n v="4"/>
    <n v="3"/>
    <n v="3"/>
    <n v="2"/>
    <n v="1"/>
    <n v="2"/>
    <s v="Low"/>
    <s v="Medium"/>
    <s v="Experienced"/>
  </r>
  <r>
    <n v="55"/>
    <x v="1"/>
    <s v="Travel_Frequently"/>
    <n v="1091"/>
    <x v="1"/>
    <n v="2"/>
    <n v="1"/>
    <s v="Life Sciences"/>
    <x v="0"/>
    <n v="1096"/>
    <n v="4"/>
    <s v="Male"/>
    <n v="65"/>
    <n v="3"/>
    <n v="3"/>
    <s v="Manufacturing Director"/>
    <n v="2"/>
    <s v="Married"/>
    <n v="10976"/>
    <n v="15813"/>
    <n v="3"/>
    <s v="Y"/>
    <x v="1"/>
    <n v="18"/>
    <n v="3"/>
    <n v="2"/>
    <n v="80"/>
    <n v="1"/>
    <n v="23"/>
    <n v="4"/>
    <n v="3"/>
    <n v="3"/>
    <n v="2"/>
    <n v="1"/>
    <n v="2"/>
    <s v="High"/>
    <s v="High"/>
    <s v="Experienced"/>
  </r>
  <r>
    <n v="28"/>
    <x v="1"/>
    <s v="Travel_Rarely"/>
    <n v="857"/>
    <x v="1"/>
    <n v="10"/>
    <n v="3"/>
    <s v="Other"/>
    <x v="0"/>
    <n v="1097"/>
    <n v="3"/>
    <s v="Female"/>
    <n v="59"/>
    <n v="3"/>
    <n v="2"/>
    <s v="Research Scientist"/>
    <n v="3"/>
    <s v="Single"/>
    <n v="3660"/>
    <n v="7909"/>
    <n v="3"/>
    <s v="Y"/>
    <x v="1"/>
    <n v="13"/>
    <n v="3"/>
    <n v="4"/>
    <n v="80"/>
    <n v="0"/>
    <n v="10"/>
    <n v="4"/>
    <n v="4"/>
    <n v="8"/>
    <n v="7"/>
    <n v="1"/>
    <n v="7"/>
    <s v="Low"/>
    <s v="Low"/>
    <s v="High"/>
  </r>
  <r>
    <n v="44"/>
    <x v="0"/>
    <s v="Travel_Rarely"/>
    <n v="1376"/>
    <x v="2"/>
    <n v="1"/>
    <n v="2"/>
    <s v="Medical"/>
    <x v="0"/>
    <n v="1098"/>
    <n v="2"/>
    <s v="Male"/>
    <n v="91"/>
    <n v="2"/>
    <n v="3"/>
    <s v="Human Resources"/>
    <n v="1"/>
    <s v="Married"/>
    <n v="10482"/>
    <n v="2326"/>
    <n v="9"/>
    <s v="Y"/>
    <x v="1"/>
    <n v="14"/>
    <n v="3"/>
    <n v="4"/>
    <n v="80"/>
    <n v="1"/>
    <n v="24"/>
    <n v="1"/>
    <n v="3"/>
    <n v="20"/>
    <n v="6"/>
    <n v="3"/>
    <n v="6"/>
    <s v="High"/>
    <s v="High"/>
    <s v="High"/>
  </r>
  <r>
    <n v="33"/>
    <x v="1"/>
    <s v="Travel_Rarely"/>
    <n v="654"/>
    <x v="1"/>
    <n v="5"/>
    <n v="3"/>
    <s v="Life Sciences"/>
    <x v="0"/>
    <n v="1099"/>
    <n v="4"/>
    <s v="Male"/>
    <n v="34"/>
    <n v="2"/>
    <n v="3"/>
    <s v="Healthcare Representative"/>
    <n v="4"/>
    <s v="Divorced"/>
    <n v="7119"/>
    <n v="21214"/>
    <n v="4"/>
    <s v="Y"/>
    <x v="1"/>
    <n v="15"/>
    <n v="3"/>
    <n v="3"/>
    <n v="80"/>
    <n v="1"/>
    <n v="9"/>
    <n v="2"/>
    <n v="3"/>
    <n v="3"/>
    <n v="2"/>
    <n v="1"/>
    <n v="2"/>
    <s v="High"/>
    <s v="Medium"/>
    <s v="Experienced"/>
  </r>
  <r>
    <n v="35"/>
    <x v="0"/>
    <s v="Travel_Rarely"/>
    <n v="1204"/>
    <x v="0"/>
    <n v="4"/>
    <n v="3"/>
    <s v="Technical Degree"/>
    <x v="0"/>
    <n v="1100"/>
    <n v="4"/>
    <s v="Male"/>
    <n v="86"/>
    <n v="3"/>
    <n v="3"/>
    <s v="Sales Executive"/>
    <n v="1"/>
    <s v="Single"/>
    <n v="9582"/>
    <n v="10333"/>
    <n v="0"/>
    <s v="Y"/>
    <x v="0"/>
    <n v="22"/>
    <n v="4"/>
    <n v="1"/>
    <n v="80"/>
    <n v="0"/>
    <n v="9"/>
    <n v="2"/>
    <n v="3"/>
    <n v="8"/>
    <n v="7"/>
    <n v="4"/>
    <n v="7"/>
    <s v="High"/>
    <s v="High"/>
    <s v="High"/>
  </r>
  <r>
    <n v="33"/>
    <x v="0"/>
    <s v="Travel_Frequently"/>
    <n v="827"/>
    <x v="1"/>
    <n v="29"/>
    <n v="4"/>
    <s v="Medical"/>
    <x v="0"/>
    <n v="1101"/>
    <n v="1"/>
    <s v="Female"/>
    <n v="54"/>
    <n v="2"/>
    <n v="2"/>
    <s v="Research Scientist"/>
    <n v="3"/>
    <s v="Single"/>
    <n v="4508"/>
    <n v="3129"/>
    <n v="1"/>
    <s v="Y"/>
    <x v="1"/>
    <n v="22"/>
    <n v="4"/>
    <n v="2"/>
    <n v="80"/>
    <n v="0"/>
    <n v="14"/>
    <n v="4"/>
    <n v="3"/>
    <n v="13"/>
    <n v="7"/>
    <n v="3"/>
    <n v="8"/>
    <s v="Low"/>
    <s v="Medium"/>
    <s v="High"/>
  </r>
  <r>
    <n v="28"/>
    <x v="1"/>
    <s v="Travel_Rarely"/>
    <n v="895"/>
    <x v="1"/>
    <n v="15"/>
    <n v="2"/>
    <s v="Life Sciences"/>
    <x v="0"/>
    <n v="1102"/>
    <n v="1"/>
    <s v="Male"/>
    <n v="50"/>
    <n v="3"/>
    <n v="1"/>
    <s v="Laboratory Technician"/>
    <n v="3"/>
    <s v="Divorced"/>
    <n v="2207"/>
    <n v="22482"/>
    <n v="1"/>
    <s v="Y"/>
    <x v="1"/>
    <n v="16"/>
    <n v="3"/>
    <n v="4"/>
    <n v="80"/>
    <n v="1"/>
    <n v="4"/>
    <n v="5"/>
    <n v="2"/>
    <n v="4"/>
    <n v="2"/>
    <n v="2"/>
    <n v="2"/>
    <s v="Low"/>
    <s v="Low"/>
    <s v="Experienced"/>
  </r>
  <r>
    <n v="34"/>
    <x v="1"/>
    <s v="Travel_Frequently"/>
    <n v="618"/>
    <x v="1"/>
    <n v="3"/>
    <n v="1"/>
    <s v="Life Sciences"/>
    <x v="0"/>
    <n v="1103"/>
    <n v="1"/>
    <s v="Male"/>
    <n v="45"/>
    <n v="3"/>
    <n v="2"/>
    <s v="Healthcare Representative"/>
    <n v="4"/>
    <s v="Single"/>
    <n v="7756"/>
    <n v="22266"/>
    <n v="0"/>
    <s v="Y"/>
    <x v="1"/>
    <n v="17"/>
    <n v="3"/>
    <n v="3"/>
    <n v="80"/>
    <n v="0"/>
    <n v="7"/>
    <n v="1"/>
    <n v="2"/>
    <n v="6"/>
    <n v="2"/>
    <n v="0"/>
    <n v="4"/>
    <s v="High"/>
    <s v="Medium"/>
    <s v="Experienced"/>
  </r>
  <r>
    <n v="37"/>
    <x v="1"/>
    <s v="Travel_Rarely"/>
    <n v="309"/>
    <x v="0"/>
    <n v="10"/>
    <n v="4"/>
    <s v="Life Sciences"/>
    <x v="0"/>
    <n v="1105"/>
    <n v="4"/>
    <s v="Female"/>
    <n v="88"/>
    <n v="2"/>
    <n v="2"/>
    <s v="Sales Executive"/>
    <n v="4"/>
    <s v="Divorced"/>
    <n v="6694"/>
    <n v="24223"/>
    <n v="2"/>
    <s v="Y"/>
    <x v="0"/>
    <n v="14"/>
    <n v="3"/>
    <n v="3"/>
    <n v="80"/>
    <n v="3"/>
    <n v="8"/>
    <n v="5"/>
    <n v="3"/>
    <n v="1"/>
    <n v="0"/>
    <n v="0"/>
    <n v="0"/>
    <s v="High"/>
    <s v="Medium"/>
    <s v="new"/>
  </r>
  <r>
    <n v="25"/>
    <x v="0"/>
    <s v="Travel_Rarely"/>
    <n v="1219"/>
    <x v="1"/>
    <n v="4"/>
    <n v="1"/>
    <s v="Technical Degree"/>
    <x v="0"/>
    <n v="1106"/>
    <n v="4"/>
    <s v="Male"/>
    <n v="32"/>
    <n v="3"/>
    <n v="1"/>
    <s v="Laboratory Technician"/>
    <n v="4"/>
    <s v="Married"/>
    <n v="3691"/>
    <n v="4605"/>
    <n v="1"/>
    <s v="Y"/>
    <x v="0"/>
    <n v="15"/>
    <n v="3"/>
    <n v="2"/>
    <n v="80"/>
    <n v="1"/>
    <n v="7"/>
    <n v="3"/>
    <n v="4"/>
    <n v="7"/>
    <n v="7"/>
    <n v="5"/>
    <n v="6"/>
    <s v="Low"/>
    <s v="Low"/>
    <s v="Experienced"/>
  </r>
  <r>
    <n v="26"/>
    <x v="0"/>
    <s v="Travel_Rarely"/>
    <n v="1330"/>
    <x v="1"/>
    <n v="21"/>
    <n v="3"/>
    <s v="Medical"/>
    <x v="0"/>
    <n v="1107"/>
    <n v="1"/>
    <s v="Male"/>
    <n v="37"/>
    <n v="3"/>
    <n v="1"/>
    <s v="Laboratory Technician"/>
    <n v="3"/>
    <s v="Divorced"/>
    <n v="2377"/>
    <n v="19373"/>
    <n v="1"/>
    <s v="Y"/>
    <x v="1"/>
    <n v="20"/>
    <n v="4"/>
    <n v="3"/>
    <n v="80"/>
    <n v="1"/>
    <n v="1"/>
    <n v="0"/>
    <n v="2"/>
    <n v="1"/>
    <n v="1"/>
    <n v="0"/>
    <n v="0"/>
    <s v="Low"/>
    <s v="Low"/>
    <s v="new"/>
  </r>
  <r>
    <n v="33"/>
    <x v="0"/>
    <s v="Travel_Rarely"/>
    <n v="1017"/>
    <x v="1"/>
    <n v="25"/>
    <n v="3"/>
    <s v="Medical"/>
    <x v="0"/>
    <n v="1108"/>
    <n v="1"/>
    <s v="Male"/>
    <n v="55"/>
    <n v="2"/>
    <n v="1"/>
    <s v="Research Scientist"/>
    <n v="2"/>
    <s v="Single"/>
    <n v="2313"/>
    <n v="2993"/>
    <n v="4"/>
    <s v="Y"/>
    <x v="0"/>
    <n v="20"/>
    <n v="4"/>
    <n v="2"/>
    <n v="80"/>
    <n v="0"/>
    <n v="5"/>
    <n v="0"/>
    <n v="3"/>
    <n v="2"/>
    <n v="2"/>
    <n v="2"/>
    <n v="2"/>
    <s v="Low"/>
    <s v="Low"/>
    <s v="new"/>
  </r>
  <r>
    <n v="42"/>
    <x v="1"/>
    <s v="Travel_Rarely"/>
    <n v="469"/>
    <x v="1"/>
    <n v="2"/>
    <n v="2"/>
    <s v="Medical"/>
    <x v="0"/>
    <n v="1109"/>
    <n v="4"/>
    <s v="Male"/>
    <n v="35"/>
    <n v="3"/>
    <n v="4"/>
    <s v="Manager"/>
    <n v="1"/>
    <s v="Married"/>
    <n v="17665"/>
    <n v="14399"/>
    <n v="0"/>
    <s v="Y"/>
    <x v="1"/>
    <n v="17"/>
    <n v="3"/>
    <n v="4"/>
    <n v="80"/>
    <n v="1"/>
    <n v="23"/>
    <n v="3"/>
    <n v="3"/>
    <n v="22"/>
    <n v="6"/>
    <n v="13"/>
    <n v="7"/>
    <s v="High"/>
    <s v="High"/>
    <s v="High"/>
  </r>
  <r>
    <n v="28"/>
    <x v="0"/>
    <s v="Travel_Frequently"/>
    <n v="1009"/>
    <x v="1"/>
    <n v="1"/>
    <n v="3"/>
    <s v="Medical"/>
    <x v="0"/>
    <n v="1111"/>
    <n v="1"/>
    <s v="Male"/>
    <n v="45"/>
    <n v="2"/>
    <n v="1"/>
    <s v="Laboratory Technician"/>
    <n v="2"/>
    <s v="Divorced"/>
    <n v="2596"/>
    <n v="7160"/>
    <n v="1"/>
    <s v="Y"/>
    <x v="1"/>
    <n v="15"/>
    <n v="3"/>
    <n v="1"/>
    <n v="80"/>
    <n v="2"/>
    <n v="1"/>
    <n v="2"/>
    <n v="3"/>
    <n v="1"/>
    <n v="0"/>
    <n v="0"/>
    <n v="0"/>
    <s v="Low"/>
    <s v="Low"/>
    <s v="new"/>
  </r>
  <r>
    <n v="50"/>
    <x v="0"/>
    <s v="Travel_Frequently"/>
    <n v="959"/>
    <x v="0"/>
    <n v="1"/>
    <n v="4"/>
    <s v="Other"/>
    <x v="0"/>
    <n v="1113"/>
    <n v="4"/>
    <s v="Male"/>
    <n v="81"/>
    <n v="3"/>
    <n v="2"/>
    <s v="Sales Executive"/>
    <n v="3"/>
    <s v="Single"/>
    <n v="4728"/>
    <n v="17251"/>
    <n v="3"/>
    <s v="Y"/>
    <x v="0"/>
    <n v="14"/>
    <n v="3"/>
    <n v="4"/>
    <n v="80"/>
    <n v="0"/>
    <n v="5"/>
    <n v="4"/>
    <n v="3"/>
    <n v="0"/>
    <n v="0"/>
    <n v="0"/>
    <n v="0"/>
    <s v="Low"/>
    <s v="Medium"/>
    <s v="new"/>
  </r>
  <r>
    <n v="33"/>
    <x v="1"/>
    <s v="Travel_Frequently"/>
    <n v="970"/>
    <x v="0"/>
    <n v="7"/>
    <n v="3"/>
    <s v="Life Sciences"/>
    <x v="0"/>
    <n v="1114"/>
    <n v="4"/>
    <s v="Female"/>
    <n v="30"/>
    <n v="3"/>
    <n v="2"/>
    <s v="Sales Executive"/>
    <n v="2"/>
    <s v="Married"/>
    <n v="4302"/>
    <n v="13401"/>
    <n v="0"/>
    <s v="Y"/>
    <x v="1"/>
    <n v="17"/>
    <n v="3"/>
    <n v="3"/>
    <n v="80"/>
    <n v="1"/>
    <n v="4"/>
    <n v="3"/>
    <n v="3"/>
    <n v="3"/>
    <n v="2"/>
    <n v="0"/>
    <n v="2"/>
    <s v="Low"/>
    <s v="Medium"/>
    <s v="Experienced"/>
  </r>
  <r>
    <n v="34"/>
    <x v="1"/>
    <s v="Non-Travel"/>
    <n v="697"/>
    <x v="1"/>
    <n v="3"/>
    <n v="4"/>
    <s v="Life Sciences"/>
    <x v="0"/>
    <n v="1115"/>
    <n v="3"/>
    <s v="Male"/>
    <n v="40"/>
    <n v="2"/>
    <n v="1"/>
    <s v="Research Scientist"/>
    <n v="4"/>
    <s v="Married"/>
    <n v="2979"/>
    <n v="22478"/>
    <n v="3"/>
    <s v="Y"/>
    <x v="1"/>
    <n v="17"/>
    <n v="3"/>
    <n v="4"/>
    <n v="80"/>
    <n v="3"/>
    <n v="6"/>
    <n v="2"/>
    <n v="3"/>
    <n v="0"/>
    <n v="0"/>
    <n v="0"/>
    <n v="0"/>
    <s v="Low"/>
    <s v="Low"/>
    <s v="new"/>
  </r>
  <r>
    <n v="48"/>
    <x v="1"/>
    <s v="Non-Travel"/>
    <n v="1262"/>
    <x v="1"/>
    <n v="1"/>
    <n v="4"/>
    <s v="Medical"/>
    <x v="0"/>
    <n v="1116"/>
    <n v="1"/>
    <s v="Male"/>
    <n v="35"/>
    <n v="4"/>
    <n v="4"/>
    <s v="Manager"/>
    <n v="4"/>
    <s v="Single"/>
    <n v="16885"/>
    <n v="16154"/>
    <n v="2"/>
    <s v="Y"/>
    <x v="1"/>
    <n v="22"/>
    <n v="4"/>
    <n v="3"/>
    <n v="80"/>
    <n v="0"/>
    <n v="27"/>
    <n v="3"/>
    <n v="2"/>
    <n v="5"/>
    <n v="4"/>
    <n v="2"/>
    <n v="1"/>
    <s v="High"/>
    <s v="High"/>
    <s v="Experienced"/>
  </r>
  <r>
    <n v="45"/>
    <x v="1"/>
    <s v="Non-Travel"/>
    <n v="1050"/>
    <x v="0"/>
    <n v="9"/>
    <n v="4"/>
    <s v="Life Sciences"/>
    <x v="0"/>
    <n v="1117"/>
    <n v="2"/>
    <s v="Female"/>
    <n v="65"/>
    <n v="2"/>
    <n v="2"/>
    <s v="Sales Executive"/>
    <n v="3"/>
    <s v="Married"/>
    <n v="5593"/>
    <n v="17970"/>
    <n v="1"/>
    <s v="Y"/>
    <x v="1"/>
    <n v="13"/>
    <n v="3"/>
    <n v="4"/>
    <n v="80"/>
    <n v="1"/>
    <n v="15"/>
    <n v="2"/>
    <n v="3"/>
    <n v="15"/>
    <n v="10"/>
    <n v="4"/>
    <n v="12"/>
    <s v="Low"/>
    <s v="Medium"/>
    <s v="High"/>
  </r>
  <r>
    <n v="52"/>
    <x v="1"/>
    <s v="Travel_Rarely"/>
    <n v="994"/>
    <x v="1"/>
    <n v="7"/>
    <n v="4"/>
    <s v="Life Sciences"/>
    <x v="0"/>
    <n v="1118"/>
    <n v="2"/>
    <s v="Male"/>
    <n v="87"/>
    <n v="3"/>
    <n v="3"/>
    <s v="Healthcare Representative"/>
    <n v="2"/>
    <s v="Single"/>
    <n v="10445"/>
    <n v="15322"/>
    <n v="7"/>
    <s v="Y"/>
    <x v="1"/>
    <n v="19"/>
    <n v="3"/>
    <n v="4"/>
    <n v="80"/>
    <n v="0"/>
    <n v="18"/>
    <n v="4"/>
    <n v="3"/>
    <n v="8"/>
    <n v="6"/>
    <n v="4"/>
    <n v="0"/>
    <s v="High"/>
    <s v="High"/>
    <s v="High"/>
  </r>
  <r>
    <n v="38"/>
    <x v="1"/>
    <s v="Travel_Rarely"/>
    <n v="770"/>
    <x v="0"/>
    <n v="10"/>
    <n v="4"/>
    <s v="Marketing"/>
    <x v="0"/>
    <n v="1119"/>
    <n v="3"/>
    <s v="Male"/>
    <n v="73"/>
    <n v="2"/>
    <n v="3"/>
    <s v="Sales Executive"/>
    <n v="3"/>
    <s v="Divorced"/>
    <n v="8740"/>
    <n v="5569"/>
    <n v="0"/>
    <s v="Y"/>
    <x v="0"/>
    <n v="14"/>
    <n v="3"/>
    <n v="2"/>
    <n v="80"/>
    <n v="2"/>
    <n v="9"/>
    <n v="2"/>
    <n v="3"/>
    <n v="8"/>
    <n v="7"/>
    <n v="2"/>
    <n v="7"/>
    <s v="High"/>
    <s v="High"/>
    <s v="High"/>
  </r>
  <r>
    <n v="29"/>
    <x v="1"/>
    <s v="Travel_Rarely"/>
    <n v="1107"/>
    <x v="1"/>
    <n v="28"/>
    <n v="4"/>
    <s v="Life Sciences"/>
    <x v="0"/>
    <n v="1120"/>
    <n v="3"/>
    <s v="Female"/>
    <n v="93"/>
    <n v="3"/>
    <n v="1"/>
    <s v="Research Scientist"/>
    <n v="4"/>
    <s v="Divorced"/>
    <n v="2514"/>
    <n v="26968"/>
    <n v="4"/>
    <s v="Y"/>
    <x v="1"/>
    <n v="22"/>
    <n v="4"/>
    <n v="1"/>
    <n v="80"/>
    <n v="1"/>
    <n v="11"/>
    <n v="1"/>
    <n v="3"/>
    <n v="7"/>
    <n v="5"/>
    <n v="1"/>
    <n v="7"/>
    <s v="Low"/>
    <s v="Low"/>
    <s v="Experienced"/>
  </r>
  <r>
    <n v="28"/>
    <x v="1"/>
    <s v="Travel_Rarely"/>
    <n v="950"/>
    <x v="1"/>
    <n v="3"/>
    <n v="3"/>
    <s v="Medical"/>
    <x v="0"/>
    <n v="1121"/>
    <n v="4"/>
    <s v="Female"/>
    <n v="93"/>
    <n v="3"/>
    <n v="3"/>
    <s v="Manufacturing Director"/>
    <n v="2"/>
    <s v="Divorced"/>
    <n v="7655"/>
    <n v="8039"/>
    <n v="0"/>
    <s v="Y"/>
    <x v="1"/>
    <n v="17"/>
    <n v="3"/>
    <n v="2"/>
    <n v="80"/>
    <n v="3"/>
    <n v="10"/>
    <n v="3"/>
    <n v="2"/>
    <n v="9"/>
    <n v="7"/>
    <n v="1"/>
    <n v="7"/>
    <s v="High"/>
    <s v="Medium"/>
    <s v="High"/>
  </r>
  <r>
    <n v="46"/>
    <x v="1"/>
    <s v="Travel_Rarely"/>
    <n v="406"/>
    <x v="0"/>
    <n v="3"/>
    <n v="1"/>
    <s v="Marketing"/>
    <x v="0"/>
    <n v="1124"/>
    <n v="1"/>
    <s v="Male"/>
    <n v="52"/>
    <n v="3"/>
    <n v="4"/>
    <s v="Manager"/>
    <n v="3"/>
    <s v="Married"/>
    <n v="17465"/>
    <n v="15596"/>
    <n v="3"/>
    <s v="Y"/>
    <x v="1"/>
    <n v="12"/>
    <n v="3"/>
    <n v="4"/>
    <n v="80"/>
    <n v="1"/>
    <n v="23"/>
    <n v="3"/>
    <n v="3"/>
    <n v="12"/>
    <n v="9"/>
    <n v="4"/>
    <n v="9"/>
    <s v="High"/>
    <s v="High"/>
    <s v="High"/>
  </r>
  <r>
    <n v="38"/>
    <x v="1"/>
    <s v="Travel_Rarely"/>
    <n v="130"/>
    <x v="0"/>
    <n v="2"/>
    <n v="2"/>
    <s v="Marketing"/>
    <x v="0"/>
    <n v="1125"/>
    <n v="4"/>
    <s v="Male"/>
    <n v="32"/>
    <n v="3"/>
    <n v="3"/>
    <s v="Sales Executive"/>
    <n v="2"/>
    <s v="Single"/>
    <n v="7351"/>
    <n v="20619"/>
    <n v="7"/>
    <s v="Y"/>
    <x v="1"/>
    <n v="16"/>
    <n v="3"/>
    <n v="3"/>
    <n v="80"/>
    <n v="0"/>
    <n v="10"/>
    <n v="2"/>
    <n v="3"/>
    <n v="1"/>
    <n v="0"/>
    <n v="0"/>
    <n v="0"/>
    <s v="High"/>
    <s v="Medium"/>
    <s v="new"/>
  </r>
  <r>
    <n v="43"/>
    <x v="1"/>
    <s v="Travel_Frequently"/>
    <n v="1082"/>
    <x v="1"/>
    <n v="27"/>
    <n v="3"/>
    <s v="Life Sciences"/>
    <x v="0"/>
    <n v="1126"/>
    <n v="3"/>
    <s v="Female"/>
    <n v="83"/>
    <n v="3"/>
    <n v="3"/>
    <s v="Manufacturing Director"/>
    <n v="1"/>
    <s v="Married"/>
    <n v="10820"/>
    <n v="11535"/>
    <n v="8"/>
    <s v="Y"/>
    <x v="1"/>
    <n v="11"/>
    <n v="3"/>
    <n v="3"/>
    <n v="80"/>
    <n v="1"/>
    <n v="18"/>
    <n v="1"/>
    <n v="3"/>
    <n v="8"/>
    <n v="7"/>
    <n v="0"/>
    <n v="1"/>
    <s v="High"/>
    <s v="High"/>
    <s v="High"/>
  </r>
  <r>
    <n v="39"/>
    <x v="0"/>
    <s v="Travel_Frequently"/>
    <n v="203"/>
    <x v="1"/>
    <n v="2"/>
    <n v="3"/>
    <s v="Life Sciences"/>
    <x v="0"/>
    <n v="1127"/>
    <n v="1"/>
    <s v="Male"/>
    <n v="84"/>
    <n v="3"/>
    <n v="4"/>
    <s v="Healthcare Representative"/>
    <n v="4"/>
    <s v="Divorced"/>
    <n v="12169"/>
    <n v="13547"/>
    <n v="7"/>
    <s v="Y"/>
    <x v="1"/>
    <n v="11"/>
    <n v="3"/>
    <n v="4"/>
    <n v="80"/>
    <n v="3"/>
    <n v="21"/>
    <n v="4"/>
    <n v="3"/>
    <n v="18"/>
    <n v="7"/>
    <n v="11"/>
    <n v="5"/>
    <s v="High"/>
    <s v="High"/>
    <s v="High"/>
  </r>
  <r>
    <n v="40"/>
    <x v="1"/>
    <s v="Travel_Rarely"/>
    <n v="1308"/>
    <x v="1"/>
    <n v="14"/>
    <n v="3"/>
    <s v="Medical"/>
    <x v="0"/>
    <n v="1128"/>
    <n v="3"/>
    <s v="Male"/>
    <n v="44"/>
    <n v="2"/>
    <n v="5"/>
    <s v="Research Director"/>
    <n v="3"/>
    <s v="Single"/>
    <n v="19626"/>
    <n v="17544"/>
    <n v="1"/>
    <s v="Y"/>
    <x v="1"/>
    <n v="14"/>
    <n v="3"/>
    <n v="1"/>
    <n v="80"/>
    <n v="0"/>
    <n v="21"/>
    <n v="2"/>
    <n v="4"/>
    <n v="20"/>
    <n v="7"/>
    <n v="4"/>
    <n v="9"/>
    <s v="High"/>
    <s v="High"/>
    <s v="High"/>
  </r>
  <r>
    <n v="21"/>
    <x v="1"/>
    <s v="Travel_Rarely"/>
    <n v="984"/>
    <x v="1"/>
    <n v="1"/>
    <n v="1"/>
    <s v="Technical Degree"/>
    <x v="0"/>
    <n v="1131"/>
    <n v="4"/>
    <s v="Female"/>
    <n v="70"/>
    <n v="2"/>
    <n v="1"/>
    <s v="Research Scientist"/>
    <n v="2"/>
    <s v="Single"/>
    <n v="2070"/>
    <n v="25326"/>
    <n v="1"/>
    <s v="Y"/>
    <x v="0"/>
    <n v="11"/>
    <n v="3"/>
    <n v="3"/>
    <n v="80"/>
    <n v="0"/>
    <n v="2"/>
    <n v="6"/>
    <n v="4"/>
    <n v="2"/>
    <n v="2"/>
    <n v="2"/>
    <n v="2"/>
    <s v="Low"/>
    <s v="Low"/>
    <s v="new"/>
  </r>
  <r>
    <n v="39"/>
    <x v="1"/>
    <s v="Non-Travel"/>
    <n v="439"/>
    <x v="1"/>
    <n v="9"/>
    <n v="3"/>
    <s v="Life Sciences"/>
    <x v="0"/>
    <n v="1132"/>
    <n v="3"/>
    <s v="Male"/>
    <n v="70"/>
    <n v="3"/>
    <n v="2"/>
    <s v="Laboratory Technician"/>
    <n v="2"/>
    <s v="Single"/>
    <n v="6782"/>
    <n v="8770"/>
    <n v="9"/>
    <s v="Y"/>
    <x v="1"/>
    <n v="15"/>
    <n v="3"/>
    <n v="3"/>
    <n v="80"/>
    <n v="0"/>
    <n v="9"/>
    <n v="2"/>
    <n v="2"/>
    <n v="5"/>
    <n v="4"/>
    <n v="0"/>
    <n v="3"/>
    <s v="High"/>
    <s v="Medium"/>
    <s v="Experienced"/>
  </r>
  <r>
    <n v="36"/>
    <x v="1"/>
    <s v="Non-Travel"/>
    <n v="217"/>
    <x v="1"/>
    <n v="18"/>
    <n v="4"/>
    <s v="Life Sciences"/>
    <x v="0"/>
    <n v="1133"/>
    <n v="1"/>
    <s v="Male"/>
    <n v="78"/>
    <n v="3"/>
    <n v="2"/>
    <s v="Manufacturing Director"/>
    <n v="4"/>
    <s v="Single"/>
    <n v="7779"/>
    <n v="23238"/>
    <n v="2"/>
    <s v="Y"/>
    <x v="1"/>
    <n v="20"/>
    <n v="4"/>
    <n v="1"/>
    <n v="80"/>
    <n v="0"/>
    <n v="18"/>
    <n v="0"/>
    <n v="3"/>
    <n v="11"/>
    <n v="9"/>
    <n v="0"/>
    <n v="9"/>
    <s v="High"/>
    <s v="Medium"/>
    <s v="High"/>
  </r>
  <r>
    <n v="31"/>
    <x v="1"/>
    <s v="Travel_Frequently"/>
    <n v="793"/>
    <x v="0"/>
    <n v="20"/>
    <n v="3"/>
    <s v="Life Sciences"/>
    <x v="0"/>
    <n v="1135"/>
    <n v="3"/>
    <s v="Male"/>
    <n v="67"/>
    <n v="4"/>
    <n v="1"/>
    <s v="Sales Representative"/>
    <n v="4"/>
    <s v="Married"/>
    <n v="2791"/>
    <n v="21981"/>
    <n v="0"/>
    <s v="Y"/>
    <x v="1"/>
    <n v="12"/>
    <n v="3"/>
    <n v="1"/>
    <n v="80"/>
    <n v="1"/>
    <n v="3"/>
    <n v="4"/>
    <n v="3"/>
    <n v="2"/>
    <n v="2"/>
    <n v="2"/>
    <n v="2"/>
    <s v="Low"/>
    <s v="Low"/>
    <s v="new"/>
  </r>
  <r>
    <n v="28"/>
    <x v="1"/>
    <s v="Travel_Rarely"/>
    <n v="1451"/>
    <x v="1"/>
    <n v="2"/>
    <n v="1"/>
    <s v="Life Sciences"/>
    <x v="0"/>
    <n v="1136"/>
    <n v="1"/>
    <s v="Male"/>
    <n v="67"/>
    <n v="2"/>
    <n v="1"/>
    <s v="Research Scientist"/>
    <n v="2"/>
    <s v="Married"/>
    <n v="3201"/>
    <n v="19911"/>
    <n v="0"/>
    <s v="Y"/>
    <x v="1"/>
    <n v="17"/>
    <n v="3"/>
    <n v="1"/>
    <n v="80"/>
    <n v="0"/>
    <n v="6"/>
    <n v="2"/>
    <n v="1"/>
    <n v="5"/>
    <n v="3"/>
    <n v="0"/>
    <n v="4"/>
    <s v="Low"/>
    <s v="Low"/>
    <s v="Experienced"/>
  </r>
  <r>
    <n v="35"/>
    <x v="1"/>
    <s v="Travel_Frequently"/>
    <n v="1182"/>
    <x v="0"/>
    <n v="11"/>
    <n v="2"/>
    <s v="Marketing"/>
    <x v="0"/>
    <n v="1137"/>
    <n v="4"/>
    <s v="Male"/>
    <n v="54"/>
    <n v="3"/>
    <n v="2"/>
    <s v="Sales Executive"/>
    <n v="4"/>
    <s v="Divorced"/>
    <n v="4968"/>
    <n v="18500"/>
    <n v="1"/>
    <s v="Y"/>
    <x v="1"/>
    <n v="11"/>
    <n v="3"/>
    <n v="4"/>
    <n v="80"/>
    <n v="1"/>
    <n v="5"/>
    <n v="3"/>
    <n v="3"/>
    <n v="5"/>
    <n v="2"/>
    <n v="0"/>
    <n v="2"/>
    <s v="Low"/>
    <s v="Medium"/>
    <s v="Experienced"/>
  </r>
  <r>
    <n v="49"/>
    <x v="1"/>
    <s v="Travel_Rarely"/>
    <n v="174"/>
    <x v="0"/>
    <n v="8"/>
    <n v="4"/>
    <s v="Technical Degree"/>
    <x v="0"/>
    <n v="1138"/>
    <n v="4"/>
    <s v="Male"/>
    <n v="56"/>
    <n v="2"/>
    <n v="4"/>
    <s v="Sales Executive"/>
    <n v="2"/>
    <s v="Married"/>
    <n v="13120"/>
    <n v="11879"/>
    <n v="6"/>
    <s v="Y"/>
    <x v="1"/>
    <n v="17"/>
    <n v="3"/>
    <n v="2"/>
    <n v="80"/>
    <n v="1"/>
    <n v="22"/>
    <n v="3"/>
    <n v="3"/>
    <n v="9"/>
    <n v="8"/>
    <n v="2"/>
    <n v="3"/>
    <s v="High"/>
    <s v="High"/>
    <s v="High"/>
  </r>
  <r>
    <n v="34"/>
    <x v="1"/>
    <s v="Travel_Frequently"/>
    <n v="1003"/>
    <x v="1"/>
    <n v="2"/>
    <n v="2"/>
    <s v="Life Sciences"/>
    <x v="0"/>
    <n v="1140"/>
    <n v="4"/>
    <s v="Male"/>
    <n v="95"/>
    <n v="3"/>
    <n v="2"/>
    <s v="Manufacturing Director"/>
    <n v="3"/>
    <s v="Single"/>
    <n v="4033"/>
    <n v="15834"/>
    <n v="2"/>
    <s v="Y"/>
    <x v="1"/>
    <n v="11"/>
    <n v="3"/>
    <n v="4"/>
    <n v="80"/>
    <n v="0"/>
    <n v="5"/>
    <n v="3"/>
    <n v="2"/>
    <n v="3"/>
    <n v="2"/>
    <n v="0"/>
    <n v="2"/>
    <s v="Low"/>
    <s v="Medium"/>
    <s v="Experienced"/>
  </r>
  <r>
    <n v="29"/>
    <x v="1"/>
    <s v="Travel_Frequently"/>
    <n v="490"/>
    <x v="1"/>
    <n v="10"/>
    <n v="3"/>
    <s v="Life Sciences"/>
    <x v="0"/>
    <n v="1143"/>
    <n v="4"/>
    <s v="Female"/>
    <n v="61"/>
    <n v="3"/>
    <n v="1"/>
    <s v="Research Scientist"/>
    <n v="2"/>
    <s v="Divorced"/>
    <n v="3291"/>
    <n v="17940"/>
    <n v="0"/>
    <s v="Y"/>
    <x v="1"/>
    <n v="14"/>
    <n v="3"/>
    <n v="4"/>
    <n v="80"/>
    <n v="2"/>
    <n v="8"/>
    <n v="2"/>
    <n v="2"/>
    <n v="7"/>
    <n v="5"/>
    <n v="1"/>
    <n v="1"/>
    <s v="Low"/>
    <s v="Low"/>
    <s v="Experienced"/>
  </r>
  <r>
    <n v="42"/>
    <x v="1"/>
    <s v="Travel_Rarely"/>
    <n v="188"/>
    <x v="1"/>
    <n v="29"/>
    <n v="3"/>
    <s v="Medical"/>
    <x v="0"/>
    <n v="1148"/>
    <n v="2"/>
    <s v="Male"/>
    <n v="56"/>
    <n v="1"/>
    <n v="2"/>
    <s v="Laboratory Technician"/>
    <n v="4"/>
    <s v="Single"/>
    <n v="4272"/>
    <n v="9558"/>
    <n v="4"/>
    <s v="Y"/>
    <x v="1"/>
    <n v="19"/>
    <n v="3"/>
    <n v="1"/>
    <n v="80"/>
    <n v="0"/>
    <n v="16"/>
    <n v="3"/>
    <n v="3"/>
    <n v="1"/>
    <n v="0"/>
    <n v="0"/>
    <n v="0"/>
    <s v="Low"/>
    <s v="Medium"/>
    <s v="new"/>
  </r>
  <r>
    <n v="29"/>
    <x v="1"/>
    <s v="Travel_Rarely"/>
    <n v="718"/>
    <x v="1"/>
    <n v="8"/>
    <n v="1"/>
    <s v="Medical"/>
    <x v="0"/>
    <n v="1150"/>
    <n v="2"/>
    <s v="Male"/>
    <n v="79"/>
    <n v="2"/>
    <n v="2"/>
    <s v="Manufacturing Director"/>
    <n v="4"/>
    <s v="Married"/>
    <n v="5056"/>
    <n v="17689"/>
    <n v="1"/>
    <s v="Y"/>
    <x v="0"/>
    <n v="15"/>
    <n v="3"/>
    <n v="3"/>
    <n v="80"/>
    <n v="1"/>
    <n v="10"/>
    <n v="2"/>
    <n v="2"/>
    <n v="10"/>
    <n v="7"/>
    <n v="1"/>
    <n v="2"/>
    <s v="Low"/>
    <s v="Medium"/>
    <s v="High"/>
  </r>
  <r>
    <n v="38"/>
    <x v="1"/>
    <s v="Travel_Rarely"/>
    <n v="433"/>
    <x v="2"/>
    <n v="1"/>
    <n v="3"/>
    <s v="Human Resources"/>
    <x v="0"/>
    <n v="1152"/>
    <n v="3"/>
    <s v="Male"/>
    <n v="37"/>
    <n v="4"/>
    <n v="1"/>
    <s v="Human Resources"/>
    <n v="3"/>
    <s v="Married"/>
    <n v="2844"/>
    <n v="6004"/>
    <n v="1"/>
    <s v="Y"/>
    <x v="1"/>
    <n v="13"/>
    <n v="3"/>
    <n v="4"/>
    <n v="80"/>
    <n v="1"/>
    <n v="7"/>
    <n v="2"/>
    <n v="4"/>
    <n v="7"/>
    <n v="6"/>
    <n v="5"/>
    <n v="0"/>
    <s v="Low"/>
    <s v="Low"/>
    <s v="Experienced"/>
  </r>
  <r>
    <n v="28"/>
    <x v="1"/>
    <s v="Travel_Frequently"/>
    <n v="773"/>
    <x v="1"/>
    <n v="6"/>
    <n v="3"/>
    <s v="Life Sciences"/>
    <x v="0"/>
    <n v="1154"/>
    <n v="3"/>
    <s v="Male"/>
    <n v="39"/>
    <n v="2"/>
    <n v="1"/>
    <s v="Research Scientist"/>
    <n v="3"/>
    <s v="Divorced"/>
    <n v="2703"/>
    <n v="22088"/>
    <n v="1"/>
    <s v="Y"/>
    <x v="0"/>
    <n v="14"/>
    <n v="3"/>
    <n v="4"/>
    <n v="80"/>
    <n v="1"/>
    <n v="3"/>
    <n v="2"/>
    <n v="3"/>
    <n v="3"/>
    <n v="1"/>
    <n v="0"/>
    <n v="2"/>
    <s v="Low"/>
    <s v="Low"/>
    <s v="Experienced"/>
  </r>
  <r>
    <n v="18"/>
    <x v="0"/>
    <s v="Non-Travel"/>
    <n v="247"/>
    <x v="1"/>
    <n v="8"/>
    <n v="1"/>
    <s v="Medical"/>
    <x v="0"/>
    <n v="1156"/>
    <n v="3"/>
    <s v="Male"/>
    <n v="80"/>
    <n v="3"/>
    <n v="1"/>
    <s v="Laboratory Technician"/>
    <n v="3"/>
    <s v="Single"/>
    <n v="1904"/>
    <n v="13556"/>
    <n v="1"/>
    <s v="Y"/>
    <x v="1"/>
    <n v="12"/>
    <n v="3"/>
    <n v="4"/>
    <n v="80"/>
    <n v="0"/>
    <n v="0"/>
    <n v="0"/>
    <n v="3"/>
    <n v="0"/>
    <n v="0"/>
    <n v="0"/>
    <n v="0"/>
    <s v="Low"/>
    <s v="Low"/>
    <s v="new"/>
  </r>
  <r>
    <n v="33"/>
    <x v="0"/>
    <s v="Travel_Rarely"/>
    <n v="603"/>
    <x v="0"/>
    <n v="9"/>
    <n v="4"/>
    <s v="Marketing"/>
    <x v="0"/>
    <n v="1157"/>
    <n v="1"/>
    <s v="Female"/>
    <n v="77"/>
    <n v="3"/>
    <n v="2"/>
    <s v="Sales Executive"/>
    <n v="1"/>
    <s v="Single"/>
    <n v="8224"/>
    <n v="18385"/>
    <n v="0"/>
    <s v="Y"/>
    <x v="0"/>
    <n v="17"/>
    <n v="3"/>
    <n v="1"/>
    <n v="80"/>
    <n v="0"/>
    <n v="6"/>
    <n v="3"/>
    <n v="3"/>
    <n v="5"/>
    <n v="2"/>
    <n v="0"/>
    <n v="3"/>
    <s v="High"/>
    <s v="High"/>
    <s v="Experienced"/>
  </r>
  <r>
    <n v="41"/>
    <x v="1"/>
    <s v="Travel_Rarely"/>
    <n v="167"/>
    <x v="1"/>
    <n v="12"/>
    <n v="4"/>
    <s v="Life Sciences"/>
    <x v="0"/>
    <n v="1158"/>
    <n v="2"/>
    <s v="Male"/>
    <n v="46"/>
    <n v="3"/>
    <n v="1"/>
    <s v="Laboratory Technician"/>
    <n v="4"/>
    <s v="Married"/>
    <n v="4766"/>
    <n v="9051"/>
    <n v="3"/>
    <s v="Y"/>
    <x v="0"/>
    <n v="11"/>
    <n v="3"/>
    <n v="1"/>
    <n v="80"/>
    <n v="1"/>
    <n v="6"/>
    <n v="4"/>
    <n v="3"/>
    <n v="1"/>
    <n v="0"/>
    <n v="0"/>
    <n v="0"/>
    <s v="Low"/>
    <s v="Medium"/>
    <s v="new"/>
  </r>
  <r>
    <n v="31"/>
    <x v="0"/>
    <s v="Travel_Frequently"/>
    <n v="874"/>
    <x v="1"/>
    <n v="15"/>
    <n v="3"/>
    <s v="Medical"/>
    <x v="0"/>
    <n v="1160"/>
    <n v="3"/>
    <s v="Male"/>
    <n v="72"/>
    <n v="3"/>
    <n v="1"/>
    <s v="Laboratory Technician"/>
    <n v="3"/>
    <s v="Married"/>
    <n v="2610"/>
    <n v="6233"/>
    <n v="1"/>
    <s v="Y"/>
    <x v="1"/>
    <n v="12"/>
    <n v="3"/>
    <n v="3"/>
    <n v="80"/>
    <n v="1"/>
    <n v="2"/>
    <n v="5"/>
    <n v="2"/>
    <n v="2"/>
    <n v="2"/>
    <n v="2"/>
    <n v="2"/>
    <s v="Low"/>
    <s v="Low"/>
    <s v="new"/>
  </r>
  <r>
    <n v="37"/>
    <x v="1"/>
    <s v="Travel_Rarely"/>
    <n v="367"/>
    <x v="1"/>
    <n v="25"/>
    <n v="2"/>
    <s v="Medical"/>
    <x v="0"/>
    <n v="1161"/>
    <n v="3"/>
    <s v="Female"/>
    <n v="52"/>
    <n v="2"/>
    <n v="2"/>
    <s v="Healthcare Representative"/>
    <n v="4"/>
    <s v="Divorced"/>
    <n v="5731"/>
    <n v="17171"/>
    <n v="7"/>
    <s v="Y"/>
    <x v="1"/>
    <n v="13"/>
    <n v="3"/>
    <n v="3"/>
    <n v="80"/>
    <n v="2"/>
    <n v="9"/>
    <n v="2"/>
    <n v="3"/>
    <n v="6"/>
    <n v="2"/>
    <n v="1"/>
    <n v="3"/>
    <s v="Low"/>
    <s v="Medium"/>
    <s v="Experienced"/>
  </r>
  <r>
    <n v="27"/>
    <x v="1"/>
    <s v="Travel_Rarely"/>
    <n v="199"/>
    <x v="1"/>
    <n v="6"/>
    <n v="3"/>
    <s v="Life Sciences"/>
    <x v="0"/>
    <n v="1162"/>
    <n v="4"/>
    <s v="Male"/>
    <n v="55"/>
    <n v="2"/>
    <n v="1"/>
    <s v="Research Scientist"/>
    <n v="3"/>
    <s v="Married"/>
    <n v="2539"/>
    <n v="7950"/>
    <n v="1"/>
    <s v="Y"/>
    <x v="1"/>
    <n v="13"/>
    <n v="3"/>
    <n v="3"/>
    <n v="80"/>
    <n v="1"/>
    <n v="4"/>
    <n v="0"/>
    <n v="3"/>
    <n v="4"/>
    <n v="2"/>
    <n v="2"/>
    <n v="2"/>
    <s v="Low"/>
    <s v="Low"/>
    <s v="Experienced"/>
  </r>
  <r>
    <n v="34"/>
    <x v="1"/>
    <s v="Travel_Rarely"/>
    <n v="1400"/>
    <x v="0"/>
    <n v="9"/>
    <n v="1"/>
    <s v="Life Sciences"/>
    <x v="0"/>
    <n v="1163"/>
    <n v="2"/>
    <s v="Female"/>
    <n v="70"/>
    <n v="3"/>
    <n v="2"/>
    <s v="Sales Executive"/>
    <n v="3"/>
    <s v="Married"/>
    <n v="5714"/>
    <n v="5829"/>
    <n v="1"/>
    <s v="Y"/>
    <x v="1"/>
    <n v="20"/>
    <n v="4"/>
    <n v="1"/>
    <n v="80"/>
    <n v="0"/>
    <n v="6"/>
    <n v="3"/>
    <n v="2"/>
    <n v="6"/>
    <n v="5"/>
    <n v="1"/>
    <n v="3"/>
    <s v="Low"/>
    <s v="Medium"/>
    <s v="Experienced"/>
  </r>
  <r>
    <n v="35"/>
    <x v="1"/>
    <s v="Travel_Rarely"/>
    <n v="528"/>
    <x v="2"/>
    <n v="8"/>
    <n v="4"/>
    <s v="Technical Degree"/>
    <x v="0"/>
    <n v="1164"/>
    <n v="3"/>
    <s v="Male"/>
    <n v="100"/>
    <n v="3"/>
    <n v="1"/>
    <s v="Human Resources"/>
    <n v="3"/>
    <s v="Single"/>
    <n v="4323"/>
    <n v="7108"/>
    <n v="1"/>
    <s v="Y"/>
    <x v="1"/>
    <n v="17"/>
    <n v="3"/>
    <n v="2"/>
    <n v="80"/>
    <n v="0"/>
    <n v="6"/>
    <n v="2"/>
    <n v="1"/>
    <n v="5"/>
    <n v="4"/>
    <n v="1"/>
    <n v="4"/>
    <s v="Low"/>
    <s v="Medium"/>
    <s v="Experienced"/>
  </r>
  <r>
    <n v="29"/>
    <x v="0"/>
    <s v="Travel_Rarely"/>
    <n v="408"/>
    <x v="0"/>
    <n v="23"/>
    <n v="1"/>
    <s v="Life Sciences"/>
    <x v="0"/>
    <n v="1165"/>
    <n v="4"/>
    <s v="Female"/>
    <n v="45"/>
    <n v="2"/>
    <n v="3"/>
    <s v="Sales Executive"/>
    <n v="1"/>
    <s v="Married"/>
    <n v="7336"/>
    <n v="11162"/>
    <n v="1"/>
    <s v="Y"/>
    <x v="1"/>
    <n v="13"/>
    <n v="3"/>
    <n v="1"/>
    <n v="80"/>
    <n v="1"/>
    <n v="11"/>
    <n v="3"/>
    <n v="1"/>
    <n v="11"/>
    <n v="8"/>
    <n v="3"/>
    <n v="10"/>
    <s v="High"/>
    <s v="Medium"/>
    <s v="High"/>
  </r>
  <r>
    <n v="40"/>
    <x v="1"/>
    <s v="Travel_Frequently"/>
    <n v="593"/>
    <x v="1"/>
    <n v="9"/>
    <n v="4"/>
    <s v="Medical"/>
    <x v="0"/>
    <n v="1166"/>
    <n v="2"/>
    <s v="Female"/>
    <n v="88"/>
    <n v="3"/>
    <n v="3"/>
    <s v="Research Director"/>
    <n v="3"/>
    <s v="Single"/>
    <n v="13499"/>
    <n v="13782"/>
    <n v="9"/>
    <s v="Y"/>
    <x v="1"/>
    <n v="17"/>
    <n v="3"/>
    <n v="3"/>
    <n v="80"/>
    <n v="0"/>
    <n v="20"/>
    <n v="3"/>
    <n v="2"/>
    <n v="18"/>
    <n v="7"/>
    <n v="2"/>
    <n v="13"/>
    <s v="High"/>
    <s v="High"/>
    <s v="High"/>
  </r>
  <r>
    <n v="42"/>
    <x v="0"/>
    <s v="Travel_Frequently"/>
    <n v="481"/>
    <x v="0"/>
    <n v="12"/>
    <n v="3"/>
    <s v="Life Sciences"/>
    <x v="0"/>
    <n v="1167"/>
    <n v="3"/>
    <s v="Male"/>
    <n v="44"/>
    <n v="3"/>
    <n v="4"/>
    <s v="Sales Executive"/>
    <n v="1"/>
    <s v="Single"/>
    <n v="13758"/>
    <n v="2447"/>
    <n v="0"/>
    <s v="Y"/>
    <x v="0"/>
    <n v="12"/>
    <n v="3"/>
    <n v="2"/>
    <n v="80"/>
    <n v="0"/>
    <n v="22"/>
    <n v="2"/>
    <n v="2"/>
    <n v="21"/>
    <n v="9"/>
    <n v="13"/>
    <n v="14"/>
    <s v="High"/>
    <s v="High"/>
    <s v="High"/>
  </r>
  <r>
    <n v="42"/>
    <x v="1"/>
    <s v="Travel_Rarely"/>
    <n v="647"/>
    <x v="0"/>
    <n v="4"/>
    <n v="4"/>
    <s v="Marketing"/>
    <x v="0"/>
    <n v="1171"/>
    <n v="2"/>
    <s v="Male"/>
    <n v="45"/>
    <n v="3"/>
    <n v="2"/>
    <s v="Sales Executive"/>
    <n v="1"/>
    <s v="Single"/>
    <n v="5155"/>
    <n v="2253"/>
    <n v="7"/>
    <s v="Y"/>
    <x v="1"/>
    <n v="13"/>
    <n v="3"/>
    <n v="4"/>
    <n v="80"/>
    <n v="0"/>
    <n v="9"/>
    <n v="3"/>
    <n v="4"/>
    <n v="6"/>
    <n v="4"/>
    <n v="1"/>
    <n v="5"/>
    <s v="Low"/>
    <s v="Medium"/>
    <s v="Experienced"/>
  </r>
  <r>
    <n v="35"/>
    <x v="1"/>
    <s v="Travel_Rarely"/>
    <n v="982"/>
    <x v="1"/>
    <n v="1"/>
    <n v="4"/>
    <s v="Medical"/>
    <x v="0"/>
    <n v="1172"/>
    <n v="4"/>
    <s v="Male"/>
    <n v="58"/>
    <n v="2"/>
    <n v="1"/>
    <s v="Laboratory Technician"/>
    <n v="3"/>
    <s v="Married"/>
    <n v="2258"/>
    <n v="16340"/>
    <n v="6"/>
    <s v="Y"/>
    <x v="1"/>
    <n v="12"/>
    <n v="3"/>
    <n v="2"/>
    <n v="80"/>
    <n v="1"/>
    <n v="10"/>
    <n v="2"/>
    <n v="3"/>
    <n v="8"/>
    <n v="0"/>
    <n v="1"/>
    <n v="7"/>
    <s v="Low"/>
    <s v="Low"/>
    <s v="High"/>
  </r>
  <r>
    <n v="24"/>
    <x v="1"/>
    <s v="Travel_Rarely"/>
    <n v="477"/>
    <x v="1"/>
    <n v="24"/>
    <n v="3"/>
    <s v="Medical"/>
    <x v="0"/>
    <n v="1173"/>
    <n v="4"/>
    <s v="Male"/>
    <n v="49"/>
    <n v="3"/>
    <n v="1"/>
    <s v="Laboratory Technician"/>
    <n v="2"/>
    <s v="Single"/>
    <n v="3597"/>
    <n v="6409"/>
    <n v="8"/>
    <s v="Y"/>
    <x v="1"/>
    <n v="22"/>
    <n v="4"/>
    <n v="4"/>
    <n v="80"/>
    <n v="0"/>
    <n v="6"/>
    <n v="2"/>
    <n v="3"/>
    <n v="4"/>
    <n v="3"/>
    <n v="1"/>
    <n v="2"/>
    <s v="Low"/>
    <s v="Low"/>
    <s v="Experienced"/>
  </r>
  <r>
    <n v="28"/>
    <x v="0"/>
    <s v="Travel_Rarely"/>
    <n v="1485"/>
    <x v="1"/>
    <n v="12"/>
    <n v="1"/>
    <s v="Life Sciences"/>
    <x v="0"/>
    <n v="1175"/>
    <n v="3"/>
    <s v="Female"/>
    <n v="79"/>
    <n v="3"/>
    <n v="1"/>
    <s v="Laboratory Technician"/>
    <n v="4"/>
    <s v="Married"/>
    <n v="2515"/>
    <n v="22955"/>
    <n v="1"/>
    <s v="Y"/>
    <x v="0"/>
    <n v="11"/>
    <n v="3"/>
    <n v="4"/>
    <n v="80"/>
    <n v="0"/>
    <n v="1"/>
    <n v="4"/>
    <n v="2"/>
    <n v="1"/>
    <n v="1"/>
    <n v="0"/>
    <n v="0"/>
    <s v="Low"/>
    <s v="Low"/>
    <s v="new"/>
  </r>
  <r>
    <n v="26"/>
    <x v="1"/>
    <s v="Travel_Rarely"/>
    <n v="1384"/>
    <x v="1"/>
    <n v="3"/>
    <n v="4"/>
    <s v="Medical"/>
    <x v="0"/>
    <n v="1177"/>
    <n v="1"/>
    <s v="Male"/>
    <n v="82"/>
    <n v="4"/>
    <n v="1"/>
    <s v="Laboratory Technician"/>
    <n v="4"/>
    <s v="Married"/>
    <n v="4420"/>
    <n v="13421"/>
    <n v="1"/>
    <s v="Y"/>
    <x v="1"/>
    <n v="22"/>
    <n v="4"/>
    <n v="2"/>
    <n v="80"/>
    <n v="1"/>
    <n v="8"/>
    <n v="2"/>
    <n v="3"/>
    <n v="8"/>
    <n v="7"/>
    <n v="0"/>
    <n v="7"/>
    <s v="Low"/>
    <s v="Medium"/>
    <s v="High"/>
  </r>
  <r>
    <n v="30"/>
    <x v="1"/>
    <s v="Travel_Rarely"/>
    <n v="852"/>
    <x v="0"/>
    <n v="10"/>
    <n v="3"/>
    <s v="Marketing"/>
    <x v="0"/>
    <n v="1179"/>
    <n v="3"/>
    <s v="Male"/>
    <n v="72"/>
    <n v="2"/>
    <n v="2"/>
    <s v="Sales Executive"/>
    <n v="3"/>
    <s v="Married"/>
    <n v="6578"/>
    <n v="2706"/>
    <n v="1"/>
    <s v="Y"/>
    <x v="1"/>
    <n v="18"/>
    <n v="3"/>
    <n v="1"/>
    <n v="80"/>
    <n v="1"/>
    <n v="10"/>
    <n v="3"/>
    <n v="3"/>
    <n v="10"/>
    <n v="3"/>
    <n v="1"/>
    <n v="4"/>
    <s v="High"/>
    <s v="Medium"/>
    <s v="High"/>
  </r>
  <r>
    <n v="40"/>
    <x v="1"/>
    <s v="Travel_Frequently"/>
    <n v="902"/>
    <x v="1"/>
    <n v="26"/>
    <n v="2"/>
    <s v="Medical"/>
    <x v="0"/>
    <n v="1180"/>
    <n v="3"/>
    <s v="Female"/>
    <n v="92"/>
    <n v="2"/>
    <n v="2"/>
    <s v="Research Scientist"/>
    <n v="4"/>
    <s v="Married"/>
    <n v="4422"/>
    <n v="21203"/>
    <n v="3"/>
    <s v="Y"/>
    <x v="0"/>
    <n v="13"/>
    <n v="3"/>
    <n v="4"/>
    <n v="80"/>
    <n v="1"/>
    <n v="16"/>
    <n v="3"/>
    <n v="1"/>
    <n v="1"/>
    <n v="1"/>
    <n v="0"/>
    <n v="0"/>
    <s v="Low"/>
    <s v="Medium"/>
    <s v="new"/>
  </r>
  <r>
    <n v="35"/>
    <x v="1"/>
    <s v="Travel_Rarely"/>
    <n v="819"/>
    <x v="1"/>
    <n v="2"/>
    <n v="3"/>
    <s v="Life Sciences"/>
    <x v="0"/>
    <n v="1182"/>
    <n v="3"/>
    <s v="Male"/>
    <n v="44"/>
    <n v="2"/>
    <n v="3"/>
    <s v="Manufacturing Director"/>
    <n v="2"/>
    <s v="Divorced"/>
    <n v="10274"/>
    <n v="19588"/>
    <n v="2"/>
    <s v="Y"/>
    <x v="1"/>
    <n v="18"/>
    <n v="3"/>
    <n v="2"/>
    <n v="80"/>
    <n v="1"/>
    <n v="15"/>
    <n v="2"/>
    <n v="4"/>
    <n v="7"/>
    <n v="7"/>
    <n v="6"/>
    <n v="4"/>
    <s v="High"/>
    <s v="High"/>
    <s v="Experienced"/>
  </r>
  <r>
    <n v="34"/>
    <x v="1"/>
    <s v="Travel_Frequently"/>
    <n v="669"/>
    <x v="1"/>
    <n v="1"/>
    <n v="3"/>
    <s v="Medical"/>
    <x v="0"/>
    <n v="1184"/>
    <n v="4"/>
    <s v="Male"/>
    <n v="97"/>
    <n v="2"/>
    <n v="2"/>
    <s v="Healthcare Representative"/>
    <n v="1"/>
    <s v="Single"/>
    <n v="5343"/>
    <n v="25755"/>
    <n v="0"/>
    <s v="Y"/>
    <x v="1"/>
    <n v="20"/>
    <n v="4"/>
    <n v="3"/>
    <n v="80"/>
    <n v="0"/>
    <n v="14"/>
    <n v="3"/>
    <n v="3"/>
    <n v="13"/>
    <n v="9"/>
    <n v="4"/>
    <n v="9"/>
    <s v="Low"/>
    <s v="Medium"/>
    <s v="High"/>
  </r>
  <r>
    <n v="35"/>
    <x v="1"/>
    <s v="Travel_Frequently"/>
    <n v="636"/>
    <x v="1"/>
    <n v="4"/>
    <n v="4"/>
    <s v="Other"/>
    <x v="0"/>
    <n v="1185"/>
    <n v="4"/>
    <s v="Male"/>
    <n v="47"/>
    <n v="2"/>
    <n v="1"/>
    <s v="Laboratory Technician"/>
    <n v="4"/>
    <s v="Married"/>
    <n v="2376"/>
    <n v="26537"/>
    <n v="1"/>
    <s v="Y"/>
    <x v="1"/>
    <n v="13"/>
    <n v="3"/>
    <n v="2"/>
    <n v="80"/>
    <n v="1"/>
    <n v="2"/>
    <n v="2"/>
    <n v="4"/>
    <n v="2"/>
    <n v="2"/>
    <n v="2"/>
    <n v="2"/>
    <s v="Low"/>
    <s v="Low"/>
    <s v="new"/>
  </r>
  <r>
    <n v="43"/>
    <x v="0"/>
    <s v="Travel_Rarely"/>
    <n v="1372"/>
    <x v="0"/>
    <n v="9"/>
    <n v="3"/>
    <s v="Marketing"/>
    <x v="0"/>
    <n v="1188"/>
    <n v="1"/>
    <s v="Female"/>
    <n v="85"/>
    <n v="1"/>
    <n v="2"/>
    <s v="Sales Executive"/>
    <n v="3"/>
    <s v="Single"/>
    <n v="5346"/>
    <n v="9489"/>
    <n v="8"/>
    <s v="Y"/>
    <x v="1"/>
    <n v="13"/>
    <n v="3"/>
    <n v="2"/>
    <n v="80"/>
    <n v="0"/>
    <n v="7"/>
    <n v="2"/>
    <n v="2"/>
    <n v="4"/>
    <n v="3"/>
    <n v="1"/>
    <n v="3"/>
    <s v="Low"/>
    <s v="Medium"/>
    <s v="Experienced"/>
  </r>
  <r>
    <n v="32"/>
    <x v="1"/>
    <s v="Non-Travel"/>
    <n v="862"/>
    <x v="0"/>
    <n v="2"/>
    <n v="1"/>
    <s v="Life Sciences"/>
    <x v="0"/>
    <n v="1190"/>
    <n v="3"/>
    <s v="Female"/>
    <n v="76"/>
    <n v="3"/>
    <n v="1"/>
    <s v="Sales Representative"/>
    <n v="1"/>
    <s v="Divorced"/>
    <n v="2827"/>
    <n v="14947"/>
    <n v="1"/>
    <s v="Y"/>
    <x v="1"/>
    <n v="12"/>
    <n v="3"/>
    <n v="3"/>
    <n v="80"/>
    <n v="3"/>
    <n v="1"/>
    <n v="3"/>
    <n v="3"/>
    <n v="1"/>
    <n v="0"/>
    <n v="0"/>
    <n v="0"/>
    <s v="Low"/>
    <s v="Low"/>
    <s v="new"/>
  </r>
  <r>
    <n v="56"/>
    <x v="1"/>
    <s v="Travel_Rarely"/>
    <n v="718"/>
    <x v="1"/>
    <n v="4"/>
    <n v="4"/>
    <s v="Technical Degree"/>
    <x v="0"/>
    <n v="1191"/>
    <n v="4"/>
    <s v="Female"/>
    <n v="92"/>
    <n v="3"/>
    <n v="5"/>
    <s v="Manager"/>
    <n v="1"/>
    <s v="Divorced"/>
    <n v="19943"/>
    <n v="18575"/>
    <n v="4"/>
    <s v="Y"/>
    <x v="1"/>
    <n v="13"/>
    <n v="3"/>
    <n v="4"/>
    <n v="80"/>
    <n v="1"/>
    <n v="28"/>
    <n v="2"/>
    <n v="3"/>
    <n v="5"/>
    <n v="2"/>
    <n v="4"/>
    <n v="2"/>
    <s v="High"/>
    <s v="High"/>
    <s v="Experienced"/>
  </r>
  <r>
    <n v="29"/>
    <x v="1"/>
    <s v="Travel_Rarely"/>
    <n v="1401"/>
    <x v="1"/>
    <n v="6"/>
    <n v="1"/>
    <s v="Medical"/>
    <x v="0"/>
    <n v="1192"/>
    <n v="2"/>
    <s v="Female"/>
    <n v="54"/>
    <n v="3"/>
    <n v="1"/>
    <s v="Laboratory Technician"/>
    <n v="4"/>
    <s v="Married"/>
    <n v="3131"/>
    <n v="26342"/>
    <n v="1"/>
    <s v="Y"/>
    <x v="1"/>
    <n v="13"/>
    <n v="3"/>
    <n v="1"/>
    <n v="80"/>
    <n v="1"/>
    <n v="10"/>
    <n v="5"/>
    <n v="3"/>
    <n v="10"/>
    <n v="8"/>
    <n v="0"/>
    <n v="8"/>
    <s v="Low"/>
    <s v="Low"/>
    <s v="High"/>
  </r>
  <r>
    <n v="19"/>
    <x v="1"/>
    <s v="Travel_Rarely"/>
    <n v="645"/>
    <x v="1"/>
    <n v="9"/>
    <n v="2"/>
    <s v="Life Sciences"/>
    <x v="0"/>
    <n v="1193"/>
    <n v="3"/>
    <s v="Male"/>
    <n v="54"/>
    <n v="3"/>
    <n v="1"/>
    <s v="Research Scientist"/>
    <n v="1"/>
    <s v="Single"/>
    <n v="2552"/>
    <n v="7172"/>
    <n v="1"/>
    <s v="Y"/>
    <x v="1"/>
    <n v="25"/>
    <n v="4"/>
    <n v="3"/>
    <n v="80"/>
    <n v="0"/>
    <n v="1"/>
    <n v="4"/>
    <n v="3"/>
    <n v="1"/>
    <n v="1"/>
    <n v="0"/>
    <n v="0"/>
    <s v="Low"/>
    <s v="Low"/>
    <s v="new"/>
  </r>
  <r>
    <n v="45"/>
    <x v="1"/>
    <s v="Travel_Rarely"/>
    <n v="1457"/>
    <x v="1"/>
    <n v="7"/>
    <n v="3"/>
    <s v="Medical"/>
    <x v="0"/>
    <n v="1195"/>
    <n v="1"/>
    <s v="Female"/>
    <n v="83"/>
    <n v="3"/>
    <n v="1"/>
    <s v="Research Scientist"/>
    <n v="3"/>
    <s v="Married"/>
    <n v="4477"/>
    <n v="20100"/>
    <n v="4"/>
    <s v="Y"/>
    <x v="0"/>
    <n v="19"/>
    <n v="3"/>
    <n v="3"/>
    <n v="80"/>
    <n v="1"/>
    <n v="7"/>
    <n v="2"/>
    <n v="2"/>
    <n v="3"/>
    <n v="2"/>
    <n v="0"/>
    <n v="2"/>
    <s v="Low"/>
    <s v="Medium"/>
    <s v="Experienced"/>
  </r>
  <r>
    <n v="37"/>
    <x v="1"/>
    <s v="Travel_Rarely"/>
    <n v="977"/>
    <x v="1"/>
    <n v="1"/>
    <n v="3"/>
    <s v="Life Sciences"/>
    <x v="0"/>
    <n v="1196"/>
    <n v="4"/>
    <s v="Female"/>
    <n v="56"/>
    <n v="2"/>
    <n v="2"/>
    <s v="Manufacturing Director"/>
    <n v="4"/>
    <s v="Married"/>
    <n v="6474"/>
    <n v="9961"/>
    <n v="1"/>
    <s v="Y"/>
    <x v="1"/>
    <n v="13"/>
    <n v="3"/>
    <n v="2"/>
    <n v="80"/>
    <n v="1"/>
    <n v="14"/>
    <n v="2"/>
    <n v="2"/>
    <n v="14"/>
    <n v="8"/>
    <n v="3"/>
    <n v="11"/>
    <s v="Low"/>
    <s v="Medium"/>
    <s v="High"/>
  </r>
  <r>
    <n v="20"/>
    <x v="1"/>
    <s v="Travel_Rarely"/>
    <n v="805"/>
    <x v="1"/>
    <n v="3"/>
    <n v="3"/>
    <s v="Life Sciences"/>
    <x v="0"/>
    <n v="1198"/>
    <n v="1"/>
    <s v="Male"/>
    <n v="87"/>
    <n v="2"/>
    <n v="1"/>
    <s v="Laboratory Technician"/>
    <n v="3"/>
    <s v="Single"/>
    <n v="3033"/>
    <n v="12828"/>
    <n v="1"/>
    <s v="Y"/>
    <x v="1"/>
    <n v="12"/>
    <n v="3"/>
    <n v="1"/>
    <n v="80"/>
    <n v="0"/>
    <n v="2"/>
    <n v="2"/>
    <n v="2"/>
    <n v="2"/>
    <n v="2"/>
    <n v="1"/>
    <n v="2"/>
    <s v="Low"/>
    <s v="Low"/>
    <s v="new"/>
  </r>
  <r>
    <n v="44"/>
    <x v="0"/>
    <s v="Travel_Rarely"/>
    <n v="1097"/>
    <x v="1"/>
    <n v="10"/>
    <n v="4"/>
    <s v="Life Sciences"/>
    <x v="0"/>
    <n v="1200"/>
    <n v="3"/>
    <s v="Male"/>
    <n v="96"/>
    <n v="3"/>
    <n v="1"/>
    <s v="Research Scientist"/>
    <n v="3"/>
    <s v="Single"/>
    <n v="2936"/>
    <n v="10826"/>
    <n v="1"/>
    <s v="Y"/>
    <x v="0"/>
    <n v="11"/>
    <n v="3"/>
    <n v="3"/>
    <n v="80"/>
    <n v="0"/>
    <n v="6"/>
    <n v="4"/>
    <n v="3"/>
    <n v="6"/>
    <n v="4"/>
    <n v="0"/>
    <n v="2"/>
    <s v="Low"/>
    <s v="Low"/>
    <s v="Experienced"/>
  </r>
  <r>
    <n v="53"/>
    <x v="1"/>
    <s v="Travel_Rarely"/>
    <n v="1223"/>
    <x v="1"/>
    <n v="7"/>
    <n v="2"/>
    <s v="Medical"/>
    <x v="0"/>
    <n v="1201"/>
    <n v="4"/>
    <s v="Female"/>
    <n v="50"/>
    <n v="3"/>
    <n v="5"/>
    <s v="Manager"/>
    <n v="3"/>
    <s v="Divorced"/>
    <n v="18606"/>
    <n v="18640"/>
    <n v="3"/>
    <s v="Y"/>
    <x v="1"/>
    <n v="18"/>
    <n v="3"/>
    <n v="2"/>
    <n v="80"/>
    <n v="1"/>
    <n v="26"/>
    <n v="6"/>
    <n v="3"/>
    <n v="7"/>
    <n v="7"/>
    <n v="4"/>
    <n v="7"/>
    <s v="High"/>
    <s v="High"/>
    <s v="Experienced"/>
  </r>
  <r>
    <n v="29"/>
    <x v="1"/>
    <s v="Travel_Rarely"/>
    <n v="942"/>
    <x v="1"/>
    <n v="15"/>
    <n v="1"/>
    <s v="Life Sciences"/>
    <x v="0"/>
    <n v="1202"/>
    <n v="2"/>
    <s v="Female"/>
    <n v="69"/>
    <n v="1"/>
    <n v="1"/>
    <s v="Research Scientist"/>
    <n v="4"/>
    <s v="Married"/>
    <n v="2168"/>
    <n v="26933"/>
    <n v="0"/>
    <s v="Y"/>
    <x v="0"/>
    <n v="18"/>
    <n v="3"/>
    <n v="1"/>
    <n v="80"/>
    <n v="1"/>
    <n v="6"/>
    <n v="2"/>
    <n v="2"/>
    <n v="5"/>
    <n v="4"/>
    <n v="1"/>
    <n v="3"/>
    <s v="Low"/>
    <s v="Low"/>
    <s v="Experienced"/>
  </r>
  <r>
    <n v="22"/>
    <x v="0"/>
    <s v="Travel_Frequently"/>
    <n v="1256"/>
    <x v="1"/>
    <n v="3"/>
    <n v="4"/>
    <s v="Life Sciences"/>
    <x v="0"/>
    <n v="1203"/>
    <n v="3"/>
    <s v="Male"/>
    <n v="48"/>
    <n v="2"/>
    <n v="1"/>
    <s v="Research Scientist"/>
    <n v="4"/>
    <s v="Married"/>
    <n v="2853"/>
    <n v="4223"/>
    <n v="0"/>
    <s v="Y"/>
    <x v="0"/>
    <n v="11"/>
    <n v="3"/>
    <n v="2"/>
    <n v="80"/>
    <n v="1"/>
    <n v="1"/>
    <n v="5"/>
    <n v="3"/>
    <n v="0"/>
    <n v="0"/>
    <n v="0"/>
    <n v="0"/>
    <s v="Low"/>
    <s v="Low"/>
    <s v="new"/>
  </r>
  <r>
    <n v="46"/>
    <x v="1"/>
    <s v="Travel_Rarely"/>
    <n v="1402"/>
    <x v="0"/>
    <n v="2"/>
    <n v="3"/>
    <s v="Marketing"/>
    <x v="0"/>
    <n v="1204"/>
    <n v="3"/>
    <s v="Female"/>
    <n v="69"/>
    <n v="3"/>
    <n v="4"/>
    <s v="Manager"/>
    <n v="1"/>
    <s v="Married"/>
    <n v="17048"/>
    <n v="24097"/>
    <n v="8"/>
    <s v="Y"/>
    <x v="1"/>
    <n v="23"/>
    <n v="4"/>
    <n v="1"/>
    <n v="80"/>
    <n v="0"/>
    <n v="28"/>
    <n v="2"/>
    <n v="3"/>
    <n v="26"/>
    <n v="15"/>
    <n v="15"/>
    <n v="9"/>
    <s v="High"/>
    <s v="High"/>
    <s v="High"/>
  </r>
  <r>
    <n v="44"/>
    <x v="1"/>
    <s v="Non-Travel"/>
    <n v="111"/>
    <x v="1"/>
    <n v="17"/>
    <n v="3"/>
    <s v="Life Sciences"/>
    <x v="0"/>
    <n v="1206"/>
    <n v="4"/>
    <s v="Male"/>
    <n v="74"/>
    <n v="1"/>
    <n v="1"/>
    <s v="Research Scientist"/>
    <n v="3"/>
    <s v="Single"/>
    <n v="2290"/>
    <n v="4279"/>
    <n v="2"/>
    <s v="Y"/>
    <x v="1"/>
    <n v="13"/>
    <n v="3"/>
    <n v="4"/>
    <n v="80"/>
    <n v="0"/>
    <n v="6"/>
    <n v="3"/>
    <n v="3"/>
    <n v="0"/>
    <n v="0"/>
    <n v="0"/>
    <n v="0"/>
    <s v="Low"/>
    <s v="Low"/>
    <s v="new"/>
  </r>
  <r>
    <n v="33"/>
    <x v="1"/>
    <s v="Travel_Rarely"/>
    <n v="147"/>
    <x v="2"/>
    <n v="2"/>
    <n v="3"/>
    <s v="Human Resources"/>
    <x v="0"/>
    <n v="1207"/>
    <n v="2"/>
    <s v="Male"/>
    <n v="99"/>
    <n v="3"/>
    <n v="1"/>
    <s v="Human Resources"/>
    <n v="3"/>
    <s v="Married"/>
    <n v="3600"/>
    <n v="8429"/>
    <n v="1"/>
    <s v="Y"/>
    <x v="1"/>
    <n v="13"/>
    <n v="3"/>
    <n v="4"/>
    <n v="80"/>
    <n v="1"/>
    <n v="5"/>
    <n v="2"/>
    <n v="3"/>
    <n v="5"/>
    <n v="4"/>
    <n v="1"/>
    <n v="4"/>
    <s v="Low"/>
    <s v="Low"/>
    <s v="Experienced"/>
  </r>
  <r>
    <n v="41"/>
    <x v="0"/>
    <s v="Non-Travel"/>
    <n v="906"/>
    <x v="1"/>
    <n v="5"/>
    <n v="2"/>
    <s v="Life Sciences"/>
    <x v="0"/>
    <n v="1210"/>
    <n v="1"/>
    <s v="Male"/>
    <n v="95"/>
    <n v="2"/>
    <n v="1"/>
    <s v="Research Scientist"/>
    <n v="1"/>
    <s v="Divorced"/>
    <n v="2107"/>
    <n v="20293"/>
    <n v="6"/>
    <s v="Y"/>
    <x v="1"/>
    <n v="17"/>
    <n v="3"/>
    <n v="1"/>
    <n v="80"/>
    <n v="1"/>
    <n v="5"/>
    <n v="2"/>
    <n v="1"/>
    <n v="1"/>
    <n v="0"/>
    <n v="0"/>
    <n v="0"/>
    <s v="Low"/>
    <s v="Low"/>
    <s v="new"/>
  </r>
  <r>
    <n v="30"/>
    <x v="1"/>
    <s v="Travel_Rarely"/>
    <n v="1329"/>
    <x v="0"/>
    <n v="29"/>
    <n v="4"/>
    <s v="Life Sciences"/>
    <x v="0"/>
    <n v="1211"/>
    <n v="3"/>
    <s v="Male"/>
    <n v="61"/>
    <n v="3"/>
    <n v="2"/>
    <s v="Sales Executive"/>
    <n v="1"/>
    <s v="Divorced"/>
    <n v="4115"/>
    <n v="13192"/>
    <n v="8"/>
    <s v="Y"/>
    <x v="1"/>
    <n v="19"/>
    <n v="3"/>
    <n v="3"/>
    <n v="80"/>
    <n v="3"/>
    <n v="8"/>
    <n v="3"/>
    <n v="3"/>
    <n v="4"/>
    <n v="3"/>
    <n v="0"/>
    <n v="3"/>
    <s v="Low"/>
    <s v="Medium"/>
    <s v="Experienced"/>
  </r>
  <r>
    <n v="40"/>
    <x v="1"/>
    <s v="Travel_Frequently"/>
    <n v="1184"/>
    <x v="0"/>
    <n v="2"/>
    <n v="4"/>
    <s v="Medical"/>
    <x v="0"/>
    <n v="1212"/>
    <n v="2"/>
    <s v="Male"/>
    <n v="62"/>
    <n v="3"/>
    <n v="2"/>
    <s v="Sales Executive"/>
    <n v="2"/>
    <s v="Married"/>
    <n v="4327"/>
    <n v="25440"/>
    <n v="5"/>
    <s v="Y"/>
    <x v="1"/>
    <n v="12"/>
    <n v="3"/>
    <n v="4"/>
    <n v="80"/>
    <n v="3"/>
    <n v="5"/>
    <n v="2"/>
    <n v="3"/>
    <n v="0"/>
    <n v="0"/>
    <n v="0"/>
    <n v="0"/>
    <s v="Low"/>
    <s v="Medium"/>
    <s v="new"/>
  </r>
  <r>
    <n v="50"/>
    <x v="1"/>
    <s v="Travel_Frequently"/>
    <n v="1421"/>
    <x v="1"/>
    <n v="2"/>
    <n v="3"/>
    <s v="Medical"/>
    <x v="0"/>
    <n v="1215"/>
    <n v="4"/>
    <s v="Female"/>
    <n v="30"/>
    <n v="3"/>
    <n v="4"/>
    <s v="Manager"/>
    <n v="1"/>
    <s v="Married"/>
    <n v="17856"/>
    <n v="9490"/>
    <n v="2"/>
    <s v="Y"/>
    <x v="1"/>
    <n v="22"/>
    <n v="4"/>
    <n v="3"/>
    <n v="80"/>
    <n v="1"/>
    <n v="32"/>
    <n v="3"/>
    <n v="3"/>
    <n v="2"/>
    <n v="2"/>
    <n v="2"/>
    <n v="2"/>
    <s v="High"/>
    <s v="High"/>
    <s v="new"/>
  </r>
  <r>
    <n v="28"/>
    <x v="1"/>
    <s v="Travel_Rarely"/>
    <n v="1179"/>
    <x v="1"/>
    <n v="19"/>
    <n v="4"/>
    <s v="Medical"/>
    <x v="0"/>
    <n v="1216"/>
    <n v="4"/>
    <s v="Male"/>
    <n v="78"/>
    <n v="2"/>
    <n v="1"/>
    <s v="Laboratory Technician"/>
    <n v="1"/>
    <s v="Married"/>
    <n v="3196"/>
    <n v="12449"/>
    <n v="1"/>
    <s v="Y"/>
    <x v="1"/>
    <n v="12"/>
    <n v="3"/>
    <n v="3"/>
    <n v="80"/>
    <n v="3"/>
    <n v="6"/>
    <n v="2"/>
    <n v="3"/>
    <n v="6"/>
    <n v="5"/>
    <n v="3"/>
    <n v="3"/>
    <s v="Low"/>
    <s v="Low"/>
    <s v="Experienced"/>
  </r>
  <r>
    <n v="46"/>
    <x v="1"/>
    <s v="Travel_Rarely"/>
    <n v="1450"/>
    <x v="1"/>
    <n v="15"/>
    <n v="2"/>
    <s v="Life Sciences"/>
    <x v="0"/>
    <n v="1217"/>
    <n v="4"/>
    <s v="Male"/>
    <n v="52"/>
    <n v="3"/>
    <n v="5"/>
    <s v="Research Director"/>
    <n v="2"/>
    <s v="Married"/>
    <n v="19081"/>
    <n v="10849"/>
    <n v="5"/>
    <s v="Y"/>
    <x v="1"/>
    <n v="11"/>
    <n v="3"/>
    <n v="1"/>
    <n v="80"/>
    <n v="1"/>
    <n v="25"/>
    <n v="2"/>
    <n v="3"/>
    <n v="4"/>
    <n v="2"/>
    <n v="0"/>
    <n v="3"/>
    <s v="High"/>
    <s v="High"/>
    <s v="Experienced"/>
  </r>
  <r>
    <n v="35"/>
    <x v="1"/>
    <s v="Travel_Rarely"/>
    <n v="1361"/>
    <x v="0"/>
    <n v="17"/>
    <n v="4"/>
    <s v="Life Sciences"/>
    <x v="0"/>
    <n v="1218"/>
    <n v="3"/>
    <s v="Male"/>
    <n v="94"/>
    <n v="3"/>
    <n v="2"/>
    <s v="Sales Executive"/>
    <n v="1"/>
    <s v="Married"/>
    <n v="8966"/>
    <n v="21026"/>
    <n v="3"/>
    <s v="Y"/>
    <x v="0"/>
    <n v="15"/>
    <n v="3"/>
    <n v="4"/>
    <n v="80"/>
    <n v="3"/>
    <n v="15"/>
    <n v="2"/>
    <n v="3"/>
    <n v="7"/>
    <n v="7"/>
    <n v="1"/>
    <n v="7"/>
    <s v="High"/>
    <s v="High"/>
    <s v="Experienced"/>
  </r>
  <r>
    <n v="24"/>
    <x v="0"/>
    <s v="Travel_Rarely"/>
    <n v="984"/>
    <x v="1"/>
    <n v="17"/>
    <n v="2"/>
    <s v="Life Sciences"/>
    <x v="0"/>
    <n v="1219"/>
    <n v="4"/>
    <s v="Female"/>
    <n v="97"/>
    <n v="3"/>
    <n v="1"/>
    <s v="Laboratory Technician"/>
    <n v="2"/>
    <s v="Married"/>
    <n v="2210"/>
    <n v="3372"/>
    <n v="1"/>
    <s v="Y"/>
    <x v="1"/>
    <n v="13"/>
    <n v="3"/>
    <n v="1"/>
    <n v="80"/>
    <n v="1"/>
    <n v="1"/>
    <n v="3"/>
    <n v="1"/>
    <n v="1"/>
    <n v="0"/>
    <n v="0"/>
    <n v="0"/>
    <s v="Low"/>
    <s v="Low"/>
    <s v="new"/>
  </r>
  <r>
    <n v="33"/>
    <x v="1"/>
    <s v="Travel_Frequently"/>
    <n v="1146"/>
    <x v="0"/>
    <n v="25"/>
    <n v="3"/>
    <s v="Medical"/>
    <x v="0"/>
    <n v="1220"/>
    <n v="2"/>
    <s v="Female"/>
    <n v="82"/>
    <n v="3"/>
    <n v="2"/>
    <s v="Sales Executive"/>
    <n v="3"/>
    <s v="Married"/>
    <n v="4539"/>
    <n v="4905"/>
    <n v="1"/>
    <s v="Y"/>
    <x v="1"/>
    <n v="12"/>
    <n v="3"/>
    <n v="1"/>
    <n v="80"/>
    <n v="1"/>
    <n v="10"/>
    <n v="3"/>
    <n v="2"/>
    <n v="10"/>
    <n v="7"/>
    <n v="0"/>
    <n v="1"/>
    <s v="Low"/>
    <s v="Medium"/>
    <s v="High"/>
  </r>
  <r>
    <n v="36"/>
    <x v="1"/>
    <s v="Travel_Rarely"/>
    <n v="917"/>
    <x v="1"/>
    <n v="6"/>
    <n v="4"/>
    <s v="Life Sciences"/>
    <x v="0"/>
    <n v="1221"/>
    <n v="3"/>
    <s v="Male"/>
    <n v="60"/>
    <n v="1"/>
    <n v="1"/>
    <s v="Laboratory Technician"/>
    <n v="3"/>
    <s v="Divorced"/>
    <n v="2741"/>
    <n v="6865"/>
    <n v="1"/>
    <s v="Y"/>
    <x v="1"/>
    <n v="14"/>
    <n v="3"/>
    <n v="3"/>
    <n v="80"/>
    <n v="1"/>
    <n v="7"/>
    <n v="4"/>
    <n v="3"/>
    <n v="7"/>
    <n v="7"/>
    <n v="1"/>
    <n v="7"/>
    <s v="Low"/>
    <s v="Low"/>
    <s v="Experienced"/>
  </r>
  <r>
    <n v="30"/>
    <x v="1"/>
    <s v="Travel_Rarely"/>
    <n v="853"/>
    <x v="1"/>
    <n v="7"/>
    <n v="4"/>
    <s v="Life Sciences"/>
    <x v="0"/>
    <n v="1224"/>
    <n v="3"/>
    <s v="Male"/>
    <n v="49"/>
    <n v="3"/>
    <n v="2"/>
    <s v="Laboratory Technician"/>
    <n v="3"/>
    <s v="Divorced"/>
    <n v="3491"/>
    <n v="11309"/>
    <n v="1"/>
    <s v="Y"/>
    <x v="1"/>
    <n v="13"/>
    <n v="3"/>
    <n v="1"/>
    <n v="80"/>
    <n v="3"/>
    <n v="10"/>
    <n v="4"/>
    <n v="2"/>
    <n v="10"/>
    <n v="7"/>
    <n v="8"/>
    <n v="9"/>
    <s v="Low"/>
    <s v="Low"/>
    <s v="High"/>
  </r>
  <r>
    <n v="44"/>
    <x v="1"/>
    <s v="Travel_Rarely"/>
    <n v="200"/>
    <x v="1"/>
    <n v="29"/>
    <n v="4"/>
    <s v="Other"/>
    <x v="0"/>
    <n v="1225"/>
    <n v="4"/>
    <s v="Male"/>
    <n v="32"/>
    <n v="3"/>
    <n v="2"/>
    <s v="Research Scientist"/>
    <n v="4"/>
    <s v="Single"/>
    <n v="4541"/>
    <n v="7744"/>
    <n v="1"/>
    <s v="Y"/>
    <x v="1"/>
    <n v="25"/>
    <n v="4"/>
    <n v="2"/>
    <n v="80"/>
    <n v="0"/>
    <n v="20"/>
    <n v="3"/>
    <n v="3"/>
    <n v="20"/>
    <n v="11"/>
    <n v="13"/>
    <n v="17"/>
    <s v="Low"/>
    <s v="Medium"/>
    <s v="High"/>
  </r>
  <r>
    <n v="20"/>
    <x v="1"/>
    <s v="Travel_Rarely"/>
    <n v="654"/>
    <x v="0"/>
    <n v="21"/>
    <n v="3"/>
    <s v="Marketing"/>
    <x v="0"/>
    <n v="1226"/>
    <n v="3"/>
    <s v="Male"/>
    <n v="43"/>
    <n v="4"/>
    <n v="1"/>
    <s v="Sales Representative"/>
    <n v="4"/>
    <s v="Single"/>
    <n v="2678"/>
    <n v="5050"/>
    <n v="1"/>
    <s v="Y"/>
    <x v="1"/>
    <n v="17"/>
    <n v="3"/>
    <n v="4"/>
    <n v="80"/>
    <n v="0"/>
    <n v="2"/>
    <n v="2"/>
    <n v="3"/>
    <n v="2"/>
    <n v="1"/>
    <n v="2"/>
    <n v="2"/>
    <s v="Low"/>
    <s v="Low"/>
    <s v="new"/>
  </r>
  <r>
    <n v="46"/>
    <x v="1"/>
    <s v="Travel_Rarely"/>
    <n v="150"/>
    <x v="1"/>
    <n v="2"/>
    <n v="4"/>
    <s v="Technical Degree"/>
    <x v="0"/>
    <n v="1228"/>
    <n v="4"/>
    <s v="Male"/>
    <n v="60"/>
    <n v="3"/>
    <n v="2"/>
    <s v="Manufacturing Director"/>
    <n v="4"/>
    <s v="Divorced"/>
    <n v="7379"/>
    <n v="17433"/>
    <n v="2"/>
    <s v="Y"/>
    <x v="1"/>
    <n v="11"/>
    <n v="3"/>
    <n v="3"/>
    <n v="80"/>
    <n v="1"/>
    <n v="12"/>
    <n v="3"/>
    <n v="2"/>
    <n v="6"/>
    <n v="3"/>
    <n v="1"/>
    <n v="4"/>
    <s v="High"/>
    <s v="Medium"/>
    <s v="Experienced"/>
  </r>
  <r>
    <n v="42"/>
    <x v="1"/>
    <s v="Non-Travel"/>
    <n v="179"/>
    <x v="2"/>
    <n v="2"/>
    <n v="5"/>
    <s v="Medical"/>
    <x v="0"/>
    <n v="1231"/>
    <n v="4"/>
    <s v="Male"/>
    <n v="79"/>
    <n v="4"/>
    <n v="2"/>
    <s v="Human Resources"/>
    <n v="1"/>
    <s v="Married"/>
    <n v="6272"/>
    <n v="12858"/>
    <n v="7"/>
    <s v="Y"/>
    <x v="1"/>
    <n v="16"/>
    <n v="3"/>
    <n v="1"/>
    <n v="80"/>
    <n v="1"/>
    <n v="10"/>
    <n v="3"/>
    <n v="4"/>
    <n v="4"/>
    <n v="3"/>
    <n v="0"/>
    <n v="3"/>
    <s v="Low"/>
    <s v="Medium"/>
    <s v="Experienced"/>
  </r>
  <r>
    <n v="60"/>
    <x v="1"/>
    <s v="Travel_Rarely"/>
    <n v="696"/>
    <x v="0"/>
    <n v="7"/>
    <n v="4"/>
    <s v="Marketing"/>
    <x v="0"/>
    <n v="1233"/>
    <n v="2"/>
    <s v="Male"/>
    <n v="52"/>
    <n v="4"/>
    <n v="2"/>
    <s v="Sales Executive"/>
    <n v="4"/>
    <s v="Divorced"/>
    <n v="5220"/>
    <n v="10893"/>
    <n v="0"/>
    <s v="Y"/>
    <x v="0"/>
    <n v="18"/>
    <n v="3"/>
    <n v="2"/>
    <n v="80"/>
    <n v="1"/>
    <n v="12"/>
    <n v="3"/>
    <n v="3"/>
    <n v="11"/>
    <n v="7"/>
    <n v="1"/>
    <n v="9"/>
    <s v="Low"/>
    <s v="Medium"/>
    <s v="High"/>
  </r>
  <r>
    <n v="32"/>
    <x v="1"/>
    <s v="Travel_Frequently"/>
    <n v="116"/>
    <x v="1"/>
    <n v="13"/>
    <n v="3"/>
    <s v="Other"/>
    <x v="0"/>
    <n v="1234"/>
    <n v="3"/>
    <s v="Female"/>
    <n v="77"/>
    <n v="2"/>
    <n v="1"/>
    <s v="Laboratory Technician"/>
    <n v="2"/>
    <s v="Married"/>
    <n v="2743"/>
    <n v="7331"/>
    <n v="1"/>
    <s v="Y"/>
    <x v="1"/>
    <n v="20"/>
    <n v="4"/>
    <n v="3"/>
    <n v="80"/>
    <n v="1"/>
    <n v="2"/>
    <n v="2"/>
    <n v="3"/>
    <n v="2"/>
    <n v="2"/>
    <n v="2"/>
    <n v="2"/>
    <s v="Low"/>
    <s v="Low"/>
    <s v="new"/>
  </r>
  <r>
    <n v="32"/>
    <x v="1"/>
    <s v="Travel_Frequently"/>
    <n v="1316"/>
    <x v="1"/>
    <n v="2"/>
    <n v="2"/>
    <s v="Life Sciences"/>
    <x v="0"/>
    <n v="1235"/>
    <n v="4"/>
    <s v="Female"/>
    <n v="38"/>
    <n v="3"/>
    <n v="2"/>
    <s v="Research Scientist"/>
    <n v="3"/>
    <s v="Single"/>
    <n v="4998"/>
    <n v="2338"/>
    <n v="4"/>
    <s v="Y"/>
    <x v="0"/>
    <n v="14"/>
    <n v="3"/>
    <n v="4"/>
    <n v="80"/>
    <n v="0"/>
    <n v="10"/>
    <n v="2"/>
    <n v="3"/>
    <n v="8"/>
    <n v="7"/>
    <n v="0"/>
    <n v="7"/>
    <s v="Low"/>
    <s v="Medium"/>
    <s v="High"/>
  </r>
  <r>
    <n v="36"/>
    <x v="1"/>
    <s v="Travel_Rarely"/>
    <n v="363"/>
    <x v="1"/>
    <n v="1"/>
    <n v="3"/>
    <s v="Technical Degree"/>
    <x v="0"/>
    <n v="1237"/>
    <n v="3"/>
    <s v="Female"/>
    <n v="77"/>
    <n v="1"/>
    <n v="3"/>
    <s v="Manufacturing Director"/>
    <n v="1"/>
    <s v="Divorced"/>
    <n v="10252"/>
    <n v="4235"/>
    <n v="2"/>
    <s v="Y"/>
    <x v="0"/>
    <n v="21"/>
    <n v="4"/>
    <n v="3"/>
    <n v="80"/>
    <n v="1"/>
    <n v="17"/>
    <n v="2"/>
    <n v="3"/>
    <n v="7"/>
    <n v="7"/>
    <n v="7"/>
    <n v="7"/>
    <s v="High"/>
    <s v="High"/>
    <s v="Experienced"/>
  </r>
  <r>
    <n v="33"/>
    <x v="1"/>
    <s v="Travel_Rarely"/>
    <n v="117"/>
    <x v="1"/>
    <n v="9"/>
    <n v="3"/>
    <s v="Medical"/>
    <x v="0"/>
    <n v="1238"/>
    <n v="1"/>
    <s v="Male"/>
    <n v="60"/>
    <n v="3"/>
    <n v="1"/>
    <s v="Research Scientist"/>
    <n v="4"/>
    <s v="Married"/>
    <n v="2781"/>
    <n v="6311"/>
    <n v="0"/>
    <s v="Y"/>
    <x v="1"/>
    <n v="13"/>
    <n v="3"/>
    <n v="2"/>
    <n v="80"/>
    <n v="1"/>
    <n v="15"/>
    <n v="5"/>
    <n v="3"/>
    <n v="14"/>
    <n v="10"/>
    <n v="4"/>
    <n v="10"/>
    <s v="Low"/>
    <s v="Low"/>
    <s v="High"/>
  </r>
  <r>
    <n v="40"/>
    <x v="1"/>
    <s v="Travel_Rarely"/>
    <n v="107"/>
    <x v="0"/>
    <n v="10"/>
    <n v="3"/>
    <s v="Technical Degree"/>
    <x v="0"/>
    <n v="1239"/>
    <n v="2"/>
    <s v="Female"/>
    <n v="84"/>
    <n v="2"/>
    <n v="2"/>
    <s v="Sales Executive"/>
    <n v="2"/>
    <s v="Divorced"/>
    <n v="6852"/>
    <n v="11591"/>
    <n v="7"/>
    <s v="Y"/>
    <x v="1"/>
    <n v="12"/>
    <n v="3"/>
    <n v="2"/>
    <n v="80"/>
    <n v="1"/>
    <n v="7"/>
    <n v="2"/>
    <n v="4"/>
    <n v="5"/>
    <n v="1"/>
    <n v="1"/>
    <n v="3"/>
    <s v="High"/>
    <s v="Medium"/>
    <s v="Experienced"/>
  </r>
  <r>
    <n v="25"/>
    <x v="1"/>
    <s v="Travel_Rarely"/>
    <n v="1356"/>
    <x v="0"/>
    <n v="10"/>
    <n v="4"/>
    <s v="Life Sciences"/>
    <x v="0"/>
    <n v="1240"/>
    <n v="3"/>
    <s v="Male"/>
    <n v="57"/>
    <n v="3"/>
    <n v="2"/>
    <s v="Sales Executive"/>
    <n v="4"/>
    <s v="Single"/>
    <n v="4950"/>
    <n v="20623"/>
    <n v="0"/>
    <s v="Y"/>
    <x v="1"/>
    <n v="14"/>
    <n v="3"/>
    <n v="2"/>
    <n v="80"/>
    <n v="0"/>
    <n v="5"/>
    <n v="4"/>
    <n v="3"/>
    <n v="4"/>
    <n v="3"/>
    <n v="1"/>
    <n v="1"/>
    <s v="Low"/>
    <s v="Medium"/>
    <s v="Experienced"/>
  </r>
  <r>
    <n v="30"/>
    <x v="1"/>
    <s v="Travel_Rarely"/>
    <n v="1465"/>
    <x v="1"/>
    <n v="1"/>
    <n v="3"/>
    <s v="Medical"/>
    <x v="0"/>
    <n v="1241"/>
    <n v="4"/>
    <s v="Male"/>
    <n v="63"/>
    <n v="3"/>
    <n v="1"/>
    <s v="Research Scientist"/>
    <n v="2"/>
    <s v="Married"/>
    <n v="3579"/>
    <n v="9369"/>
    <n v="0"/>
    <s v="Y"/>
    <x v="0"/>
    <n v="21"/>
    <n v="4"/>
    <n v="1"/>
    <n v="80"/>
    <n v="1"/>
    <n v="12"/>
    <n v="2"/>
    <n v="3"/>
    <n v="11"/>
    <n v="9"/>
    <n v="5"/>
    <n v="7"/>
    <s v="Low"/>
    <s v="Low"/>
    <s v="High"/>
  </r>
  <r>
    <n v="42"/>
    <x v="1"/>
    <s v="Travel_Frequently"/>
    <n v="458"/>
    <x v="1"/>
    <n v="26"/>
    <n v="5"/>
    <s v="Medical"/>
    <x v="0"/>
    <n v="1242"/>
    <n v="1"/>
    <s v="Female"/>
    <n v="60"/>
    <n v="3"/>
    <n v="3"/>
    <s v="Research Director"/>
    <n v="1"/>
    <s v="Married"/>
    <n v="13191"/>
    <n v="23281"/>
    <n v="3"/>
    <s v="Y"/>
    <x v="0"/>
    <n v="17"/>
    <n v="3"/>
    <n v="3"/>
    <n v="80"/>
    <n v="0"/>
    <n v="20"/>
    <n v="6"/>
    <n v="3"/>
    <n v="1"/>
    <n v="0"/>
    <n v="0"/>
    <n v="0"/>
    <s v="High"/>
    <s v="High"/>
    <s v="new"/>
  </r>
  <r>
    <n v="35"/>
    <x v="1"/>
    <s v="Non-Travel"/>
    <n v="1212"/>
    <x v="0"/>
    <n v="8"/>
    <n v="2"/>
    <s v="Marketing"/>
    <x v="0"/>
    <n v="1243"/>
    <n v="3"/>
    <s v="Female"/>
    <n v="78"/>
    <n v="2"/>
    <n v="3"/>
    <s v="Sales Executive"/>
    <n v="4"/>
    <s v="Married"/>
    <n v="10377"/>
    <n v="13755"/>
    <n v="4"/>
    <s v="Y"/>
    <x v="0"/>
    <n v="11"/>
    <n v="3"/>
    <n v="2"/>
    <n v="80"/>
    <n v="1"/>
    <n v="16"/>
    <n v="6"/>
    <n v="2"/>
    <n v="13"/>
    <n v="2"/>
    <n v="4"/>
    <n v="12"/>
    <s v="High"/>
    <s v="High"/>
    <s v="High"/>
  </r>
  <r>
    <n v="27"/>
    <x v="1"/>
    <s v="Travel_Rarely"/>
    <n v="1103"/>
    <x v="1"/>
    <n v="14"/>
    <n v="3"/>
    <s v="Life Sciences"/>
    <x v="0"/>
    <n v="1244"/>
    <n v="1"/>
    <s v="Male"/>
    <n v="42"/>
    <n v="3"/>
    <n v="1"/>
    <s v="Research Scientist"/>
    <n v="1"/>
    <s v="Married"/>
    <n v="2235"/>
    <n v="14377"/>
    <n v="1"/>
    <s v="Y"/>
    <x v="0"/>
    <n v="14"/>
    <n v="3"/>
    <n v="4"/>
    <n v="80"/>
    <n v="2"/>
    <n v="9"/>
    <n v="3"/>
    <n v="2"/>
    <n v="9"/>
    <n v="7"/>
    <n v="6"/>
    <n v="8"/>
    <s v="Low"/>
    <s v="Low"/>
    <s v="High"/>
  </r>
  <r>
    <n v="54"/>
    <x v="1"/>
    <s v="Travel_Frequently"/>
    <n v="966"/>
    <x v="1"/>
    <n v="1"/>
    <n v="4"/>
    <s v="Life Sciences"/>
    <x v="0"/>
    <n v="1245"/>
    <n v="4"/>
    <s v="Female"/>
    <n v="53"/>
    <n v="3"/>
    <n v="3"/>
    <s v="Manufacturing Director"/>
    <n v="3"/>
    <s v="Divorced"/>
    <n v="10502"/>
    <n v="9659"/>
    <n v="7"/>
    <s v="Y"/>
    <x v="1"/>
    <n v="17"/>
    <n v="3"/>
    <n v="1"/>
    <n v="80"/>
    <n v="1"/>
    <n v="33"/>
    <n v="2"/>
    <n v="1"/>
    <n v="5"/>
    <n v="4"/>
    <n v="1"/>
    <n v="4"/>
    <s v="High"/>
    <s v="High"/>
    <s v="Experienced"/>
  </r>
  <r>
    <n v="44"/>
    <x v="1"/>
    <s v="Travel_Rarely"/>
    <n v="1117"/>
    <x v="1"/>
    <n v="2"/>
    <n v="1"/>
    <s v="Life Sciences"/>
    <x v="0"/>
    <n v="1246"/>
    <n v="1"/>
    <s v="Female"/>
    <n v="72"/>
    <n v="4"/>
    <n v="1"/>
    <s v="Research Scientist"/>
    <n v="4"/>
    <s v="Married"/>
    <n v="2011"/>
    <n v="19982"/>
    <n v="1"/>
    <s v="Y"/>
    <x v="1"/>
    <n v="13"/>
    <n v="3"/>
    <n v="4"/>
    <n v="80"/>
    <n v="1"/>
    <n v="10"/>
    <n v="5"/>
    <n v="3"/>
    <n v="10"/>
    <n v="5"/>
    <n v="7"/>
    <n v="7"/>
    <s v="Low"/>
    <s v="Low"/>
    <s v="High"/>
  </r>
  <r>
    <n v="19"/>
    <x v="0"/>
    <s v="Non-Travel"/>
    <n v="504"/>
    <x v="1"/>
    <n v="10"/>
    <n v="3"/>
    <s v="Medical"/>
    <x v="0"/>
    <n v="1248"/>
    <n v="1"/>
    <s v="Female"/>
    <n v="96"/>
    <n v="2"/>
    <n v="1"/>
    <s v="Research Scientist"/>
    <n v="2"/>
    <s v="Single"/>
    <n v="1859"/>
    <n v="6148"/>
    <n v="1"/>
    <s v="Y"/>
    <x v="0"/>
    <n v="25"/>
    <n v="4"/>
    <n v="2"/>
    <n v="80"/>
    <n v="0"/>
    <n v="1"/>
    <n v="2"/>
    <n v="4"/>
    <n v="1"/>
    <n v="1"/>
    <n v="0"/>
    <n v="0"/>
    <s v="Low"/>
    <s v="Low"/>
    <s v="new"/>
  </r>
  <r>
    <n v="29"/>
    <x v="1"/>
    <s v="Travel_Rarely"/>
    <n v="1010"/>
    <x v="1"/>
    <n v="1"/>
    <n v="3"/>
    <s v="Life Sciences"/>
    <x v="0"/>
    <n v="1249"/>
    <n v="1"/>
    <s v="Female"/>
    <n v="97"/>
    <n v="3"/>
    <n v="1"/>
    <s v="Research Scientist"/>
    <n v="4"/>
    <s v="Divorced"/>
    <n v="3760"/>
    <n v="5598"/>
    <n v="1"/>
    <s v="Y"/>
    <x v="1"/>
    <n v="15"/>
    <n v="3"/>
    <n v="1"/>
    <n v="80"/>
    <n v="3"/>
    <n v="3"/>
    <n v="5"/>
    <n v="3"/>
    <n v="3"/>
    <n v="2"/>
    <n v="1"/>
    <n v="2"/>
    <s v="Low"/>
    <s v="Low"/>
    <s v="Experienced"/>
  </r>
  <r>
    <n v="54"/>
    <x v="1"/>
    <s v="Travel_Rarely"/>
    <n v="685"/>
    <x v="1"/>
    <n v="3"/>
    <n v="3"/>
    <s v="Life Sciences"/>
    <x v="0"/>
    <n v="1250"/>
    <n v="4"/>
    <s v="Male"/>
    <n v="85"/>
    <n v="3"/>
    <n v="4"/>
    <s v="Research Director"/>
    <n v="4"/>
    <s v="Married"/>
    <n v="17779"/>
    <n v="23474"/>
    <n v="3"/>
    <s v="Y"/>
    <x v="1"/>
    <n v="14"/>
    <n v="3"/>
    <n v="1"/>
    <n v="80"/>
    <n v="0"/>
    <n v="36"/>
    <n v="2"/>
    <n v="3"/>
    <n v="10"/>
    <n v="9"/>
    <n v="0"/>
    <n v="9"/>
    <s v="High"/>
    <s v="High"/>
    <s v="High"/>
  </r>
  <r>
    <n v="31"/>
    <x v="1"/>
    <s v="Travel_Rarely"/>
    <n v="1332"/>
    <x v="1"/>
    <n v="11"/>
    <n v="2"/>
    <s v="Medical"/>
    <x v="0"/>
    <n v="1251"/>
    <n v="3"/>
    <s v="Male"/>
    <n v="80"/>
    <n v="3"/>
    <n v="2"/>
    <s v="Healthcare Representative"/>
    <n v="1"/>
    <s v="Married"/>
    <n v="6833"/>
    <n v="17089"/>
    <n v="1"/>
    <s v="Y"/>
    <x v="0"/>
    <n v="12"/>
    <n v="3"/>
    <n v="4"/>
    <n v="80"/>
    <n v="0"/>
    <n v="6"/>
    <n v="2"/>
    <n v="2"/>
    <n v="6"/>
    <n v="5"/>
    <n v="0"/>
    <n v="1"/>
    <s v="High"/>
    <s v="Medium"/>
    <s v="Experienced"/>
  </r>
  <r>
    <n v="31"/>
    <x v="1"/>
    <s v="Travel_Rarely"/>
    <n v="1062"/>
    <x v="1"/>
    <n v="24"/>
    <n v="3"/>
    <s v="Medical"/>
    <x v="0"/>
    <n v="1252"/>
    <n v="3"/>
    <s v="Female"/>
    <n v="96"/>
    <n v="2"/>
    <n v="2"/>
    <s v="Healthcare Representative"/>
    <n v="1"/>
    <s v="Single"/>
    <n v="6812"/>
    <n v="17198"/>
    <n v="1"/>
    <s v="Y"/>
    <x v="1"/>
    <n v="19"/>
    <n v="3"/>
    <n v="2"/>
    <n v="80"/>
    <n v="0"/>
    <n v="10"/>
    <n v="2"/>
    <n v="3"/>
    <n v="10"/>
    <n v="9"/>
    <n v="1"/>
    <n v="8"/>
    <s v="High"/>
    <s v="Medium"/>
    <s v="High"/>
  </r>
  <r>
    <n v="59"/>
    <x v="1"/>
    <s v="Travel_Rarely"/>
    <n v="326"/>
    <x v="0"/>
    <n v="3"/>
    <n v="3"/>
    <s v="Life Sciences"/>
    <x v="0"/>
    <n v="1254"/>
    <n v="3"/>
    <s v="Female"/>
    <n v="48"/>
    <n v="2"/>
    <n v="2"/>
    <s v="Sales Executive"/>
    <n v="4"/>
    <s v="Single"/>
    <n v="5171"/>
    <n v="16490"/>
    <n v="5"/>
    <s v="Y"/>
    <x v="1"/>
    <n v="17"/>
    <n v="3"/>
    <n v="4"/>
    <n v="80"/>
    <n v="0"/>
    <n v="13"/>
    <n v="2"/>
    <n v="3"/>
    <n v="6"/>
    <n v="1"/>
    <n v="0"/>
    <n v="5"/>
    <s v="Low"/>
    <s v="Medium"/>
    <s v="Experienced"/>
  </r>
  <r>
    <n v="43"/>
    <x v="1"/>
    <s v="Travel_Rarely"/>
    <n v="920"/>
    <x v="1"/>
    <n v="3"/>
    <n v="3"/>
    <s v="Life Sciences"/>
    <x v="0"/>
    <n v="1255"/>
    <n v="3"/>
    <s v="Male"/>
    <n v="96"/>
    <n v="1"/>
    <n v="5"/>
    <s v="Research Director"/>
    <n v="4"/>
    <s v="Married"/>
    <n v="19740"/>
    <n v="18625"/>
    <n v="3"/>
    <s v="Y"/>
    <x v="1"/>
    <n v="14"/>
    <n v="3"/>
    <n v="2"/>
    <n v="80"/>
    <n v="1"/>
    <n v="25"/>
    <n v="2"/>
    <n v="3"/>
    <n v="8"/>
    <n v="7"/>
    <n v="0"/>
    <n v="7"/>
    <s v="High"/>
    <s v="High"/>
    <s v="High"/>
  </r>
  <r>
    <n v="49"/>
    <x v="1"/>
    <s v="Travel_Rarely"/>
    <n v="1098"/>
    <x v="1"/>
    <n v="4"/>
    <n v="2"/>
    <s v="Medical"/>
    <x v="0"/>
    <n v="1256"/>
    <n v="1"/>
    <s v="Male"/>
    <n v="85"/>
    <n v="2"/>
    <n v="5"/>
    <s v="Manager"/>
    <n v="3"/>
    <s v="Married"/>
    <n v="18711"/>
    <n v="12124"/>
    <n v="2"/>
    <s v="Y"/>
    <x v="1"/>
    <n v="13"/>
    <n v="3"/>
    <n v="3"/>
    <n v="80"/>
    <n v="1"/>
    <n v="23"/>
    <n v="2"/>
    <n v="4"/>
    <n v="1"/>
    <n v="0"/>
    <n v="0"/>
    <n v="0"/>
    <s v="High"/>
    <s v="High"/>
    <s v="new"/>
  </r>
  <r>
    <n v="36"/>
    <x v="1"/>
    <s v="Travel_Frequently"/>
    <n v="469"/>
    <x v="1"/>
    <n v="3"/>
    <n v="3"/>
    <s v="Technical Degree"/>
    <x v="0"/>
    <n v="1257"/>
    <n v="3"/>
    <s v="Male"/>
    <n v="46"/>
    <n v="3"/>
    <n v="1"/>
    <s v="Research Scientist"/>
    <n v="2"/>
    <s v="Married"/>
    <n v="3692"/>
    <n v="9256"/>
    <n v="1"/>
    <s v="Y"/>
    <x v="1"/>
    <n v="12"/>
    <n v="3"/>
    <n v="3"/>
    <n v="80"/>
    <n v="0"/>
    <n v="12"/>
    <n v="2"/>
    <n v="2"/>
    <n v="11"/>
    <n v="10"/>
    <n v="0"/>
    <n v="7"/>
    <s v="Low"/>
    <s v="Low"/>
    <s v="High"/>
  </r>
  <r>
    <n v="48"/>
    <x v="1"/>
    <s v="Travel_Rarely"/>
    <n v="969"/>
    <x v="1"/>
    <n v="2"/>
    <n v="2"/>
    <s v="Technical Degree"/>
    <x v="0"/>
    <n v="1258"/>
    <n v="4"/>
    <s v="Male"/>
    <n v="76"/>
    <n v="4"/>
    <n v="1"/>
    <s v="Laboratory Technician"/>
    <n v="2"/>
    <s v="Single"/>
    <n v="2559"/>
    <n v="16620"/>
    <n v="5"/>
    <s v="Y"/>
    <x v="1"/>
    <n v="11"/>
    <n v="3"/>
    <n v="3"/>
    <n v="80"/>
    <n v="0"/>
    <n v="7"/>
    <n v="4"/>
    <n v="2"/>
    <n v="1"/>
    <n v="0"/>
    <n v="0"/>
    <n v="0"/>
    <s v="Low"/>
    <s v="Low"/>
    <s v="new"/>
  </r>
  <r>
    <n v="27"/>
    <x v="1"/>
    <s v="Travel_Rarely"/>
    <n v="1167"/>
    <x v="1"/>
    <n v="4"/>
    <n v="2"/>
    <s v="Life Sciences"/>
    <x v="0"/>
    <n v="1259"/>
    <n v="1"/>
    <s v="Male"/>
    <n v="76"/>
    <n v="3"/>
    <n v="1"/>
    <s v="Research Scientist"/>
    <n v="3"/>
    <s v="Divorced"/>
    <n v="2517"/>
    <n v="3208"/>
    <n v="1"/>
    <s v="Y"/>
    <x v="1"/>
    <n v="11"/>
    <n v="3"/>
    <n v="2"/>
    <n v="80"/>
    <n v="3"/>
    <n v="5"/>
    <n v="2"/>
    <n v="3"/>
    <n v="5"/>
    <n v="3"/>
    <n v="0"/>
    <n v="3"/>
    <s v="Low"/>
    <s v="Low"/>
    <s v="Experienced"/>
  </r>
  <r>
    <n v="29"/>
    <x v="1"/>
    <s v="Travel_Rarely"/>
    <n v="1329"/>
    <x v="1"/>
    <n v="7"/>
    <n v="3"/>
    <s v="Life Sciences"/>
    <x v="0"/>
    <n v="1260"/>
    <n v="3"/>
    <s v="Male"/>
    <n v="82"/>
    <n v="3"/>
    <n v="2"/>
    <s v="Healthcare Representative"/>
    <n v="4"/>
    <s v="Divorced"/>
    <n v="6623"/>
    <n v="4204"/>
    <n v="1"/>
    <s v="Y"/>
    <x v="0"/>
    <n v="11"/>
    <n v="3"/>
    <n v="2"/>
    <n v="80"/>
    <n v="2"/>
    <n v="6"/>
    <n v="2"/>
    <n v="3"/>
    <n v="6"/>
    <n v="0"/>
    <n v="1"/>
    <n v="0"/>
    <s v="High"/>
    <s v="Medium"/>
    <s v="Experienced"/>
  </r>
  <r>
    <n v="48"/>
    <x v="1"/>
    <s v="Travel_Rarely"/>
    <n v="715"/>
    <x v="1"/>
    <n v="1"/>
    <n v="3"/>
    <s v="Life Sciences"/>
    <x v="0"/>
    <n v="1263"/>
    <n v="4"/>
    <s v="Male"/>
    <n v="76"/>
    <n v="2"/>
    <n v="5"/>
    <s v="Research Director"/>
    <n v="4"/>
    <s v="Single"/>
    <n v="18265"/>
    <n v="8733"/>
    <n v="6"/>
    <s v="Y"/>
    <x v="1"/>
    <n v="12"/>
    <n v="3"/>
    <n v="3"/>
    <n v="80"/>
    <n v="0"/>
    <n v="25"/>
    <n v="3"/>
    <n v="4"/>
    <n v="1"/>
    <n v="0"/>
    <n v="0"/>
    <n v="0"/>
    <s v="High"/>
    <s v="High"/>
    <s v="new"/>
  </r>
  <r>
    <n v="29"/>
    <x v="1"/>
    <s v="Travel_Rarely"/>
    <n v="694"/>
    <x v="1"/>
    <n v="1"/>
    <n v="3"/>
    <s v="Life Sciences"/>
    <x v="0"/>
    <n v="1264"/>
    <n v="4"/>
    <s v="Female"/>
    <n v="87"/>
    <n v="2"/>
    <n v="4"/>
    <s v="Research Director"/>
    <n v="4"/>
    <s v="Divorced"/>
    <n v="16124"/>
    <n v="3423"/>
    <n v="3"/>
    <s v="Y"/>
    <x v="1"/>
    <n v="14"/>
    <n v="3"/>
    <n v="2"/>
    <n v="80"/>
    <n v="2"/>
    <n v="9"/>
    <n v="2"/>
    <n v="2"/>
    <n v="7"/>
    <n v="7"/>
    <n v="1"/>
    <n v="7"/>
    <s v="High"/>
    <s v="High"/>
    <s v="Experienced"/>
  </r>
  <r>
    <n v="34"/>
    <x v="1"/>
    <s v="Travel_Rarely"/>
    <n v="1320"/>
    <x v="1"/>
    <n v="20"/>
    <n v="3"/>
    <s v="Technical Degree"/>
    <x v="0"/>
    <n v="1265"/>
    <n v="3"/>
    <s v="Female"/>
    <n v="89"/>
    <n v="4"/>
    <n v="1"/>
    <s v="Research Scientist"/>
    <n v="3"/>
    <s v="Married"/>
    <n v="2585"/>
    <n v="21643"/>
    <n v="0"/>
    <s v="Y"/>
    <x v="1"/>
    <n v="17"/>
    <n v="3"/>
    <n v="4"/>
    <n v="80"/>
    <n v="0"/>
    <n v="2"/>
    <n v="5"/>
    <n v="2"/>
    <n v="1"/>
    <n v="0"/>
    <n v="0"/>
    <n v="0"/>
    <s v="Low"/>
    <s v="Low"/>
    <s v="new"/>
  </r>
  <r>
    <n v="44"/>
    <x v="1"/>
    <s v="Travel_Rarely"/>
    <n v="1099"/>
    <x v="0"/>
    <n v="5"/>
    <n v="3"/>
    <s v="Marketing"/>
    <x v="0"/>
    <n v="1267"/>
    <n v="2"/>
    <s v="Male"/>
    <n v="88"/>
    <n v="3"/>
    <n v="5"/>
    <s v="Manager"/>
    <n v="2"/>
    <s v="Married"/>
    <n v="18213"/>
    <n v="8751"/>
    <n v="7"/>
    <s v="Y"/>
    <x v="1"/>
    <n v="11"/>
    <n v="3"/>
    <n v="3"/>
    <n v="80"/>
    <n v="1"/>
    <n v="26"/>
    <n v="5"/>
    <n v="3"/>
    <n v="22"/>
    <n v="9"/>
    <n v="3"/>
    <n v="10"/>
    <s v="High"/>
    <s v="High"/>
    <s v="High"/>
  </r>
  <r>
    <n v="33"/>
    <x v="1"/>
    <s v="Travel_Rarely"/>
    <n v="536"/>
    <x v="0"/>
    <n v="10"/>
    <n v="5"/>
    <s v="Marketing"/>
    <x v="0"/>
    <n v="1268"/>
    <n v="4"/>
    <s v="Male"/>
    <n v="82"/>
    <n v="4"/>
    <n v="3"/>
    <s v="Sales Executive"/>
    <n v="3"/>
    <s v="Divorced"/>
    <n v="8380"/>
    <n v="21708"/>
    <n v="0"/>
    <s v="Y"/>
    <x v="0"/>
    <n v="14"/>
    <n v="3"/>
    <n v="4"/>
    <n v="80"/>
    <n v="2"/>
    <n v="10"/>
    <n v="3"/>
    <n v="3"/>
    <n v="9"/>
    <n v="8"/>
    <n v="0"/>
    <n v="8"/>
    <s v="High"/>
    <s v="High"/>
    <s v="High"/>
  </r>
  <r>
    <n v="19"/>
    <x v="1"/>
    <s v="Travel_Rarely"/>
    <n v="265"/>
    <x v="1"/>
    <n v="25"/>
    <n v="3"/>
    <s v="Life Sciences"/>
    <x v="0"/>
    <n v="1269"/>
    <n v="2"/>
    <s v="Female"/>
    <n v="57"/>
    <n v="4"/>
    <n v="1"/>
    <s v="Research Scientist"/>
    <n v="4"/>
    <s v="Single"/>
    <n v="2994"/>
    <n v="21221"/>
    <n v="1"/>
    <s v="Y"/>
    <x v="0"/>
    <n v="12"/>
    <n v="3"/>
    <n v="4"/>
    <n v="80"/>
    <n v="0"/>
    <n v="1"/>
    <n v="2"/>
    <n v="3"/>
    <n v="1"/>
    <n v="0"/>
    <n v="0"/>
    <n v="1"/>
    <s v="Low"/>
    <s v="Low"/>
    <s v="new"/>
  </r>
  <r>
    <n v="23"/>
    <x v="1"/>
    <s v="Travel_Rarely"/>
    <n v="373"/>
    <x v="1"/>
    <n v="1"/>
    <n v="2"/>
    <s v="Life Sciences"/>
    <x v="0"/>
    <n v="1270"/>
    <n v="4"/>
    <s v="Male"/>
    <n v="47"/>
    <n v="3"/>
    <n v="1"/>
    <s v="Research Scientist"/>
    <n v="3"/>
    <s v="Married"/>
    <n v="1223"/>
    <n v="16901"/>
    <n v="1"/>
    <s v="Y"/>
    <x v="1"/>
    <n v="22"/>
    <n v="4"/>
    <n v="4"/>
    <n v="80"/>
    <n v="1"/>
    <n v="1"/>
    <n v="2"/>
    <n v="3"/>
    <n v="1"/>
    <n v="0"/>
    <n v="0"/>
    <n v="1"/>
    <s v="Low"/>
    <s v="Low"/>
    <s v="new"/>
  </r>
  <r>
    <n v="25"/>
    <x v="0"/>
    <s v="Travel_Frequently"/>
    <n v="599"/>
    <x v="0"/>
    <n v="24"/>
    <n v="1"/>
    <s v="Life Sciences"/>
    <x v="0"/>
    <n v="1273"/>
    <n v="3"/>
    <s v="Male"/>
    <n v="73"/>
    <n v="1"/>
    <n v="1"/>
    <s v="Sales Representative"/>
    <n v="4"/>
    <s v="Single"/>
    <n v="1118"/>
    <n v="8040"/>
    <n v="1"/>
    <s v="Y"/>
    <x v="0"/>
    <n v="14"/>
    <n v="3"/>
    <n v="4"/>
    <n v="80"/>
    <n v="0"/>
    <n v="1"/>
    <n v="4"/>
    <n v="3"/>
    <n v="1"/>
    <n v="0"/>
    <n v="1"/>
    <n v="0"/>
    <s v="Low"/>
    <s v="Low"/>
    <s v="new"/>
  </r>
  <r>
    <n v="26"/>
    <x v="1"/>
    <s v="Travel_Rarely"/>
    <n v="583"/>
    <x v="1"/>
    <n v="4"/>
    <n v="2"/>
    <s v="Life Sciences"/>
    <x v="0"/>
    <n v="1275"/>
    <n v="3"/>
    <s v="Male"/>
    <n v="53"/>
    <n v="3"/>
    <n v="1"/>
    <s v="Research Scientist"/>
    <n v="4"/>
    <s v="Single"/>
    <n v="2875"/>
    <n v="9973"/>
    <n v="1"/>
    <s v="Y"/>
    <x v="0"/>
    <n v="20"/>
    <n v="4"/>
    <n v="2"/>
    <n v="80"/>
    <n v="0"/>
    <n v="8"/>
    <n v="2"/>
    <n v="2"/>
    <n v="8"/>
    <n v="5"/>
    <n v="2"/>
    <n v="2"/>
    <s v="Low"/>
    <s v="Low"/>
    <s v="High"/>
  </r>
  <r>
    <n v="45"/>
    <x v="0"/>
    <s v="Travel_Rarely"/>
    <n v="1449"/>
    <x v="0"/>
    <n v="2"/>
    <n v="3"/>
    <s v="Marketing"/>
    <x v="0"/>
    <n v="1277"/>
    <n v="1"/>
    <s v="Female"/>
    <n v="94"/>
    <n v="1"/>
    <n v="5"/>
    <s v="Manager"/>
    <n v="2"/>
    <s v="Single"/>
    <n v="18824"/>
    <n v="2493"/>
    <n v="2"/>
    <s v="Y"/>
    <x v="0"/>
    <n v="16"/>
    <n v="3"/>
    <n v="1"/>
    <n v="80"/>
    <n v="0"/>
    <n v="26"/>
    <n v="2"/>
    <n v="3"/>
    <n v="24"/>
    <n v="10"/>
    <n v="1"/>
    <n v="11"/>
    <s v="High"/>
    <s v="High"/>
    <s v="High"/>
  </r>
  <r>
    <n v="55"/>
    <x v="1"/>
    <s v="Non-Travel"/>
    <n v="177"/>
    <x v="1"/>
    <n v="8"/>
    <n v="1"/>
    <s v="Medical"/>
    <x v="0"/>
    <n v="1278"/>
    <n v="4"/>
    <s v="Male"/>
    <n v="37"/>
    <n v="2"/>
    <n v="4"/>
    <s v="Healthcare Representative"/>
    <n v="2"/>
    <s v="Divorced"/>
    <n v="13577"/>
    <n v="25592"/>
    <n v="1"/>
    <s v="Y"/>
    <x v="0"/>
    <n v="15"/>
    <n v="3"/>
    <n v="4"/>
    <n v="80"/>
    <n v="1"/>
    <n v="34"/>
    <n v="3"/>
    <n v="3"/>
    <n v="33"/>
    <n v="9"/>
    <n v="15"/>
    <n v="0"/>
    <s v="High"/>
    <s v="High"/>
    <s v="High"/>
  </r>
  <r>
    <n v="21"/>
    <x v="0"/>
    <s v="Travel_Frequently"/>
    <n v="251"/>
    <x v="1"/>
    <n v="10"/>
    <n v="2"/>
    <s v="Life Sciences"/>
    <x v="0"/>
    <n v="1279"/>
    <n v="1"/>
    <s v="Female"/>
    <n v="45"/>
    <n v="2"/>
    <n v="1"/>
    <s v="Laboratory Technician"/>
    <n v="3"/>
    <s v="Single"/>
    <n v="2625"/>
    <n v="25308"/>
    <n v="1"/>
    <s v="Y"/>
    <x v="1"/>
    <n v="20"/>
    <n v="4"/>
    <n v="3"/>
    <n v="80"/>
    <n v="0"/>
    <n v="2"/>
    <n v="2"/>
    <n v="1"/>
    <n v="2"/>
    <n v="2"/>
    <n v="2"/>
    <n v="2"/>
    <s v="Low"/>
    <s v="Low"/>
    <s v="new"/>
  </r>
  <r>
    <n v="46"/>
    <x v="1"/>
    <s v="Travel_Rarely"/>
    <n v="168"/>
    <x v="0"/>
    <n v="4"/>
    <n v="2"/>
    <s v="Marketing"/>
    <x v="0"/>
    <n v="1280"/>
    <n v="4"/>
    <s v="Female"/>
    <n v="33"/>
    <n v="2"/>
    <n v="5"/>
    <s v="Manager"/>
    <n v="2"/>
    <s v="Married"/>
    <n v="18789"/>
    <n v="9946"/>
    <n v="2"/>
    <s v="Y"/>
    <x v="1"/>
    <n v="14"/>
    <n v="3"/>
    <n v="3"/>
    <n v="80"/>
    <n v="1"/>
    <n v="26"/>
    <n v="2"/>
    <n v="3"/>
    <n v="11"/>
    <n v="4"/>
    <n v="0"/>
    <n v="8"/>
    <s v="High"/>
    <s v="High"/>
    <s v="High"/>
  </r>
  <r>
    <n v="34"/>
    <x v="1"/>
    <s v="Travel_Rarely"/>
    <n v="131"/>
    <x v="0"/>
    <n v="2"/>
    <n v="3"/>
    <s v="Marketing"/>
    <x v="0"/>
    <n v="1281"/>
    <n v="3"/>
    <s v="Female"/>
    <n v="86"/>
    <n v="3"/>
    <n v="2"/>
    <s v="Sales Executive"/>
    <n v="1"/>
    <s v="Single"/>
    <n v="4538"/>
    <n v="6039"/>
    <n v="0"/>
    <s v="Y"/>
    <x v="0"/>
    <n v="12"/>
    <n v="3"/>
    <n v="4"/>
    <n v="80"/>
    <n v="0"/>
    <n v="4"/>
    <n v="3"/>
    <n v="3"/>
    <n v="3"/>
    <n v="2"/>
    <n v="0"/>
    <n v="2"/>
    <s v="Low"/>
    <s v="Medium"/>
    <s v="Experienced"/>
  </r>
  <r>
    <n v="51"/>
    <x v="1"/>
    <s v="Travel_Frequently"/>
    <n v="237"/>
    <x v="0"/>
    <n v="9"/>
    <n v="3"/>
    <s v="Life Sciences"/>
    <x v="0"/>
    <n v="1282"/>
    <n v="4"/>
    <s v="Male"/>
    <n v="83"/>
    <n v="3"/>
    <n v="5"/>
    <s v="Manager"/>
    <n v="2"/>
    <s v="Divorced"/>
    <n v="19847"/>
    <n v="19196"/>
    <n v="4"/>
    <s v="Y"/>
    <x v="0"/>
    <n v="24"/>
    <n v="4"/>
    <n v="1"/>
    <n v="80"/>
    <n v="1"/>
    <n v="31"/>
    <n v="5"/>
    <n v="2"/>
    <n v="29"/>
    <n v="10"/>
    <n v="11"/>
    <n v="10"/>
    <s v="High"/>
    <s v="High"/>
    <s v="High"/>
  </r>
  <r>
    <n v="59"/>
    <x v="1"/>
    <s v="Travel_Rarely"/>
    <n v="1429"/>
    <x v="1"/>
    <n v="18"/>
    <n v="4"/>
    <s v="Medical"/>
    <x v="0"/>
    <n v="1283"/>
    <n v="4"/>
    <s v="Male"/>
    <n v="67"/>
    <n v="3"/>
    <n v="3"/>
    <s v="Manufacturing Director"/>
    <n v="4"/>
    <s v="Single"/>
    <n v="10512"/>
    <n v="20002"/>
    <n v="6"/>
    <s v="Y"/>
    <x v="1"/>
    <n v="12"/>
    <n v="3"/>
    <n v="4"/>
    <n v="80"/>
    <n v="0"/>
    <n v="25"/>
    <n v="6"/>
    <n v="2"/>
    <n v="9"/>
    <n v="7"/>
    <n v="5"/>
    <n v="4"/>
    <s v="High"/>
    <s v="High"/>
    <s v="High"/>
  </r>
  <r>
    <n v="34"/>
    <x v="1"/>
    <s v="Travel_Frequently"/>
    <n v="135"/>
    <x v="1"/>
    <n v="19"/>
    <n v="3"/>
    <s v="Medical"/>
    <x v="0"/>
    <n v="1285"/>
    <n v="3"/>
    <s v="Female"/>
    <n v="46"/>
    <n v="3"/>
    <n v="2"/>
    <s v="Laboratory Technician"/>
    <n v="2"/>
    <s v="Divorced"/>
    <n v="4444"/>
    <n v="22534"/>
    <n v="4"/>
    <s v="Y"/>
    <x v="1"/>
    <n v="13"/>
    <n v="3"/>
    <n v="3"/>
    <n v="80"/>
    <n v="2"/>
    <n v="15"/>
    <n v="2"/>
    <n v="4"/>
    <n v="11"/>
    <n v="8"/>
    <n v="5"/>
    <n v="10"/>
    <s v="Low"/>
    <s v="Medium"/>
    <s v="High"/>
  </r>
  <r>
    <n v="28"/>
    <x v="1"/>
    <s v="Travel_Frequently"/>
    <n v="791"/>
    <x v="1"/>
    <n v="1"/>
    <n v="4"/>
    <s v="Medical"/>
    <x v="0"/>
    <n v="1286"/>
    <n v="4"/>
    <s v="Male"/>
    <n v="44"/>
    <n v="3"/>
    <n v="1"/>
    <s v="Laboratory Technician"/>
    <n v="3"/>
    <s v="Single"/>
    <n v="2154"/>
    <n v="6842"/>
    <n v="0"/>
    <s v="Y"/>
    <x v="0"/>
    <n v="11"/>
    <n v="3"/>
    <n v="3"/>
    <n v="80"/>
    <n v="0"/>
    <n v="5"/>
    <n v="2"/>
    <n v="2"/>
    <n v="4"/>
    <n v="2"/>
    <n v="0"/>
    <n v="2"/>
    <s v="Low"/>
    <s v="Low"/>
    <s v="Experienced"/>
  </r>
  <r>
    <n v="44"/>
    <x v="1"/>
    <s v="Travel_Rarely"/>
    <n v="1199"/>
    <x v="1"/>
    <n v="4"/>
    <n v="2"/>
    <s v="Life Sciences"/>
    <x v="0"/>
    <n v="1288"/>
    <n v="3"/>
    <s v="Male"/>
    <n v="92"/>
    <n v="4"/>
    <n v="5"/>
    <s v="Manager"/>
    <n v="1"/>
    <s v="Divorced"/>
    <n v="19190"/>
    <n v="17477"/>
    <n v="1"/>
    <s v="Y"/>
    <x v="1"/>
    <n v="14"/>
    <n v="3"/>
    <n v="4"/>
    <n v="80"/>
    <n v="2"/>
    <n v="26"/>
    <n v="4"/>
    <n v="2"/>
    <n v="25"/>
    <n v="9"/>
    <n v="14"/>
    <n v="13"/>
    <s v="High"/>
    <s v="High"/>
    <s v="High"/>
  </r>
  <r>
    <n v="34"/>
    <x v="1"/>
    <s v="Travel_Frequently"/>
    <n v="648"/>
    <x v="2"/>
    <n v="11"/>
    <n v="3"/>
    <s v="Life Sciences"/>
    <x v="0"/>
    <n v="1289"/>
    <n v="3"/>
    <s v="Male"/>
    <n v="56"/>
    <n v="2"/>
    <n v="2"/>
    <s v="Human Resources"/>
    <n v="2"/>
    <s v="Married"/>
    <n v="4490"/>
    <n v="21833"/>
    <n v="4"/>
    <s v="Y"/>
    <x v="1"/>
    <n v="11"/>
    <n v="3"/>
    <n v="4"/>
    <n v="80"/>
    <n v="2"/>
    <n v="14"/>
    <n v="5"/>
    <n v="4"/>
    <n v="10"/>
    <n v="9"/>
    <n v="1"/>
    <n v="8"/>
    <s v="Low"/>
    <s v="Medium"/>
    <s v="High"/>
  </r>
  <r>
    <n v="35"/>
    <x v="1"/>
    <s v="Travel_Rarely"/>
    <n v="735"/>
    <x v="1"/>
    <n v="6"/>
    <n v="1"/>
    <s v="Life Sciences"/>
    <x v="0"/>
    <n v="1291"/>
    <n v="3"/>
    <s v="Male"/>
    <n v="66"/>
    <n v="3"/>
    <n v="1"/>
    <s v="Research Scientist"/>
    <n v="3"/>
    <s v="Married"/>
    <n v="3506"/>
    <n v="6020"/>
    <n v="0"/>
    <s v="Y"/>
    <x v="0"/>
    <n v="14"/>
    <n v="3"/>
    <n v="4"/>
    <n v="80"/>
    <n v="0"/>
    <n v="4"/>
    <n v="3"/>
    <n v="3"/>
    <n v="3"/>
    <n v="2"/>
    <n v="2"/>
    <n v="2"/>
    <s v="Low"/>
    <s v="Low"/>
    <s v="Experienced"/>
  </r>
  <r>
    <n v="42"/>
    <x v="1"/>
    <s v="Travel_Rarely"/>
    <n v="603"/>
    <x v="1"/>
    <n v="7"/>
    <n v="4"/>
    <s v="Medical"/>
    <x v="0"/>
    <n v="1292"/>
    <n v="2"/>
    <s v="Female"/>
    <n v="78"/>
    <n v="4"/>
    <n v="2"/>
    <s v="Research Scientist"/>
    <n v="2"/>
    <s v="Married"/>
    <n v="2372"/>
    <n v="5628"/>
    <n v="6"/>
    <s v="Y"/>
    <x v="0"/>
    <n v="16"/>
    <n v="3"/>
    <n v="4"/>
    <n v="80"/>
    <n v="0"/>
    <n v="18"/>
    <n v="2"/>
    <n v="3"/>
    <n v="1"/>
    <n v="0"/>
    <n v="0"/>
    <n v="0"/>
    <s v="Low"/>
    <s v="Low"/>
    <s v="new"/>
  </r>
  <r>
    <n v="43"/>
    <x v="1"/>
    <s v="Travel_Rarely"/>
    <n v="531"/>
    <x v="0"/>
    <n v="4"/>
    <n v="4"/>
    <s v="Marketing"/>
    <x v="0"/>
    <n v="1293"/>
    <n v="4"/>
    <s v="Female"/>
    <n v="56"/>
    <n v="2"/>
    <n v="3"/>
    <s v="Sales Executive"/>
    <n v="4"/>
    <s v="Single"/>
    <n v="10231"/>
    <n v="20364"/>
    <n v="3"/>
    <s v="Y"/>
    <x v="1"/>
    <n v="14"/>
    <n v="3"/>
    <n v="4"/>
    <n v="80"/>
    <n v="0"/>
    <n v="23"/>
    <n v="3"/>
    <n v="4"/>
    <n v="21"/>
    <n v="7"/>
    <n v="15"/>
    <n v="17"/>
    <s v="High"/>
    <s v="High"/>
    <s v="High"/>
  </r>
  <r>
    <n v="36"/>
    <x v="1"/>
    <s v="Travel_Rarely"/>
    <n v="429"/>
    <x v="1"/>
    <n v="2"/>
    <n v="4"/>
    <s v="Life Sciences"/>
    <x v="0"/>
    <n v="1294"/>
    <n v="3"/>
    <s v="Female"/>
    <n v="53"/>
    <n v="3"/>
    <n v="2"/>
    <s v="Manufacturing Director"/>
    <n v="2"/>
    <s v="Single"/>
    <n v="5410"/>
    <n v="2323"/>
    <n v="9"/>
    <s v="Y"/>
    <x v="0"/>
    <n v="11"/>
    <n v="3"/>
    <n v="4"/>
    <n v="80"/>
    <n v="0"/>
    <n v="18"/>
    <n v="2"/>
    <n v="3"/>
    <n v="16"/>
    <n v="14"/>
    <n v="5"/>
    <n v="12"/>
    <s v="Low"/>
    <s v="Medium"/>
    <s v="High"/>
  </r>
  <r>
    <n v="44"/>
    <x v="0"/>
    <s v="Travel_Rarely"/>
    <n v="621"/>
    <x v="1"/>
    <n v="15"/>
    <n v="3"/>
    <s v="Medical"/>
    <x v="0"/>
    <n v="1295"/>
    <n v="1"/>
    <s v="Female"/>
    <n v="73"/>
    <n v="3"/>
    <n v="3"/>
    <s v="Healthcare Representative"/>
    <n v="4"/>
    <s v="Married"/>
    <n v="7978"/>
    <n v="14075"/>
    <n v="1"/>
    <s v="Y"/>
    <x v="1"/>
    <n v="11"/>
    <n v="3"/>
    <n v="4"/>
    <n v="80"/>
    <n v="1"/>
    <n v="10"/>
    <n v="2"/>
    <n v="3"/>
    <n v="10"/>
    <n v="7"/>
    <n v="0"/>
    <n v="5"/>
    <s v="High"/>
    <s v="Medium"/>
    <s v="High"/>
  </r>
  <r>
    <n v="28"/>
    <x v="1"/>
    <s v="Travel_Frequently"/>
    <n v="193"/>
    <x v="1"/>
    <n v="2"/>
    <n v="3"/>
    <s v="Life Sciences"/>
    <x v="0"/>
    <n v="1296"/>
    <n v="4"/>
    <s v="Male"/>
    <n v="52"/>
    <n v="2"/>
    <n v="1"/>
    <s v="Laboratory Technician"/>
    <n v="4"/>
    <s v="Married"/>
    <n v="3867"/>
    <n v="14222"/>
    <n v="1"/>
    <s v="Y"/>
    <x v="0"/>
    <n v="12"/>
    <n v="3"/>
    <n v="2"/>
    <n v="80"/>
    <n v="1"/>
    <n v="2"/>
    <n v="2"/>
    <n v="3"/>
    <n v="2"/>
    <n v="2"/>
    <n v="2"/>
    <n v="2"/>
    <s v="Low"/>
    <s v="Low"/>
    <s v="new"/>
  </r>
  <r>
    <n v="51"/>
    <x v="1"/>
    <s v="Travel_Frequently"/>
    <n v="968"/>
    <x v="1"/>
    <n v="6"/>
    <n v="2"/>
    <s v="Medical"/>
    <x v="0"/>
    <n v="1297"/>
    <n v="2"/>
    <s v="Female"/>
    <n v="40"/>
    <n v="2"/>
    <n v="1"/>
    <s v="Laboratory Technician"/>
    <n v="3"/>
    <s v="Single"/>
    <n v="2838"/>
    <n v="4257"/>
    <n v="0"/>
    <s v="Y"/>
    <x v="1"/>
    <n v="14"/>
    <n v="3"/>
    <n v="2"/>
    <n v="80"/>
    <n v="0"/>
    <n v="8"/>
    <n v="6"/>
    <n v="2"/>
    <n v="7"/>
    <n v="0"/>
    <n v="7"/>
    <n v="7"/>
    <s v="Low"/>
    <s v="Low"/>
    <s v="Experienced"/>
  </r>
  <r>
    <n v="30"/>
    <x v="1"/>
    <s v="Non-Travel"/>
    <n v="879"/>
    <x v="1"/>
    <n v="9"/>
    <n v="2"/>
    <s v="Medical"/>
    <x v="0"/>
    <n v="1298"/>
    <n v="3"/>
    <s v="Female"/>
    <n v="72"/>
    <n v="3"/>
    <n v="2"/>
    <s v="Manufacturing Director"/>
    <n v="3"/>
    <s v="Single"/>
    <n v="4695"/>
    <n v="12858"/>
    <n v="7"/>
    <s v="Y"/>
    <x v="0"/>
    <n v="18"/>
    <n v="3"/>
    <n v="3"/>
    <n v="80"/>
    <n v="0"/>
    <n v="10"/>
    <n v="3"/>
    <n v="3"/>
    <n v="8"/>
    <n v="4"/>
    <n v="1"/>
    <n v="7"/>
    <s v="Low"/>
    <s v="Medium"/>
    <s v="High"/>
  </r>
  <r>
    <n v="29"/>
    <x v="0"/>
    <s v="Travel_Rarely"/>
    <n v="806"/>
    <x v="1"/>
    <n v="7"/>
    <n v="3"/>
    <s v="Technical Degree"/>
    <x v="0"/>
    <n v="1299"/>
    <n v="2"/>
    <s v="Female"/>
    <n v="39"/>
    <n v="3"/>
    <n v="1"/>
    <s v="Laboratory Technician"/>
    <n v="3"/>
    <s v="Divorced"/>
    <n v="3339"/>
    <n v="17285"/>
    <n v="3"/>
    <s v="Y"/>
    <x v="0"/>
    <n v="13"/>
    <n v="3"/>
    <n v="1"/>
    <n v="80"/>
    <n v="2"/>
    <n v="10"/>
    <n v="2"/>
    <n v="3"/>
    <n v="7"/>
    <n v="7"/>
    <n v="7"/>
    <n v="7"/>
    <s v="Low"/>
    <s v="Low"/>
    <s v="Experienced"/>
  </r>
  <r>
    <n v="28"/>
    <x v="1"/>
    <s v="Travel_Rarely"/>
    <n v="640"/>
    <x v="1"/>
    <n v="1"/>
    <n v="3"/>
    <s v="Technical Degree"/>
    <x v="0"/>
    <n v="1301"/>
    <n v="4"/>
    <s v="Male"/>
    <n v="84"/>
    <n v="3"/>
    <n v="1"/>
    <s v="Research Scientist"/>
    <n v="1"/>
    <s v="Single"/>
    <n v="2080"/>
    <n v="4732"/>
    <n v="2"/>
    <s v="Y"/>
    <x v="1"/>
    <n v="11"/>
    <n v="3"/>
    <n v="2"/>
    <n v="80"/>
    <n v="0"/>
    <n v="5"/>
    <n v="2"/>
    <n v="2"/>
    <n v="3"/>
    <n v="2"/>
    <n v="1"/>
    <n v="2"/>
    <s v="Low"/>
    <s v="Low"/>
    <s v="Experienced"/>
  </r>
  <r>
    <n v="25"/>
    <x v="1"/>
    <s v="Travel_Rarely"/>
    <n v="266"/>
    <x v="1"/>
    <n v="1"/>
    <n v="3"/>
    <s v="Medical"/>
    <x v="0"/>
    <n v="1303"/>
    <n v="4"/>
    <s v="Female"/>
    <n v="40"/>
    <n v="3"/>
    <n v="1"/>
    <s v="Research Scientist"/>
    <n v="2"/>
    <s v="Single"/>
    <n v="2096"/>
    <n v="18830"/>
    <n v="1"/>
    <s v="Y"/>
    <x v="1"/>
    <n v="18"/>
    <n v="3"/>
    <n v="4"/>
    <n v="80"/>
    <n v="0"/>
    <n v="2"/>
    <n v="3"/>
    <n v="2"/>
    <n v="2"/>
    <n v="2"/>
    <n v="2"/>
    <n v="1"/>
    <s v="Low"/>
    <s v="Low"/>
    <s v="new"/>
  </r>
  <r>
    <n v="32"/>
    <x v="1"/>
    <s v="Travel_Rarely"/>
    <n v="604"/>
    <x v="0"/>
    <n v="8"/>
    <n v="3"/>
    <s v="Medical"/>
    <x v="0"/>
    <n v="1304"/>
    <n v="3"/>
    <s v="Male"/>
    <n v="56"/>
    <n v="4"/>
    <n v="2"/>
    <s v="Sales Executive"/>
    <n v="4"/>
    <s v="Married"/>
    <n v="6209"/>
    <n v="11693"/>
    <n v="1"/>
    <s v="Y"/>
    <x v="1"/>
    <n v="15"/>
    <n v="3"/>
    <n v="3"/>
    <n v="80"/>
    <n v="2"/>
    <n v="10"/>
    <n v="4"/>
    <n v="4"/>
    <n v="10"/>
    <n v="7"/>
    <n v="0"/>
    <n v="8"/>
    <s v="Low"/>
    <s v="Medium"/>
    <s v="High"/>
  </r>
  <r>
    <n v="45"/>
    <x v="1"/>
    <s v="Travel_Frequently"/>
    <n v="364"/>
    <x v="1"/>
    <n v="25"/>
    <n v="3"/>
    <s v="Medical"/>
    <x v="0"/>
    <n v="1306"/>
    <n v="2"/>
    <s v="Female"/>
    <n v="83"/>
    <n v="3"/>
    <n v="5"/>
    <s v="Manager"/>
    <n v="2"/>
    <s v="Single"/>
    <n v="18061"/>
    <n v="13035"/>
    <n v="3"/>
    <s v="Y"/>
    <x v="1"/>
    <n v="22"/>
    <n v="4"/>
    <n v="3"/>
    <n v="80"/>
    <n v="0"/>
    <n v="22"/>
    <n v="4"/>
    <n v="3"/>
    <n v="0"/>
    <n v="0"/>
    <n v="0"/>
    <n v="0"/>
    <s v="High"/>
    <s v="High"/>
    <s v="new"/>
  </r>
  <r>
    <n v="39"/>
    <x v="1"/>
    <s v="Travel_Rarely"/>
    <n v="412"/>
    <x v="1"/>
    <n v="13"/>
    <n v="4"/>
    <s v="Medical"/>
    <x v="0"/>
    <n v="1307"/>
    <n v="3"/>
    <s v="Female"/>
    <n v="94"/>
    <n v="2"/>
    <n v="4"/>
    <s v="Manager"/>
    <n v="2"/>
    <s v="Divorced"/>
    <n v="17123"/>
    <n v="17334"/>
    <n v="6"/>
    <s v="Y"/>
    <x v="0"/>
    <n v="13"/>
    <n v="3"/>
    <n v="4"/>
    <n v="80"/>
    <n v="2"/>
    <n v="21"/>
    <n v="4"/>
    <n v="3"/>
    <n v="19"/>
    <n v="9"/>
    <n v="15"/>
    <n v="2"/>
    <s v="High"/>
    <s v="High"/>
    <s v="High"/>
  </r>
  <r>
    <n v="58"/>
    <x v="1"/>
    <s v="Travel_Rarely"/>
    <n v="848"/>
    <x v="1"/>
    <n v="23"/>
    <n v="4"/>
    <s v="Life Sciences"/>
    <x v="0"/>
    <n v="1308"/>
    <n v="1"/>
    <s v="Male"/>
    <n v="88"/>
    <n v="3"/>
    <n v="1"/>
    <s v="Research Scientist"/>
    <n v="3"/>
    <s v="Divorced"/>
    <n v="2372"/>
    <n v="26076"/>
    <n v="1"/>
    <s v="Y"/>
    <x v="1"/>
    <n v="12"/>
    <n v="3"/>
    <n v="4"/>
    <n v="80"/>
    <n v="2"/>
    <n v="2"/>
    <n v="3"/>
    <n v="3"/>
    <n v="2"/>
    <n v="2"/>
    <n v="2"/>
    <n v="2"/>
    <s v="Low"/>
    <s v="Low"/>
    <s v="new"/>
  </r>
  <r>
    <n v="32"/>
    <x v="0"/>
    <s v="Travel_Rarely"/>
    <n v="1089"/>
    <x v="1"/>
    <n v="7"/>
    <n v="2"/>
    <s v="Life Sciences"/>
    <x v="0"/>
    <n v="1309"/>
    <n v="4"/>
    <s v="Male"/>
    <n v="79"/>
    <n v="3"/>
    <n v="2"/>
    <s v="Laboratory Technician"/>
    <n v="3"/>
    <s v="Married"/>
    <n v="4883"/>
    <n v="22845"/>
    <n v="1"/>
    <s v="Y"/>
    <x v="1"/>
    <n v="18"/>
    <n v="3"/>
    <n v="1"/>
    <n v="80"/>
    <n v="1"/>
    <n v="10"/>
    <n v="3"/>
    <n v="3"/>
    <n v="10"/>
    <n v="4"/>
    <n v="1"/>
    <n v="1"/>
    <s v="Low"/>
    <s v="Medium"/>
    <s v="High"/>
  </r>
  <r>
    <n v="39"/>
    <x v="0"/>
    <s v="Travel_Rarely"/>
    <n v="360"/>
    <x v="1"/>
    <n v="23"/>
    <n v="3"/>
    <s v="Medical"/>
    <x v="0"/>
    <n v="1310"/>
    <n v="3"/>
    <s v="Male"/>
    <n v="93"/>
    <n v="3"/>
    <n v="1"/>
    <s v="Research Scientist"/>
    <n v="1"/>
    <s v="Single"/>
    <n v="3904"/>
    <n v="22154"/>
    <n v="0"/>
    <s v="Y"/>
    <x v="1"/>
    <n v="13"/>
    <n v="3"/>
    <n v="1"/>
    <n v="80"/>
    <n v="0"/>
    <n v="6"/>
    <n v="2"/>
    <n v="3"/>
    <n v="5"/>
    <n v="2"/>
    <n v="0"/>
    <n v="3"/>
    <s v="Low"/>
    <s v="Low"/>
    <s v="Experienced"/>
  </r>
  <r>
    <n v="30"/>
    <x v="1"/>
    <s v="Travel_Rarely"/>
    <n v="1138"/>
    <x v="1"/>
    <n v="6"/>
    <n v="3"/>
    <s v="Technical Degree"/>
    <x v="0"/>
    <n v="1311"/>
    <n v="1"/>
    <s v="Female"/>
    <n v="48"/>
    <n v="2"/>
    <n v="2"/>
    <s v="Laboratory Technician"/>
    <n v="4"/>
    <s v="Married"/>
    <n v="4627"/>
    <n v="23631"/>
    <n v="0"/>
    <s v="Y"/>
    <x v="1"/>
    <n v="12"/>
    <n v="3"/>
    <n v="1"/>
    <n v="80"/>
    <n v="1"/>
    <n v="10"/>
    <n v="6"/>
    <n v="3"/>
    <n v="9"/>
    <n v="2"/>
    <n v="6"/>
    <n v="7"/>
    <s v="Low"/>
    <s v="Medium"/>
    <s v="High"/>
  </r>
  <r>
    <n v="36"/>
    <x v="1"/>
    <s v="Travel_Rarely"/>
    <n v="325"/>
    <x v="1"/>
    <n v="10"/>
    <n v="4"/>
    <s v="Technical Degree"/>
    <x v="0"/>
    <n v="1312"/>
    <n v="4"/>
    <s v="Female"/>
    <n v="63"/>
    <n v="3"/>
    <n v="3"/>
    <s v="Healthcare Representative"/>
    <n v="3"/>
    <s v="Married"/>
    <n v="7094"/>
    <n v="5747"/>
    <n v="3"/>
    <s v="Y"/>
    <x v="1"/>
    <n v="12"/>
    <n v="3"/>
    <n v="1"/>
    <n v="80"/>
    <n v="0"/>
    <n v="10"/>
    <n v="0"/>
    <n v="3"/>
    <n v="7"/>
    <n v="7"/>
    <n v="1"/>
    <n v="7"/>
    <s v="High"/>
    <s v="Medium"/>
    <s v="Experienced"/>
  </r>
  <r>
    <n v="46"/>
    <x v="1"/>
    <s v="Travel_Rarely"/>
    <n v="991"/>
    <x v="2"/>
    <n v="1"/>
    <n v="2"/>
    <s v="Life Sciences"/>
    <x v="0"/>
    <n v="1314"/>
    <n v="4"/>
    <s v="Female"/>
    <n v="44"/>
    <n v="3"/>
    <n v="1"/>
    <s v="Human Resources"/>
    <n v="1"/>
    <s v="Single"/>
    <n v="3423"/>
    <n v="22957"/>
    <n v="6"/>
    <s v="Y"/>
    <x v="1"/>
    <n v="12"/>
    <n v="3"/>
    <n v="3"/>
    <n v="80"/>
    <n v="0"/>
    <n v="10"/>
    <n v="3"/>
    <n v="4"/>
    <n v="7"/>
    <n v="6"/>
    <n v="5"/>
    <n v="7"/>
    <s v="Low"/>
    <s v="Low"/>
    <s v="Experienced"/>
  </r>
  <r>
    <n v="28"/>
    <x v="1"/>
    <s v="Non-Travel"/>
    <n v="1476"/>
    <x v="1"/>
    <n v="1"/>
    <n v="3"/>
    <s v="Life Sciences"/>
    <x v="0"/>
    <n v="1315"/>
    <n v="3"/>
    <s v="Female"/>
    <n v="55"/>
    <n v="1"/>
    <n v="2"/>
    <s v="Laboratory Technician"/>
    <n v="4"/>
    <s v="Married"/>
    <n v="6674"/>
    <n v="16392"/>
    <n v="0"/>
    <s v="Y"/>
    <x v="1"/>
    <n v="11"/>
    <n v="3"/>
    <n v="1"/>
    <n v="80"/>
    <n v="3"/>
    <n v="10"/>
    <n v="6"/>
    <n v="3"/>
    <n v="9"/>
    <n v="8"/>
    <n v="7"/>
    <n v="5"/>
    <s v="High"/>
    <s v="Medium"/>
    <s v="High"/>
  </r>
  <r>
    <n v="50"/>
    <x v="1"/>
    <s v="Travel_Rarely"/>
    <n v="1322"/>
    <x v="1"/>
    <n v="28"/>
    <n v="3"/>
    <s v="Life Sciences"/>
    <x v="0"/>
    <n v="1317"/>
    <n v="4"/>
    <s v="Female"/>
    <n v="43"/>
    <n v="3"/>
    <n v="4"/>
    <s v="Research Director"/>
    <n v="1"/>
    <s v="Married"/>
    <n v="16880"/>
    <n v="22422"/>
    <n v="4"/>
    <s v="Y"/>
    <x v="0"/>
    <n v="11"/>
    <n v="3"/>
    <n v="2"/>
    <n v="80"/>
    <n v="0"/>
    <n v="25"/>
    <n v="2"/>
    <n v="3"/>
    <n v="3"/>
    <n v="2"/>
    <n v="1"/>
    <n v="2"/>
    <s v="High"/>
    <s v="High"/>
    <s v="Experienced"/>
  </r>
  <r>
    <n v="40"/>
    <x v="0"/>
    <s v="Travel_Rarely"/>
    <n v="299"/>
    <x v="0"/>
    <n v="25"/>
    <n v="4"/>
    <s v="Marketing"/>
    <x v="0"/>
    <n v="1318"/>
    <n v="4"/>
    <s v="Male"/>
    <n v="57"/>
    <n v="2"/>
    <n v="3"/>
    <s v="Sales Executive"/>
    <n v="2"/>
    <s v="Single"/>
    <n v="9094"/>
    <n v="17235"/>
    <n v="2"/>
    <s v="Y"/>
    <x v="0"/>
    <n v="12"/>
    <n v="3"/>
    <n v="3"/>
    <n v="80"/>
    <n v="0"/>
    <n v="9"/>
    <n v="2"/>
    <n v="3"/>
    <n v="5"/>
    <n v="4"/>
    <n v="1"/>
    <n v="0"/>
    <s v="High"/>
    <s v="High"/>
    <s v="Experienced"/>
  </r>
  <r>
    <n v="52"/>
    <x v="0"/>
    <s v="Travel_Rarely"/>
    <n v="1030"/>
    <x v="0"/>
    <n v="5"/>
    <n v="3"/>
    <s v="Life Sciences"/>
    <x v="0"/>
    <n v="1319"/>
    <n v="2"/>
    <s v="Male"/>
    <n v="64"/>
    <n v="3"/>
    <n v="3"/>
    <s v="Sales Executive"/>
    <n v="2"/>
    <s v="Single"/>
    <n v="8446"/>
    <n v="21534"/>
    <n v="9"/>
    <s v="Y"/>
    <x v="0"/>
    <n v="19"/>
    <n v="3"/>
    <n v="3"/>
    <n v="80"/>
    <n v="0"/>
    <n v="10"/>
    <n v="2"/>
    <n v="2"/>
    <n v="8"/>
    <n v="7"/>
    <n v="7"/>
    <n v="7"/>
    <s v="High"/>
    <s v="High"/>
    <s v="High"/>
  </r>
  <r>
    <n v="30"/>
    <x v="1"/>
    <s v="Travel_Rarely"/>
    <n v="634"/>
    <x v="1"/>
    <n v="17"/>
    <n v="4"/>
    <s v="Medical"/>
    <x v="0"/>
    <n v="1321"/>
    <n v="2"/>
    <s v="Female"/>
    <n v="95"/>
    <n v="3"/>
    <n v="3"/>
    <s v="Manager"/>
    <n v="1"/>
    <s v="Married"/>
    <n v="11916"/>
    <n v="25927"/>
    <n v="1"/>
    <s v="Y"/>
    <x v="0"/>
    <n v="23"/>
    <n v="4"/>
    <n v="4"/>
    <n v="80"/>
    <n v="2"/>
    <n v="9"/>
    <n v="2"/>
    <n v="3"/>
    <n v="9"/>
    <n v="1"/>
    <n v="0"/>
    <n v="8"/>
    <s v="High"/>
    <s v="High"/>
    <s v="High"/>
  </r>
  <r>
    <n v="39"/>
    <x v="1"/>
    <s v="Travel_Rarely"/>
    <n v="524"/>
    <x v="1"/>
    <n v="18"/>
    <n v="2"/>
    <s v="Life Sciences"/>
    <x v="0"/>
    <n v="1322"/>
    <n v="1"/>
    <s v="Male"/>
    <n v="32"/>
    <n v="3"/>
    <n v="2"/>
    <s v="Manufacturing Director"/>
    <n v="3"/>
    <s v="Single"/>
    <n v="4534"/>
    <n v="13352"/>
    <n v="0"/>
    <s v="Y"/>
    <x v="1"/>
    <n v="11"/>
    <n v="3"/>
    <n v="1"/>
    <n v="80"/>
    <n v="0"/>
    <n v="9"/>
    <n v="6"/>
    <n v="3"/>
    <n v="8"/>
    <n v="7"/>
    <n v="1"/>
    <n v="7"/>
    <s v="Low"/>
    <s v="Medium"/>
    <s v="High"/>
  </r>
  <r>
    <n v="31"/>
    <x v="1"/>
    <s v="Non-Travel"/>
    <n v="587"/>
    <x v="0"/>
    <n v="2"/>
    <n v="4"/>
    <s v="Life Sciences"/>
    <x v="0"/>
    <n v="1324"/>
    <n v="4"/>
    <s v="Female"/>
    <n v="57"/>
    <n v="3"/>
    <n v="3"/>
    <s v="Sales Executive"/>
    <n v="3"/>
    <s v="Divorced"/>
    <n v="9852"/>
    <n v="8935"/>
    <n v="1"/>
    <s v="Y"/>
    <x v="0"/>
    <n v="19"/>
    <n v="3"/>
    <n v="1"/>
    <n v="80"/>
    <n v="1"/>
    <n v="10"/>
    <n v="5"/>
    <n v="2"/>
    <n v="10"/>
    <n v="8"/>
    <n v="9"/>
    <n v="6"/>
    <s v="High"/>
    <s v="High"/>
    <s v="High"/>
  </r>
  <r>
    <n v="41"/>
    <x v="1"/>
    <s v="Non-Travel"/>
    <n v="256"/>
    <x v="0"/>
    <n v="10"/>
    <n v="2"/>
    <s v="Medical"/>
    <x v="0"/>
    <n v="1329"/>
    <n v="3"/>
    <s v="Male"/>
    <n v="40"/>
    <n v="1"/>
    <n v="2"/>
    <s v="Sales Executive"/>
    <n v="2"/>
    <s v="Single"/>
    <n v="6151"/>
    <n v="22074"/>
    <n v="1"/>
    <s v="Y"/>
    <x v="1"/>
    <n v="13"/>
    <n v="3"/>
    <n v="1"/>
    <n v="80"/>
    <n v="0"/>
    <n v="19"/>
    <n v="4"/>
    <n v="3"/>
    <n v="19"/>
    <n v="2"/>
    <n v="11"/>
    <n v="9"/>
    <s v="Low"/>
    <s v="Medium"/>
    <s v="High"/>
  </r>
  <r>
    <n v="31"/>
    <x v="0"/>
    <s v="Travel_Frequently"/>
    <n v="1060"/>
    <x v="0"/>
    <n v="1"/>
    <n v="3"/>
    <s v="Life Sciences"/>
    <x v="0"/>
    <n v="1331"/>
    <n v="4"/>
    <s v="Female"/>
    <n v="54"/>
    <n v="3"/>
    <n v="1"/>
    <s v="Sales Representative"/>
    <n v="2"/>
    <s v="Single"/>
    <n v="2302"/>
    <n v="8319"/>
    <n v="1"/>
    <s v="Y"/>
    <x v="0"/>
    <n v="11"/>
    <n v="3"/>
    <n v="1"/>
    <n v="80"/>
    <n v="0"/>
    <n v="3"/>
    <n v="2"/>
    <n v="4"/>
    <n v="3"/>
    <n v="2"/>
    <n v="2"/>
    <n v="2"/>
    <s v="Low"/>
    <s v="Low"/>
    <s v="Experienced"/>
  </r>
  <r>
    <n v="44"/>
    <x v="0"/>
    <s v="Travel_Rarely"/>
    <n v="935"/>
    <x v="1"/>
    <n v="3"/>
    <n v="3"/>
    <s v="Life Sciences"/>
    <x v="0"/>
    <n v="1333"/>
    <n v="1"/>
    <s v="Male"/>
    <n v="89"/>
    <n v="3"/>
    <n v="1"/>
    <s v="Laboratory Technician"/>
    <n v="1"/>
    <s v="Married"/>
    <n v="2362"/>
    <n v="14669"/>
    <n v="4"/>
    <s v="Y"/>
    <x v="1"/>
    <n v="12"/>
    <n v="3"/>
    <n v="3"/>
    <n v="80"/>
    <n v="0"/>
    <n v="10"/>
    <n v="4"/>
    <n v="4"/>
    <n v="3"/>
    <n v="2"/>
    <n v="1"/>
    <n v="2"/>
    <s v="Low"/>
    <s v="Low"/>
    <s v="Experienced"/>
  </r>
  <r>
    <n v="42"/>
    <x v="1"/>
    <s v="Non-Travel"/>
    <n v="495"/>
    <x v="1"/>
    <n v="2"/>
    <n v="1"/>
    <s v="Life Sciences"/>
    <x v="0"/>
    <n v="1334"/>
    <n v="3"/>
    <s v="Male"/>
    <n v="37"/>
    <n v="3"/>
    <n v="4"/>
    <s v="Manager"/>
    <n v="3"/>
    <s v="Married"/>
    <n v="17861"/>
    <n v="26582"/>
    <n v="0"/>
    <s v="Y"/>
    <x v="0"/>
    <n v="13"/>
    <n v="3"/>
    <n v="4"/>
    <n v="80"/>
    <n v="0"/>
    <n v="21"/>
    <n v="3"/>
    <n v="2"/>
    <n v="20"/>
    <n v="8"/>
    <n v="2"/>
    <n v="10"/>
    <s v="High"/>
    <s v="High"/>
    <s v="High"/>
  </r>
  <r>
    <n v="55"/>
    <x v="1"/>
    <s v="Travel_Rarely"/>
    <n v="282"/>
    <x v="1"/>
    <n v="2"/>
    <n v="2"/>
    <s v="Medical"/>
    <x v="0"/>
    <n v="1336"/>
    <n v="4"/>
    <s v="Female"/>
    <n v="58"/>
    <n v="1"/>
    <n v="5"/>
    <s v="Manager"/>
    <n v="3"/>
    <s v="Married"/>
    <n v="19187"/>
    <n v="6992"/>
    <n v="4"/>
    <s v="Y"/>
    <x v="1"/>
    <n v="14"/>
    <n v="3"/>
    <n v="4"/>
    <n v="80"/>
    <n v="1"/>
    <n v="23"/>
    <n v="5"/>
    <n v="3"/>
    <n v="19"/>
    <n v="9"/>
    <n v="9"/>
    <n v="11"/>
    <s v="High"/>
    <s v="High"/>
    <s v="High"/>
  </r>
  <r>
    <n v="56"/>
    <x v="1"/>
    <s v="Travel_Rarely"/>
    <n v="206"/>
    <x v="2"/>
    <n v="8"/>
    <n v="4"/>
    <s v="Life Sciences"/>
    <x v="0"/>
    <n v="1338"/>
    <n v="4"/>
    <s v="Male"/>
    <n v="99"/>
    <n v="3"/>
    <n v="5"/>
    <s v="Manager"/>
    <n v="2"/>
    <s v="Single"/>
    <n v="19717"/>
    <n v="4022"/>
    <n v="6"/>
    <s v="Y"/>
    <x v="1"/>
    <n v="14"/>
    <n v="3"/>
    <n v="1"/>
    <n v="80"/>
    <n v="0"/>
    <n v="36"/>
    <n v="4"/>
    <n v="3"/>
    <n v="7"/>
    <n v="3"/>
    <n v="7"/>
    <n v="7"/>
    <s v="High"/>
    <s v="High"/>
    <s v="Experienced"/>
  </r>
  <r>
    <n v="40"/>
    <x v="1"/>
    <s v="Non-Travel"/>
    <n v="458"/>
    <x v="1"/>
    <n v="16"/>
    <n v="2"/>
    <s v="Life Sciences"/>
    <x v="0"/>
    <n v="1340"/>
    <n v="3"/>
    <s v="Male"/>
    <n v="74"/>
    <n v="3"/>
    <n v="1"/>
    <s v="Research Scientist"/>
    <n v="3"/>
    <s v="Divorced"/>
    <n v="3544"/>
    <n v="8532"/>
    <n v="9"/>
    <s v="Y"/>
    <x v="1"/>
    <n v="16"/>
    <n v="3"/>
    <n v="2"/>
    <n v="80"/>
    <n v="1"/>
    <n v="6"/>
    <n v="0"/>
    <n v="3"/>
    <n v="4"/>
    <n v="2"/>
    <n v="0"/>
    <n v="0"/>
    <s v="Low"/>
    <s v="Low"/>
    <s v="Experienced"/>
  </r>
  <r>
    <n v="34"/>
    <x v="1"/>
    <s v="Travel_Rarely"/>
    <n v="943"/>
    <x v="1"/>
    <n v="9"/>
    <n v="3"/>
    <s v="Life Sciences"/>
    <x v="0"/>
    <n v="1344"/>
    <n v="4"/>
    <s v="Male"/>
    <n v="86"/>
    <n v="3"/>
    <n v="3"/>
    <s v="Healthcare Representative"/>
    <n v="4"/>
    <s v="Divorced"/>
    <n v="8500"/>
    <n v="5494"/>
    <n v="0"/>
    <s v="Y"/>
    <x v="1"/>
    <n v="11"/>
    <n v="3"/>
    <n v="4"/>
    <n v="80"/>
    <n v="1"/>
    <n v="10"/>
    <n v="0"/>
    <n v="2"/>
    <n v="9"/>
    <n v="7"/>
    <n v="1"/>
    <n v="6"/>
    <s v="High"/>
    <s v="High"/>
    <s v="High"/>
  </r>
  <r>
    <n v="40"/>
    <x v="1"/>
    <s v="Travel_Rarely"/>
    <n v="523"/>
    <x v="1"/>
    <n v="2"/>
    <n v="3"/>
    <s v="Life Sciences"/>
    <x v="0"/>
    <n v="1346"/>
    <n v="3"/>
    <s v="Male"/>
    <n v="98"/>
    <n v="3"/>
    <n v="2"/>
    <s v="Research Scientist"/>
    <n v="4"/>
    <s v="Single"/>
    <n v="4661"/>
    <n v="22455"/>
    <n v="1"/>
    <s v="Y"/>
    <x v="1"/>
    <n v="13"/>
    <n v="3"/>
    <n v="3"/>
    <n v="80"/>
    <n v="0"/>
    <n v="9"/>
    <n v="4"/>
    <n v="3"/>
    <n v="9"/>
    <n v="8"/>
    <n v="8"/>
    <n v="8"/>
    <s v="Low"/>
    <s v="Medium"/>
    <s v="High"/>
  </r>
  <r>
    <n v="41"/>
    <x v="1"/>
    <s v="Travel_Frequently"/>
    <n v="1018"/>
    <x v="0"/>
    <n v="1"/>
    <n v="3"/>
    <s v="Marketing"/>
    <x v="0"/>
    <n v="1349"/>
    <n v="3"/>
    <s v="Female"/>
    <n v="66"/>
    <n v="3"/>
    <n v="2"/>
    <s v="Sales Executive"/>
    <n v="1"/>
    <s v="Divorced"/>
    <n v="4103"/>
    <n v="4297"/>
    <n v="0"/>
    <s v="Y"/>
    <x v="1"/>
    <n v="17"/>
    <n v="3"/>
    <n v="4"/>
    <n v="80"/>
    <n v="1"/>
    <n v="10"/>
    <n v="2"/>
    <n v="3"/>
    <n v="9"/>
    <n v="3"/>
    <n v="1"/>
    <n v="7"/>
    <s v="Low"/>
    <s v="Medium"/>
    <s v="High"/>
  </r>
  <r>
    <n v="35"/>
    <x v="1"/>
    <s v="Travel_Frequently"/>
    <n v="482"/>
    <x v="1"/>
    <n v="4"/>
    <n v="4"/>
    <s v="Life Sciences"/>
    <x v="0"/>
    <n v="1350"/>
    <n v="3"/>
    <s v="Male"/>
    <n v="87"/>
    <n v="3"/>
    <n v="2"/>
    <s v="Research Scientist"/>
    <n v="3"/>
    <s v="Single"/>
    <n v="4249"/>
    <n v="2690"/>
    <n v="1"/>
    <s v="Y"/>
    <x v="0"/>
    <n v="11"/>
    <n v="3"/>
    <n v="2"/>
    <n v="80"/>
    <n v="0"/>
    <n v="9"/>
    <n v="3"/>
    <n v="3"/>
    <n v="9"/>
    <n v="6"/>
    <n v="1"/>
    <n v="1"/>
    <s v="Low"/>
    <s v="Medium"/>
    <s v="High"/>
  </r>
  <r>
    <n v="51"/>
    <x v="1"/>
    <s v="Travel_Rarely"/>
    <n v="770"/>
    <x v="2"/>
    <n v="5"/>
    <n v="3"/>
    <s v="Life Sciences"/>
    <x v="0"/>
    <n v="1352"/>
    <n v="3"/>
    <s v="Male"/>
    <n v="84"/>
    <n v="3"/>
    <n v="4"/>
    <s v="Manager"/>
    <n v="2"/>
    <s v="Divorced"/>
    <n v="14026"/>
    <n v="17588"/>
    <n v="1"/>
    <s v="Y"/>
    <x v="0"/>
    <n v="11"/>
    <n v="3"/>
    <n v="2"/>
    <n v="80"/>
    <n v="1"/>
    <n v="33"/>
    <n v="2"/>
    <n v="3"/>
    <n v="33"/>
    <n v="9"/>
    <n v="0"/>
    <n v="10"/>
    <s v="High"/>
    <s v="High"/>
    <s v="High"/>
  </r>
  <r>
    <n v="38"/>
    <x v="1"/>
    <s v="Travel_Rarely"/>
    <n v="1009"/>
    <x v="0"/>
    <n v="2"/>
    <n v="2"/>
    <s v="Life Sciences"/>
    <x v="0"/>
    <n v="1355"/>
    <n v="2"/>
    <s v="Female"/>
    <n v="31"/>
    <n v="3"/>
    <n v="2"/>
    <s v="Sales Executive"/>
    <n v="1"/>
    <s v="Divorced"/>
    <n v="6893"/>
    <n v="19461"/>
    <n v="3"/>
    <s v="Y"/>
    <x v="1"/>
    <n v="15"/>
    <n v="3"/>
    <n v="4"/>
    <n v="80"/>
    <n v="1"/>
    <n v="11"/>
    <n v="3"/>
    <n v="3"/>
    <n v="7"/>
    <n v="7"/>
    <n v="1"/>
    <n v="7"/>
    <s v="High"/>
    <s v="Medium"/>
    <s v="Experienced"/>
  </r>
  <r>
    <n v="34"/>
    <x v="1"/>
    <s v="Travel_Rarely"/>
    <n v="507"/>
    <x v="0"/>
    <n v="15"/>
    <n v="2"/>
    <s v="Medical"/>
    <x v="0"/>
    <n v="1356"/>
    <n v="3"/>
    <s v="Female"/>
    <n v="66"/>
    <n v="3"/>
    <n v="2"/>
    <s v="Sales Executive"/>
    <n v="1"/>
    <s v="Single"/>
    <n v="6125"/>
    <n v="23553"/>
    <n v="1"/>
    <s v="Y"/>
    <x v="1"/>
    <n v="12"/>
    <n v="3"/>
    <n v="4"/>
    <n v="80"/>
    <n v="0"/>
    <n v="10"/>
    <n v="6"/>
    <n v="4"/>
    <n v="10"/>
    <n v="8"/>
    <n v="9"/>
    <n v="6"/>
    <s v="Low"/>
    <s v="Medium"/>
    <s v="High"/>
  </r>
  <r>
    <n v="25"/>
    <x v="1"/>
    <s v="Travel_Rarely"/>
    <n v="882"/>
    <x v="1"/>
    <n v="19"/>
    <n v="1"/>
    <s v="Medical"/>
    <x v="0"/>
    <n v="1358"/>
    <n v="4"/>
    <s v="Male"/>
    <n v="67"/>
    <n v="3"/>
    <n v="1"/>
    <s v="Laboratory Technician"/>
    <n v="4"/>
    <s v="Married"/>
    <n v="3669"/>
    <n v="9075"/>
    <n v="3"/>
    <s v="Y"/>
    <x v="1"/>
    <n v="11"/>
    <n v="3"/>
    <n v="3"/>
    <n v="80"/>
    <n v="3"/>
    <n v="7"/>
    <n v="6"/>
    <n v="2"/>
    <n v="3"/>
    <n v="2"/>
    <n v="1"/>
    <n v="2"/>
    <s v="Low"/>
    <s v="Low"/>
    <s v="Experienced"/>
  </r>
  <r>
    <n v="58"/>
    <x v="0"/>
    <s v="Travel_Rarely"/>
    <n v="601"/>
    <x v="1"/>
    <n v="7"/>
    <n v="4"/>
    <s v="Medical"/>
    <x v="0"/>
    <n v="1360"/>
    <n v="3"/>
    <s v="Female"/>
    <n v="53"/>
    <n v="2"/>
    <n v="3"/>
    <s v="Manufacturing Director"/>
    <n v="1"/>
    <s v="Married"/>
    <n v="10008"/>
    <n v="12023"/>
    <n v="7"/>
    <s v="Y"/>
    <x v="0"/>
    <n v="14"/>
    <n v="3"/>
    <n v="4"/>
    <n v="80"/>
    <n v="0"/>
    <n v="31"/>
    <n v="0"/>
    <n v="2"/>
    <n v="10"/>
    <n v="9"/>
    <n v="5"/>
    <n v="9"/>
    <s v="High"/>
    <s v="High"/>
    <s v="High"/>
  </r>
  <r>
    <n v="40"/>
    <x v="1"/>
    <s v="Travel_Rarely"/>
    <n v="329"/>
    <x v="1"/>
    <n v="1"/>
    <n v="4"/>
    <s v="Life Sciences"/>
    <x v="0"/>
    <n v="1361"/>
    <n v="2"/>
    <s v="Male"/>
    <n v="88"/>
    <n v="3"/>
    <n v="1"/>
    <s v="Laboratory Technician"/>
    <n v="2"/>
    <s v="Married"/>
    <n v="2387"/>
    <n v="6762"/>
    <n v="3"/>
    <s v="Y"/>
    <x v="1"/>
    <n v="22"/>
    <n v="4"/>
    <n v="3"/>
    <n v="80"/>
    <n v="1"/>
    <n v="7"/>
    <n v="3"/>
    <n v="3"/>
    <n v="4"/>
    <n v="2"/>
    <n v="0"/>
    <n v="3"/>
    <s v="Low"/>
    <s v="Low"/>
    <s v="Experienced"/>
  </r>
  <r>
    <n v="36"/>
    <x v="1"/>
    <s v="Travel_Frequently"/>
    <n v="607"/>
    <x v="0"/>
    <n v="7"/>
    <n v="3"/>
    <s v="Marketing"/>
    <x v="0"/>
    <n v="1362"/>
    <n v="1"/>
    <s v="Female"/>
    <n v="83"/>
    <n v="4"/>
    <n v="2"/>
    <s v="Sales Executive"/>
    <n v="1"/>
    <s v="Married"/>
    <n v="4639"/>
    <n v="2261"/>
    <n v="2"/>
    <s v="Y"/>
    <x v="1"/>
    <n v="16"/>
    <n v="3"/>
    <n v="4"/>
    <n v="80"/>
    <n v="1"/>
    <n v="17"/>
    <n v="2"/>
    <n v="2"/>
    <n v="15"/>
    <n v="7"/>
    <n v="6"/>
    <n v="13"/>
    <s v="Low"/>
    <s v="Medium"/>
    <s v="High"/>
  </r>
  <r>
    <n v="48"/>
    <x v="1"/>
    <s v="Travel_Rarely"/>
    <n v="855"/>
    <x v="1"/>
    <n v="4"/>
    <n v="3"/>
    <s v="Life Sciences"/>
    <x v="0"/>
    <n v="1363"/>
    <n v="4"/>
    <s v="Male"/>
    <n v="54"/>
    <n v="3"/>
    <n v="3"/>
    <s v="Manufacturing Director"/>
    <n v="4"/>
    <s v="Single"/>
    <n v="7898"/>
    <n v="18706"/>
    <n v="1"/>
    <s v="Y"/>
    <x v="1"/>
    <n v="11"/>
    <n v="3"/>
    <n v="3"/>
    <n v="80"/>
    <n v="0"/>
    <n v="11"/>
    <n v="2"/>
    <n v="3"/>
    <n v="10"/>
    <n v="9"/>
    <n v="0"/>
    <n v="8"/>
    <s v="High"/>
    <s v="Medium"/>
    <s v="High"/>
  </r>
  <r>
    <n v="27"/>
    <x v="1"/>
    <s v="Travel_Rarely"/>
    <n v="1291"/>
    <x v="0"/>
    <n v="11"/>
    <n v="3"/>
    <s v="Medical"/>
    <x v="0"/>
    <n v="1364"/>
    <n v="3"/>
    <s v="Female"/>
    <n v="98"/>
    <n v="4"/>
    <n v="1"/>
    <s v="Sales Representative"/>
    <n v="4"/>
    <s v="Married"/>
    <n v="2534"/>
    <n v="6527"/>
    <n v="8"/>
    <s v="Y"/>
    <x v="1"/>
    <n v="14"/>
    <n v="3"/>
    <n v="2"/>
    <n v="80"/>
    <n v="1"/>
    <n v="5"/>
    <n v="4"/>
    <n v="3"/>
    <n v="1"/>
    <n v="0"/>
    <n v="0"/>
    <n v="0"/>
    <s v="Low"/>
    <s v="Low"/>
    <s v="new"/>
  </r>
  <r>
    <n v="51"/>
    <x v="1"/>
    <s v="Travel_Rarely"/>
    <n v="1405"/>
    <x v="1"/>
    <n v="11"/>
    <n v="2"/>
    <s v="Technical Degree"/>
    <x v="0"/>
    <n v="1367"/>
    <n v="4"/>
    <s v="Female"/>
    <n v="82"/>
    <n v="2"/>
    <n v="4"/>
    <s v="Manufacturing Director"/>
    <n v="2"/>
    <s v="Single"/>
    <n v="13142"/>
    <n v="24439"/>
    <n v="3"/>
    <s v="Y"/>
    <x v="1"/>
    <n v="16"/>
    <n v="3"/>
    <n v="2"/>
    <n v="80"/>
    <n v="0"/>
    <n v="29"/>
    <n v="1"/>
    <n v="2"/>
    <n v="5"/>
    <n v="2"/>
    <n v="0"/>
    <n v="3"/>
    <s v="High"/>
    <s v="High"/>
    <s v="Experienced"/>
  </r>
  <r>
    <n v="18"/>
    <x v="1"/>
    <s v="Non-Travel"/>
    <n v="1124"/>
    <x v="1"/>
    <n v="1"/>
    <n v="3"/>
    <s v="Life Sciences"/>
    <x v="0"/>
    <n v="1368"/>
    <n v="4"/>
    <s v="Female"/>
    <n v="97"/>
    <n v="3"/>
    <n v="1"/>
    <s v="Laboratory Technician"/>
    <n v="4"/>
    <s v="Single"/>
    <n v="1611"/>
    <n v="19305"/>
    <n v="1"/>
    <s v="Y"/>
    <x v="1"/>
    <n v="15"/>
    <n v="3"/>
    <n v="3"/>
    <n v="80"/>
    <n v="0"/>
    <n v="0"/>
    <n v="5"/>
    <n v="4"/>
    <n v="0"/>
    <n v="0"/>
    <n v="0"/>
    <n v="0"/>
    <s v="Low"/>
    <s v="Low"/>
    <s v="new"/>
  </r>
  <r>
    <n v="35"/>
    <x v="1"/>
    <s v="Travel_Rarely"/>
    <n v="817"/>
    <x v="1"/>
    <n v="1"/>
    <n v="3"/>
    <s v="Medical"/>
    <x v="0"/>
    <n v="1369"/>
    <n v="4"/>
    <s v="Female"/>
    <n v="60"/>
    <n v="2"/>
    <n v="2"/>
    <s v="Laboratory Technician"/>
    <n v="4"/>
    <s v="Married"/>
    <n v="5363"/>
    <n v="10846"/>
    <n v="0"/>
    <s v="Y"/>
    <x v="1"/>
    <n v="12"/>
    <n v="3"/>
    <n v="2"/>
    <n v="80"/>
    <n v="1"/>
    <n v="10"/>
    <n v="0"/>
    <n v="3"/>
    <n v="9"/>
    <n v="7"/>
    <n v="0"/>
    <n v="0"/>
    <s v="Low"/>
    <s v="Medium"/>
    <s v="High"/>
  </r>
  <r>
    <n v="27"/>
    <x v="1"/>
    <s v="Travel_Frequently"/>
    <n v="793"/>
    <x v="0"/>
    <n v="2"/>
    <n v="1"/>
    <s v="Life Sciences"/>
    <x v="0"/>
    <n v="1371"/>
    <n v="4"/>
    <s v="Male"/>
    <n v="43"/>
    <n v="1"/>
    <n v="2"/>
    <s v="Sales Executive"/>
    <n v="4"/>
    <s v="Single"/>
    <n v="5071"/>
    <n v="20392"/>
    <n v="3"/>
    <s v="Y"/>
    <x v="1"/>
    <n v="20"/>
    <n v="4"/>
    <n v="2"/>
    <n v="80"/>
    <n v="0"/>
    <n v="8"/>
    <n v="3"/>
    <n v="3"/>
    <n v="6"/>
    <n v="2"/>
    <n v="0"/>
    <n v="0"/>
    <s v="Low"/>
    <s v="Medium"/>
    <s v="Experienced"/>
  </r>
  <r>
    <n v="55"/>
    <x v="0"/>
    <s v="Travel_Rarely"/>
    <n v="267"/>
    <x v="0"/>
    <n v="13"/>
    <n v="4"/>
    <s v="Marketing"/>
    <x v="0"/>
    <n v="1372"/>
    <n v="1"/>
    <s v="Male"/>
    <n v="85"/>
    <n v="4"/>
    <n v="4"/>
    <s v="Sales Executive"/>
    <n v="3"/>
    <s v="Single"/>
    <n v="13695"/>
    <n v="9277"/>
    <n v="6"/>
    <s v="Y"/>
    <x v="0"/>
    <n v="17"/>
    <n v="3"/>
    <n v="3"/>
    <n v="80"/>
    <n v="0"/>
    <n v="24"/>
    <n v="2"/>
    <n v="2"/>
    <n v="19"/>
    <n v="7"/>
    <n v="3"/>
    <n v="8"/>
    <s v="High"/>
    <s v="High"/>
    <s v="High"/>
  </r>
  <r>
    <n v="56"/>
    <x v="1"/>
    <s v="Travel_Rarely"/>
    <n v="1369"/>
    <x v="1"/>
    <n v="23"/>
    <n v="3"/>
    <s v="Life Sciences"/>
    <x v="0"/>
    <n v="1373"/>
    <n v="4"/>
    <s v="Male"/>
    <n v="68"/>
    <n v="3"/>
    <n v="4"/>
    <s v="Manufacturing Director"/>
    <n v="2"/>
    <s v="Married"/>
    <n v="13402"/>
    <n v="18235"/>
    <n v="4"/>
    <s v="Y"/>
    <x v="0"/>
    <n v="12"/>
    <n v="3"/>
    <n v="1"/>
    <n v="80"/>
    <n v="1"/>
    <n v="33"/>
    <n v="0"/>
    <n v="3"/>
    <n v="19"/>
    <n v="16"/>
    <n v="15"/>
    <n v="9"/>
    <s v="High"/>
    <s v="High"/>
    <s v="High"/>
  </r>
  <r>
    <n v="34"/>
    <x v="1"/>
    <s v="Non-Travel"/>
    <n v="999"/>
    <x v="1"/>
    <n v="26"/>
    <n v="1"/>
    <s v="Technical Degree"/>
    <x v="0"/>
    <n v="1374"/>
    <n v="1"/>
    <s v="Female"/>
    <n v="92"/>
    <n v="2"/>
    <n v="1"/>
    <s v="Research Scientist"/>
    <n v="3"/>
    <s v="Divorced"/>
    <n v="2029"/>
    <n v="15891"/>
    <n v="1"/>
    <s v="Y"/>
    <x v="1"/>
    <n v="20"/>
    <n v="4"/>
    <n v="3"/>
    <n v="80"/>
    <n v="3"/>
    <n v="5"/>
    <n v="2"/>
    <n v="3"/>
    <n v="5"/>
    <n v="4"/>
    <n v="0"/>
    <n v="0"/>
    <s v="Low"/>
    <s v="Low"/>
    <s v="Experienced"/>
  </r>
  <r>
    <n v="40"/>
    <x v="1"/>
    <s v="Travel_Rarely"/>
    <n v="1202"/>
    <x v="1"/>
    <n v="2"/>
    <n v="1"/>
    <s v="Medical"/>
    <x v="0"/>
    <n v="1375"/>
    <n v="2"/>
    <s v="Female"/>
    <n v="89"/>
    <n v="4"/>
    <n v="2"/>
    <s v="Healthcare Representative"/>
    <n v="3"/>
    <s v="Divorced"/>
    <n v="6377"/>
    <n v="13888"/>
    <n v="5"/>
    <s v="Y"/>
    <x v="1"/>
    <n v="20"/>
    <n v="4"/>
    <n v="2"/>
    <n v="80"/>
    <n v="3"/>
    <n v="15"/>
    <n v="0"/>
    <n v="3"/>
    <n v="12"/>
    <n v="11"/>
    <n v="11"/>
    <n v="8"/>
    <s v="Low"/>
    <s v="Medium"/>
    <s v="High"/>
  </r>
  <r>
    <n v="34"/>
    <x v="1"/>
    <s v="Travel_Rarely"/>
    <n v="285"/>
    <x v="1"/>
    <n v="29"/>
    <n v="3"/>
    <s v="Medical"/>
    <x v="0"/>
    <n v="1377"/>
    <n v="2"/>
    <s v="Male"/>
    <n v="86"/>
    <n v="3"/>
    <n v="2"/>
    <s v="Laboratory Technician"/>
    <n v="3"/>
    <s v="Married"/>
    <n v="5429"/>
    <n v="17491"/>
    <n v="4"/>
    <s v="Y"/>
    <x v="1"/>
    <n v="13"/>
    <n v="3"/>
    <n v="1"/>
    <n v="80"/>
    <n v="2"/>
    <n v="10"/>
    <n v="1"/>
    <n v="3"/>
    <n v="8"/>
    <n v="7"/>
    <n v="7"/>
    <n v="7"/>
    <s v="Low"/>
    <s v="Medium"/>
    <s v="High"/>
  </r>
  <r>
    <n v="31"/>
    <x v="0"/>
    <s v="Travel_Frequently"/>
    <n v="703"/>
    <x v="0"/>
    <n v="2"/>
    <n v="3"/>
    <s v="Life Sciences"/>
    <x v="0"/>
    <n v="1379"/>
    <n v="3"/>
    <s v="Female"/>
    <n v="90"/>
    <n v="2"/>
    <n v="1"/>
    <s v="Sales Representative"/>
    <n v="4"/>
    <s v="Single"/>
    <n v="2785"/>
    <n v="11882"/>
    <n v="7"/>
    <s v="Y"/>
    <x v="1"/>
    <n v="14"/>
    <n v="3"/>
    <n v="3"/>
    <n v="80"/>
    <n v="0"/>
    <n v="3"/>
    <n v="3"/>
    <n v="4"/>
    <n v="1"/>
    <n v="0"/>
    <n v="0"/>
    <n v="0"/>
    <s v="Low"/>
    <s v="Low"/>
    <s v="new"/>
  </r>
  <r>
    <n v="35"/>
    <x v="0"/>
    <s v="Travel_Frequently"/>
    <n v="662"/>
    <x v="0"/>
    <n v="18"/>
    <n v="4"/>
    <s v="Marketing"/>
    <x v="0"/>
    <n v="1380"/>
    <n v="4"/>
    <s v="Female"/>
    <n v="67"/>
    <n v="3"/>
    <n v="2"/>
    <s v="Sales Executive"/>
    <n v="3"/>
    <s v="Married"/>
    <n v="4614"/>
    <n v="23288"/>
    <n v="0"/>
    <s v="Y"/>
    <x v="0"/>
    <n v="18"/>
    <n v="3"/>
    <n v="3"/>
    <n v="80"/>
    <n v="1"/>
    <n v="5"/>
    <n v="0"/>
    <n v="2"/>
    <n v="4"/>
    <n v="2"/>
    <n v="3"/>
    <n v="2"/>
    <s v="Low"/>
    <s v="Medium"/>
    <s v="Experienced"/>
  </r>
  <r>
    <n v="38"/>
    <x v="1"/>
    <s v="Travel_Frequently"/>
    <n v="693"/>
    <x v="1"/>
    <n v="7"/>
    <n v="3"/>
    <s v="Life Sciences"/>
    <x v="0"/>
    <n v="1382"/>
    <n v="4"/>
    <s v="Male"/>
    <n v="57"/>
    <n v="4"/>
    <n v="1"/>
    <s v="Research Scientist"/>
    <n v="3"/>
    <s v="Divorced"/>
    <n v="2610"/>
    <n v="15748"/>
    <n v="1"/>
    <s v="Y"/>
    <x v="1"/>
    <n v="11"/>
    <n v="3"/>
    <n v="4"/>
    <n v="80"/>
    <n v="3"/>
    <n v="4"/>
    <n v="2"/>
    <n v="3"/>
    <n v="4"/>
    <n v="2"/>
    <n v="0"/>
    <n v="3"/>
    <s v="Low"/>
    <s v="Low"/>
    <s v="Experienced"/>
  </r>
  <r>
    <n v="34"/>
    <x v="1"/>
    <s v="Travel_Rarely"/>
    <n v="404"/>
    <x v="1"/>
    <n v="2"/>
    <n v="4"/>
    <s v="Technical Degree"/>
    <x v="0"/>
    <n v="1383"/>
    <n v="3"/>
    <s v="Female"/>
    <n v="98"/>
    <n v="3"/>
    <n v="2"/>
    <s v="Healthcare Representative"/>
    <n v="4"/>
    <s v="Single"/>
    <n v="6687"/>
    <n v="6163"/>
    <n v="1"/>
    <s v="Y"/>
    <x v="1"/>
    <n v="11"/>
    <n v="3"/>
    <n v="4"/>
    <n v="80"/>
    <n v="0"/>
    <n v="14"/>
    <n v="2"/>
    <n v="4"/>
    <n v="14"/>
    <n v="11"/>
    <n v="4"/>
    <n v="11"/>
    <s v="High"/>
    <s v="Medium"/>
    <s v="High"/>
  </r>
  <r>
    <n v="28"/>
    <x v="1"/>
    <s v="Travel_Rarely"/>
    <n v="736"/>
    <x v="0"/>
    <n v="26"/>
    <n v="3"/>
    <s v="Life Sciences"/>
    <x v="0"/>
    <n v="1387"/>
    <n v="3"/>
    <s v="Male"/>
    <n v="48"/>
    <n v="2"/>
    <n v="2"/>
    <s v="Sales Executive"/>
    <n v="1"/>
    <s v="Married"/>
    <n v="4724"/>
    <n v="24232"/>
    <n v="1"/>
    <s v="Y"/>
    <x v="1"/>
    <n v="11"/>
    <n v="3"/>
    <n v="3"/>
    <n v="80"/>
    <n v="1"/>
    <n v="5"/>
    <n v="0"/>
    <n v="3"/>
    <n v="5"/>
    <n v="3"/>
    <n v="0"/>
    <n v="4"/>
    <s v="Low"/>
    <s v="Medium"/>
    <s v="Experienced"/>
  </r>
  <r>
    <n v="31"/>
    <x v="0"/>
    <s v="Travel_Rarely"/>
    <n v="330"/>
    <x v="1"/>
    <n v="22"/>
    <n v="4"/>
    <s v="Medical"/>
    <x v="0"/>
    <n v="1389"/>
    <n v="4"/>
    <s v="Male"/>
    <n v="98"/>
    <n v="3"/>
    <n v="2"/>
    <s v="Manufacturing Director"/>
    <n v="3"/>
    <s v="Married"/>
    <n v="6179"/>
    <n v="21057"/>
    <n v="1"/>
    <s v="Y"/>
    <x v="0"/>
    <n v="15"/>
    <n v="3"/>
    <n v="4"/>
    <n v="80"/>
    <n v="2"/>
    <n v="10"/>
    <n v="3"/>
    <n v="2"/>
    <n v="10"/>
    <n v="2"/>
    <n v="6"/>
    <n v="7"/>
    <s v="Low"/>
    <s v="Medium"/>
    <s v="High"/>
  </r>
  <r>
    <n v="39"/>
    <x v="1"/>
    <s v="Travel_Rarely"/>
    <n v="1498"/>
    <x v="0"/>
    <n v="21"/>
    <n v="4"/>
    <s v="Life Sciences"/>
    <x v="0"/>
    <n v="1390"/>
    <n v="1"/>
    <s v="Male"/>
    <n v="44"/>
    <n v="2"/>
    <n v="2"/>
    <s v="Sales Executive"/>
    <n v="4"/>
    <s v="Married"/>
    <n v="6120"/>
    <n v="3567"/>
    <n v="3"/>
    <s v="Y"/>
    <x v="0"/>
    <n v="12"/>
    <n v="3"/>
    <n v="4"/>
    <n v="80"/>
    <n v="2"/>
    <n v="8"/>
    <n v="2"/>
    <n v="4"/>
    <n v="5"/>
    <n v="4"/>
    <n v="1"/>
    <n v="4"/>
    <s v="Low"/>
    <s v="Medium"/>
    <s v="Experienced"/>
  </r>
  <r>
    <n v="51"/>
    <x v="1"/>
    <s v="Travel_Frequently"/>
    <n v="541"/>
    <x v="0"/>
    <n v="2"/>
    <n v="3"/>
    <s v="Marketing"/>
    <x v="0"/>
    <n v="1391"/>
    <n v="2"/>
    <s v="Male"/>
    <n v="52"/>
    <n v="3"/>
    <n v="3"/>
    <s v="Sales Executive"/>
    <n v="2"/>
    <s v="Married"/>
    <n v="10596"/>
    <n v="15395"/>
    <n v="2"/>
    <s v="Y"/>
    <x v="1"/>
    <n v="11"/>
    <n v="3"/>
    <n v="2"/>
    <n v="80"/>
    <n v="0"/>
    <n v="14"/>
    <n v="5"/>
    <n v="3"/>
    <n v="4"/>
    <n v="2"/>
    <n v="3"/>
    <n v="2"/>
    <s v="High"/>
    <s v="High"/>
    <s v="Experienced"/>
  </r>
  <r>
    <n v="41"/>
    <x v="1"/>
    <s v="Travel_Frequently"/>
    <n v="1200"/>
    <x v="1"/>
    <n v="22"/>
    <n v="3"/>
    <s v="Life Sciences"/>
    <x v="0"/>
    <n v="1392"/>
    <n v="4"/>
    <s v="Female"/>
    <n v="75"/>
    <n v="3"/>
    <n v="2"/>
    <s v="Research Scientist"/>
    <n v="4"/>
    <s v="Divorced"/>
    <n v="5467"/>
    <n v="13953"/>
    <n v="3"/>
    <s v="Y"/>
    <x v="0"/>
    <n v="14"/>
    <n v="3"/>
    <n v="1"/>
    <n v="80"/>
    <n v="2"/>
    <n v="12"/>
    <n v="4"/>
    <n v="2"/>
    <n v="6"/>
    <n v="2"/>
    <n v="3"/>
    <n v="3"/>
    <s v="Low"/>
    <s v="Medium"/>
    <s v="Experienced"/>
  </r>
  <r>
    <n v="37"/>
    <x v="1"/>
    <s v="Travel_Rarely"/>
    <n v="1439"/>
    <x v="1"/>
    <n v="4"/>
    <n v="1"/>
    <s v="Life Sciences"/>
    <x v="0"/>
    <n v="1394"/>
    <n v="3"/>
    <s v="Male"/>
    <n v="54"/>
    <n v="3"/>
    <n v="1"/>
    <s v="Research Scientist"/>
    <n v="3"/>
    <s v="Married"/>
    <n v="2996"/>
    <n v="5182"/>
    <n v="7"/>
    <s v="Y"/>
    <x v="0"/>
    <n v="15"/>
    <n v="3"/>
    <n v="4"/>
    <n v="80"/>
    <n v="0"/>
    <n v="8"/>
    <n v="2"/>
    <n v="3"/>
    <n v="6"/>
    <n v="4"/>
    <n v="1"/>
    <n v="3"/>
    <s v="Low"/>
    <s v="Low"/>
    <s v="Experienced"/>
  </r>
  <r>
    <n v="33"/>
    <x v="1"/>
    <s v="Travel_Frequently"/>
    <n v="1111"/>
    <x v="0"/>
    <n v="5"/>
    <n v="1"/>
    <s v="Life Sciences"/>
    <x v="0"/>
    <n v="1395"/>
    <n v="2"/>
    <s v="Male"/>
    <n v="61"/>
    <n v="3"/>
    <n v="2"/>
    <s v="Sales Executive"/>
    <n v="4"/>
    <s v="Married"/>
    <n v="9998"/>
    <n v="19293"/>
    <n v="6"/>
    <s v="Y"/>
    <x v="1"/>
    <n v="13"/>
    <n v="3"/>
    <n v="1"/>
    <n v="80"/>
    <n v="0"/>
    <n v="8"/>
    <n v="2"/>
    <n v="4"/>
    <n v="5"/>
    <n v="4"/>
    <n v="1"/>
    <n v="2"/>
    <s v="High"/>
    <s v="High"/>
    <s v="Experienced"/>
  </r>
  <r>
    <n v="32"/>
    <x v="1"/>
    <s v="Travel_Rarely"/>
    <n v="499"/>
    <x v="0"/>
    <n v="2"/>
    <n v="1"/>
    <s v="Marketing"/>
    <x v="0"/>
    <n v="1396"/>
    <n v="3"/>
    <s v="Male"/>
    <n v="36"/>
    <n v="3"/>
    <n v="2"/>
    <s v="Sales Executive"/>
    <n v="2"/>
    <s v="Married"/>
    <n v="4078"/>
    <n v="20497"/>
    <n v="0"/>
    <s v="Y"/>
    <x v="0"/>
    <n v="13"/>
    <n v="3"/>
    <n v="1"/>
    <n v="80"/>
    <n v="3"/>
    <n v="4"/>
    <n v="3"/>
    <n v="2"/>
    <n v="3"/>
    <n v="2"/>
    <n v="1"/>
    <n v="2"/>
    <s v="Low"/>
    <s v="Medium"/>
    <s v="Experienced"/>
  </r>
  <r>
    <n v="39"/>
    <x v="1"/>
    <s v="Non-Travel"/>
    <n v="1485"/>
    <x v="1"/>
    <n v="25"/>
    <n v="2"/>
    <s v="Life Sciences"/>
    <x v="0"/>
    <n v="1397"/>
    <n v="3"/>
    <s v="Male"/>
    <n v="71"/>
    <n v="3"/>
    <n v="3"/>
    <s v="Healthcare Representative"/>
    <n v="3"/>
    <s v="Married"/>
    <n v="10920"/>
    <n v="3449"/>
    <n v="3"/>
    <s v="Y"/>
    <x v="1"/>
    <n v="21"/>
    <n v="4"/>
    <n v="2"/>
    <n v="80"/>
    <n v="1"/>
    <n v="13"/>
    <n v="2"/>
    <n v="3"/>
    <n v="6"/>
    <n v="4"/>
    <n v="0"/>
    <n v="5"/>
    <s v="High"/>
    <s v="High"/>
    <s v="Experienced"/>
  </r>
  <r>
    <n v="25"/>
    <x v="1"/>
    <s v="Travel_Rarely"/>
    <n v="1372"/>
    <x v="0"/>
    <n v="18"/>
    <n v="1"/>
    <s v="Life Sciences"/>
    <x v="0"/>
    <n v="1399"/>
    <n v="1"/>
    <s v="Male"/>
    <n v="93"/>
    <n v="4"/>
    <n v="2"/>
    <s v="Sales Executive"/>
    <n v="3"/>
    <s v="Married"/>
    <n v="6232"/>
    <n v="12477"/>
    <n v="2"/>
    <s v="Y"/>
    <x v="1"/>
    <n v="11"/>
    <n v="3"/>
    <n v="2"/>
    <n v="80"/>
    <n v="0"/>
    <n v="6"/>
    <n v="3"/>
    <n v="2"/>
    <n v="3"/>
    <n v="2"/>
    <n v="1"/>
    <n v="2"/>
    <s v="Low"/>
    <s v="Medium"/>
    <s v="Experienced"/>
  </r>
  <r>
    <n v="52"/>
    <x v="1"/>
    <s v="Travel_Frequently"/>
    <n v="322"/>
    <x v="1"/>
    <n v="28"/>
    <n v="2"/>
    <s v="Medical"/>
    <x v="0"/>
    <n v="1401"/>
    <n v="4"/>
    <s v="Female"/>
    <n v="59"/>
    <n v="4"/>
    <n v="4"/>
    <s v="Manufacturing Director"/>
    <n v="3"/>
    <s v="Married"/>
    <n v="13247"/>
    <n v="9731"/>
    <n v="2"/>
    <s v="Y"/>
    <x v="0"/>
    <n v="11"/>
    <n v="3"/>
    <n v="2"/>
    <n v="80"/>
    <n v="1"/>
    <n v="24"/>
    <n v="3"/>
    <n v="2"/>
    <n v="5"/>
    <n v="3"/>
    <n v="0"/>
    <n v="2"/>
    <s v="High"/>
    <s v="High"/>
    <s v="Experienced"/>
  </r>
  <r>
    <n v="43"/>
    <x v="1"/>
    <s v="Travel_Rarely"/>
    <n v="930"/>
    <x v="1"/>
    <n v="6"/>
    <n v="3"/>
    <s v="Medical"/>
    <x v="0"/>
    <n v="1402"/>
    <n v="1"/>
    <s v="Female"/>
    <n v="73"/>
    <n v="2"/>
    <n v="2"/>
    <s v="Research Scientist"/>
    <n v="3"/>
    <s v="Single"/>
    <n v="4081"/>
    <n v="20003"/>
    <n v="1"/>
    <s v="Y"/>
    <x v="0"/>
    <n v="14"/>
    <n v="3"/>
    <n v="1"/>
    <n v="80"/>
    <n v="0"/>
    <n v="20"/>
    <n v="3"/>
    <n v="1"/>
    <n v="20"/>
    <n v="7"/>
    <n v="1"/>
    <n v="8"/>
    <s v="Low"/>
    <s v="Medium"/>
    <s v="High"/>
  </r>
  <r>
    <n v="27"/>
    <x v="1"/>
    <s v="Travel_Rarely"/>
    <n v="205"/>
    <x v="0"/>
    <n v="10"/>
    <n v="3"/>
    <s v="Marketing"/>
    <x v="0"/>
    <n v="1403"/>
    <n v="4"/>
    <s v="Female"/>
    <n v="98"/>
    <n v="2"/>
    <n v="2"/>
    <s v="Sales Executive"/>
    <n v="4"/>
    <s v="Married"/>
    <n v="5769"/>
    <n v="7100"/>
    <n v="1"/>
    <s v="Y"/>
    <x v="0"/>
    <n v="11"/>
    <n v="3"/>
    <n v="4"/>
    <n v="80"/>
    <n v="0"/>
    <n v="6"/>
    <n v="3"/>
    <n v="3"/>
    <n v="6"/>
    <n v="2"/>
    <n v="4"/>
    <n v="4"/>
    <s v="Low"/>
    <s v="Medium"/>
    <s v="Experienced"/>
  </r>
  <r>
    <n v="27"/>
    <x v="0"/>
    <s v="Travel_Rarely"/>
    <n v="135"/>
    <x v="1"/>
    <n v="17"/>
    <n v="4"/>
    <s v="Life Sciences"/>
    <x v="0"/>
    <n v="1405"/>
    <n v="4"/>
    <s v="Female"/>
    <n v="51"/>
    <n v="3"/>
    <n v="1"/>
    <s v="Research Scientist"/>
    <n v="3"/>
    <s v="Single"/>
    <n v="2394"/>
    <n v="25681"/>
    <n v="1"/>
    <s v="Y"/>
    <x v="0"/>
    <n v="13"/>
    <n v="3"/>
    <n v="4"/>
    <n v="80"/>
    <n v="0"/>
    <n v="8"/>
    <n v="2"/>
    <n v="3"/>
    <n v="8"/>
    <n v="2"/>
    <n v="7"/>
    <n v="7"/>
    <s v="Low"/>
    <s v="Low"/>
    <s v="High"/>
  </r>
  <r>
    <n v="26"/>
    <x v="1"/>
    <s v="Travel_Rarely"/>
    <n v="683"/>
    <x v="1"/>
    <n v="2"/>
    <n v="1"/>
    <s v="Medical"/>
    <x v="0"/>
    <n v="1407"/>
    <n v="1"/>
    <s v="Male"/>
    <n v="36"/>
    <n v="2"/>
    <n v="1"/>
    <s v="Research Scientist"/>
    <n v="4"/>
    <s v="Single"/>
    <n v="3904"/>
    <n v="4050"/>
    <n v="0"/>
    <s v="Y"/>
    <x v="1"/>
    <n v="12"/>
    <n v="3"/>
    <n v="4"/>
    <n v="80"/>
    <n v="0"/>
    <n v="5"/>
    <n v="2"/>
    <n v="3"/>
    <n v="4"/>
    <n v="3"/>
    <n v="1"/>
    <n v="1"/>
    <s v="Low"/>
    <s v="Low"/>
    <s v="Experienced"/>
  </r>
  <r>
    <n v="42"/>
    <x v="1"/>
    <s v="Travel_Rarely"/>
    <n v="1147"/>
    <x v="2"/>
    <n v="10"/>
    <n v="3"/>
    <s v="Human Resources"/>
    <x v="0"/>
    <n v="1408"/>
    <n v="3"/>
    <s v="Female"/>
    <n v="31"/>
    <n v="3"/>
    <n v="4"/>
    <s v="Manager"/>
    <n v="1"/>
    <s v="Married"/>
    <n v="16799"/>
    <n v="16616"/>
    <n v="0"/>
    <s v="Y"/>
    <x v="1"/>
    <n v="14"/>
    <n v="3"/>
    <n v="3"/>
    <n v="80"/>
    <n v="1"/>
    <n v="21"/>
    <n v="5"/>
    <n v="3"/>
    <n v="20"/>
    <n v="7"/>
    <n v="0"/>
    <n v="9"/>
    <s v="High"/>
    <s v="High"/>
    <s v="High"/>
  </r>
  <r>
    <n v="52"/>
    <x v="1"/>
    <s v="Travel_Rarely"/>
    <n v="258"/>
    <x v="1"/>
    <n v="8"/>
    <n v="4"/>
    <s v="Other"/>
    <x v="0"/>
    <n v="1409"/>
    <n v="3"/>
    <s v="Female"/>
    <n v="54"/>
    <n v="3"/>
    <n v="1"/>
    <s v="Laboratory Technician"/>
    <n v="1"/>
    <s v="Married"/>
    <n v="2950"/>
    <n v="17363"/>
    <n v="9"/>
    <s v="Y"/>
    <x v="1"/>
    <n v="13"/>
    <n v="3"/>
    <n v="3"/>
    <n v="80"/>
    <n v="0"/>
    <n v="12"/>
    <n v="2"/>
    <n v="1"/>
    <n v="5"/>
    <n v="4"/>
    <n v="0"/>
    <n v="4"/>
    <s v="Low"/>
    <s v="Low"/>
    <s v="Experienced"/>
  </r>
  <r>
    <n v="37"/>
    <x v="1"/>
    <s v="Travel_Rarely"/>
    <n v="1462"/>
    <x v="1"/>
    <n v="11"/>
    <n v="3"/>
    <s v="Medical"/>
    <x v="0"/>
    <n v="1411"/>
    <n v="1"/>
    <s v="Female"/>
    <n v="94"/>
    <n v="3"/>
    <n v="1"/>
    <s v="Laboratory Technician"/>
    <n v="3"/>
    <s v="Single"/>
    <n v="3629"/>
    <n v="19106"/>
    <n v="4"/>
    <s v="Y"/>
    <x v="1"/>
    <n v="18"/>
    <n v="3"/>
    <n v="1"/>
    <n v="80"/>
    <n v="0"/>
    <n v="8"/>
    <n v="6"/>
    <n v="3"/>
    <n v="3"/>
    <n v="2"/>
    <n v="0"/>
    <n v="2"/>
    <s v="Low"/>
    <s v="Low"/>
    <s v="Experienced"/>
  </r>
  <r>
    <n v="35"/>
    <x v="1"/>
    <s v="Travel_Frequently"/>
    <n v="200"/>
    <x v="1"/>
    <n v="18"/>
    <n v="2"/>
    <s v="Life Sciences"/>
    <x v="0"/>
    <n v="1412"/>
    <n v="3"/>
    <s v="Male"/>
    <n v="60"/>
    <n v="3"/>
    <n v="3"/>
    <s v="Manufacturing Director"/>
    <n v="4"/>
    <s v="Single"/>
    <n v="9362"/>
    <n v="19944"/>
    <n v="2"/>
    <s v="Y"/>
    <x v="1"/>
    <n v="11"/>
    <n v="3"/>
    <n v="3"/>
    <n v="80"/>
    <n v="0"/>
    <n v="10"/>
    <n v="2"/>
    <n v="3"/>
    <n v="2"/>
    <n v="2"/>
    <n v="2"/>
    <n v="2"/>
    <s v="High"/>
    <s v="High"/>
    <s v="new"/>
  </r>
  <r>
    <n v="25"/>
    <x v="1"/>
    <s v="Travel_Rarely"/>
    <n v="949"/>
    <x v="1"/>
    <n v="1"/>
    <n v="3"/>
    <s v="Technical Degree"/>
    <x v="0"/>
    <n v="1415"/>
    <n v="1"/>
    <s v="Male"/>
    <n v="81"/>
    <n v="3"/>
    <n v="1"/>
    <s v="Laboratory Technician"/>
    <n v="4"/>
    <s v="Married"/>
    <n v="3229"/>
    <n v="4910"/>
    <n v="4"/>
    <s v="Y"/>
    <x v="1"/>
    <n v="11"/>
    <n v="3"/>
    <n v="2"/>
    <n v="80"/>
    <n v="1"/>
    <n v="7"/>
    <n v="2"/>
    <n v="2"/>
    <n v="3"/>
    <n v="2"/>
    <n v="0"/>
    <n v="2"/>
    <s v="Low"/>
    <s v="Low"/>
    <s v="Experienced"/>
  </r>
  <r>
    <n v="26"/>
    <x v="1"/>
    <s v="Travel_Rarely"/>
    <n v="652"/>
    <x v="1"/>
    <n v="7"/>
    <n v="3"/>
    <s v="Other"/>
    <x v="0"/>
    <n v="1417"/>
    <n v="3"/>
    <s v="Male"/>
    <n v="100"/>
    <n v="4"/>
    <n v="1"/>
    <s v="Laboratory Technician"/>
    <n v="1"/>
    <s v="Single"/>
    <n v="3578"/>
    <n v="23577"/>
    <n v="0"/>
    <s v="Y"/>
    <x v="1"/>
    <n v="12"/>
    <n v="3"/>
    <n v="4"/>
    <n v="80"/>
    <n v="0"/>
    <n v="8"/>
    <n v="2"/>
    <n v="3"/>
    <n v="7"/>
    <n v="7"/>
    <n v="0"/>
    <n v="7"/>
    <s v="Low"/>
    <s v="Low"/>
    <s v="Experienced"/>
  </r>
  <r>
    <n v="29"/>
    <x v="1"/>
    <s v="Travel_Rarely"/>
    <n v="332"/>
    <x v="2"/>
    <n v="17"/>
    <n v="3"/>
    <s v="Other"/>
    <x v="0"/>
    <n v="1419"/>
    <n v="2"/>
    <s v="Male"/>
    <n v="51"/>
    <n v="2"/>
    <n v="3"/>
    <s v="Human Resources"/>
    <n v="1"/>
    <s v="Single"/>
    <n v="7988"/>
    <n v="9769"/>
    <n v="1"/>
    <s v="Y"/>
    <x v="1"/>
    <n v="13"/>
    <n v="3"/>
    <n v="1"/>
    <n v="80"/>
    <n v="0"/>
    <n v="10"/>
    <n v="3"/>
    <n v="2"/>
    <n v="10"/>
    <n v="9"/>
    <n v="0"/>
    <n v="9"/>
    <s v="High"/>
    <s v="Medium"/>
    <s v="High"/>
  </r>
  <r>
    <n v="49"/>
    <x v="0"/>
    <s v="Travel_Frequently"/>
    <n v="1475"/>
    <x v="1"/>
    <n v="28"/>
    <n v="2"/>
    <s v="Life Sciences"/>
    <x v="0"/>
    <n v="1420"/>
    <n v="1"/>
    <s v="Male"/>
    <n v="97"/>
    <n v="2"/>
    <n v="2"/>
    <s v="Laboratory Technician"/>
    <n v="1"/>
    <s v="Single"/>
    <n v="4284"/>
    <n v="22710"/>
    <n v="3"/>
    <s v="Y"/>
    <x v="1"/>
    <n v="20"/>
    <n v="4"/>
    <n v="1"/>
    <n v="80"/>
    <n v="0"/>
    <n v="20"/>
    <n v="2"/>
    <n v="3"/>
    <n v="4"/>
    <n v="3"/>
    <n v="1"/>
    <n v="3"/>
    <s v="Low"/>
    <s v="Medium"/>
    <s v="Experienced"/>
  </r>
  <r>
    <n v="29"/>
    <x v="0"/>
    <s v="Travel_Frequently"/>
    <n v="337"/>
    <x v="1"/>
    <n v="14"/>
    <n v="1"/>
    <s v="Other"/>
    <x v="0"/>
    <n v="1421"/>
    <n v="3"/>
    <s v="Female"/>
    <n v="84"/>
    <n v="3"/>
    <n v="3"/>
    <s v="Healthcare Representative"/>
    <n v="4"/>
    <s v="Single"/>
    <n v="7553"/>
    <n v="22930"/>
    <n v="0"/>
    <s v="Y"/>
    <x v="0"/>
    <n v="12"/>
    <n v="3"/>
    <n v="1"/>
    <n v="80"/>
    <n v="0"/>
    <n v="9"/>
    <n v="1"/>
    <n v="3"/>
    <n v="8"/>
    <n v="7"/>
    <n v="7"/>
    <n v="7"/>
    <s v="High"/>
    <s v="Medium"/>
    <s v="High"/>
  </r>
  <r>
    <n v="54"/>
    <x v="1"/>
    <s v="Travel_Rarely"/>
    <n v="971"/>
    <x v="1"/>
    <n v="1"/>
    <n v="3"/>
    <s v="Medical"/>
    <x v="0"/>
    <n v="1422"/>
    <n v="4"/>
    <s v="Female"/>
    <n v="54"/>
    <n v="3"/>
    <n v="4"/>
    <s v="Research Director"/>
    <n v="4"/>
    <s v="Single"/>
    <n v="17328"/>
    <n v="5652"/>
    <n v="6"/>
    <s v="Y"/>
    <x v="1"/>
    <n v="19"/>
    <n v="3"/>
    <n v="4"/>
    <n v="80"/>
    <n v="0"/>
    <n v="29"/>
    <n v="3"/>
    <n v="2"/>
    <n v="20"/>
    <n v="7"/>
    <n v="12"/>
    <n v="7"/>
    <s v="High"/>
    <s v="High"/>
    <s v="High"/>
  </r>
  <r>
    <n v="58"/>
    <x v="1"/>
    <s v="Travel_Rarely"/>
    <n v="1055"/>
    <x v="1"/>
    <n v="1"/>
    <n v="3"/>
    <s v="Medical"/>
    <x v="0"/>
    <n v="1423"/>
    <n v="4"/>
    <s v="Female"/>
    <n v="76"/>
    <n v="3"/>
    <n v="5"/>
    <s v="Research Director"/>
    <n v="1"/>
    <s v="Married"/>
    <n v="19701"/>
    <n v="22456"/>
    <n v="3"/>
    <s v="Y"/>
    <x v="0"/>
    <n v="21"/>
    <n v="4"/>
    <n v="3"/>
    <n v="80"/>
    <n v="1"/>
    <n v="32"/>
    <n v="3"/>
    <n v="3"/>
    <n v="9"/>
    <n v="8"/>
    <n v="1"/>
    <n v="5"/>
    <s v="High"/>
    <s v="High"/>
    <s v="High"/>
  </r>
  <r>
    <n v="55"/>
    <x v="1"/>
    <s v="Travel_Rarely"/>
    <n v="1136"/>
    <x v="1"/>
    <n v="1"/>
    <n v="4"/>
    <s v="Medical"/>
    <x v="0"/>
    <n v="1424"/>
    <n v="2"/>
    <s v="Male"/>
    <n v="81"/>
    <n v="4"/>
    <n v="4"/>
    <s v="Research Director"/>
    <n v="4"/>
    <s v="Divorced"/>
    <n v="14732"/>
    <n v="12414"/>
    <n v="2"/>
    <s v="Y"/>
    <x v="1"/>
    <n v="13"/>
    <n v="3"/>
    <n v="4"/>
    <n v="80"/>
    <n v="2"/>
    <n v="31"/>
    <n v="4"/>
    <n v="4"/>
    <n v="7"/>
    <n v="7"/>
    <n v="0"/>
    <n v="0"/>
    <s v="High"/>
    <s v="High"/>
    <s v="Experienced"/>
  </r>
  <r>
    <n v="36"/>
    <x v="1"/>
    <s v="Travel_Rarely"/>
    <n v="1174"/>
    <x v="0"/>
    <n v="3"/>
    <n v="4"/>
    <s v="Marketing"/>
    <x v="0"/>
    <n v="1425"/>
    <n v="1"/>
    <s v="Female"/>
    <n v="99"/>
    <n v="3"/>
    <n v="2"/>
    <s v="Sales Executive"/>
    <n v="2"/>
    <s v="Single"/>
    <n v="9278"/>
    <n v="20763"/>
    <n v="3"/>
    <s v="Y"/>
    <x v="0"/>
    <n v="16"/>
    <n v="3"/>
    <n v="4"/>
    <n v="80"/>
    <n v="0"/>
    <n v="15"/>
    <n v="3"/>
    <n v="3"/>
    <n v="5"/>
    <n v="4"/>
    <n v="0"/>
    <n v="1"/>
    <s v="High"/>
    <s v="High"/>
    <s v="Experienced"/>
  </r>
  <r>
    <n v="31"/>
    <x v="0"/>
    <s v="Travel_Frequently"/>
    <n v="667"/>
    <x v="0"/>
    <n v="1"/>
    <n v="4"/>
    <s v="Life Sciences"/>
    <x v="0"/>
    <n v="1427"/>
    <n v="2"/>
    <s v="Female"/>
    <n v="50"/>
    <n v="1"/>
    <n v="1"/>
    <s v="Sales Representative"/>
    <n v="3"/>
    <s v="Single"/>
    <n v="1359"/>
    <n v="16154"/>
    <n v="1"/>
    <s v="Y"/>
    <x v="1"/>
    <n v="12"/>
    <n v="3"/>
    <n v="2"/>
    <n v="80"/>
    <n v="0"/>
    <n v="1"/>
    <n v="3"/>
    <n v="3"/>
    <n v="1"/>
    <n v="0"/>
    <n v="0"/>
    <n v="0"/>
    <s v="Low"/>
    <s v="Low"/>
    <s v="new"/>
  </r>
  <r>
    <n v="30"/>
    <x v="1"/>
    <s v="Travel_Rarely"/>
    <n v="855"/>
    <x v="0"/>
    <n v="7"/>
    <n v="4"/>
    <s v="Marketing"/>
    <x v="0"/>
    <n v="1428"/>
    <n v="4"/>
    <s v="Female"/>
    <n v="73"/>
    <n v="3"/>
    <n v="2"/>
    <s v="Sales Executive"/>
    <n v="1"/>
    <s v="Divorced"/>
    <n v="4779"/>
    <n v="12761"/>
    <n v="7"/>
    <s v="Y"/>
    <x v="1"/>
    <n v="14"/>
    <n v="3"/>
    <n v="2"/>
    <n v="80"/>
    <n v="2"/>
    <n v="8"/>
    <n v="3"/>
    <n v="3"/>
    <n v="3"/>
    <n v="2"/>
    <n v="0"/>
    <n v="2"/>
    <s v="Low"/>
    <s v="Medium"/>
    <s v="Experienced"/>
  </r>
  <r>
    <n v="31"/>
    <x v="1"/>
    <s v="Travel_Rarely"/>
    <n v="182"/>
    <x v="1"/>
    <n v="8"/>
    <n v="5"/>
    <s v="Life Sciences"/>
    <x v="0"/>
    <n v="1430"/>
    <n v="1"/>
    <s v="Female"/>
    <n v="93"/>
    <n v="3"/>
    <n v="4"/>
    <s v="Research Director"/>
    <n v="2"/>
    <s v="Single"/>
    <n v="16422"/>
    <n v="8847"/>
    <n v="3"/>
    <s v="Y"/>
    <x v="1"/>
    <n v="11"/>
    <n v="3"/>
    <n v="3"/>
    <n v="80"/>
    <n v="0"/>
    <n v="9"/>
    <n v="3"/>
    <n v="4"/>
    <n v="3"/>
    <n v="2"/>
    <n v="1"/>
    <n v="0"/>
    <s v="High"/>
    <s v="High"/>
    <s v="Experienced"/>
  </r>
  <r>
    <n v="34"/>
    <x v="1"/>
    <s v="Travel_Frequently"/>
    <n v="560"/>
    <x v="1"/>
    <n v="1"/>
    <n v="4"/>
    <s v="Other"/>
    <x v="0"/>
    <n v="1431"/>
    <n v="4"/>
    <s v="Male"/>
    <n v="91"/>
    <n v="3"/>
    <n v="1"/>
    <s v="Research Scientist"/>
    <n v="1"/>
    <s v="Divorced"/>
    <n v="2996"/>
    <n v="20284"/>
    <n v="5"/>
    <s v="Y"/>
    <x v="1"/>
    <n v="14"/>
    <n v="3"/>
    <n v="3"/>
    <n v="80"/>
    <n v="2"/>
    <n v="10"/>
    <n v="2"/>
    <n v="3"/>
    <n v="4"/>
    <n v="3"/>
    <n v="1"/>
    <n v="3"/>
    <s v="Low"/>
    <s v="Low"/>
    <s v="Experienced"/>
  </r>
  <r>
    <n v="31"/>
    <x v="0"/>
    <s v="Travel_Rarely"/>
    <n v="202"/>
    <x v="1"/>
    <n v="8"/>
    <n v="3"/>
    <s v="Life Sciences"/>
    <x v="0"/>
    <n v="1433"/>
    <n v="1"/>
    <s v="Female"/>
    <n v="34"/>
    <n v="2"/>
    <n v="1"/>
    <s v="Research Scientist"/>
    <n v="2"/>
    <s v="Single"/>
    <n v="1261"/>
    <n v="22262"/>
    <n v="1"/>
    <s v="Y"/>
    <x v="1"/>
    <n v="12"/>
    <n v="3"/>
    <n v="3"/>
    <n v="80"/>
    <n v="0"/>
    <n v="1"/>
    <n v="3"/>
    <n v="4"/>
    <n v="1"/>
    <n v="0"/>
    <n v="0"/>
    <n v="0"/>
    <s v="Low"/>
    <s v="Low"/>
    <s v="new"/>
  </r>
  <r>
    <n v="27"/>
    <x v="1"/>
    <s v="Travel_Rarely"/>
    <n v="1377"/>
    <x v="1"/>
    <n v="11"/>
    <n v="1"/>
    <s v="Life Sciences"/>
    <x v="0"/>
    <n v="1434"/>
    <n v="2"/>
    <s v="Male"/>
    <n v="91"/>
    <n v="3"/>
    <n v="1"/>
    <s v="Laboratory Technician"/>
    <n v="1"/>
    <s v="Married"/>
    <n v="2099"/>
    <n v="7679"/>
    <n v="0"/>
    <s v="Y"/>
    <x v="1"/>
    <n v="14"/>
    <n v="3"/>
    <n v="2"/>
    <n v="80"/>
    <n v="0"/>
    <n v="6"/>
    <n v="3"/>
    <n v="4"/>
    <n v="5"/>
    <n v="0"/>
    <n v="1"/>
    <n v="4"/>
    <s v="Low"/>
    <s v="Low"/>
    <s v="Experienced"/>
  </r>
  <r>
    <n v="36"/>
    <x v="1"/>
    <s v="Travel_Rarely"/>
    <n v="172"/>
    <x v="1"/>
    <n v="4"/>
    <n v="4"/>
    <s v="Life Sciences"/>
    <x v="0"/>
    <n v="1435"/>
    <n v="1"/>
    <s v="Male"/>
    <n v="37"/>
    <n v="2"/>
    <n v="2"/>
    <s v="Laboratory Technician"/>
    <n v="4"/>
    <s v="Single"/>
    <n v="5810"/>
    <n v="22604"/>
    <n v="1"/>
    <s v="Y"/>
    <x v="1"/>
    <n v="16"/>
    <n v="3"/>
    <n v="3"/>
    <n v="80"/>
    <n v="0"/>
    <n v="10"/>
    <n v="2"/>
    <n v="2"/>
    <n v="10"/>
    <n v="4"/>
    <n v="1"/>
    <n v="8"/>
    <s v="Low"/>
    <s v="Medium"/>
    <s v="High"/>
  </r>
  <r>
    <n v="36"/>
    <x v="1"/>
    <s v="Travel_Rarely"/>
    <n v="329"/>
    <x v="0"/>
    <n v="16"/>
    <n v="4"/>
    <s v="Marketing"/>
    <x v="0"/>
    <n v="1436"/>
    <n v="3"/>
    <s v="Female"/>
    <n v="98"/>
    <n v="2"/>
    <n v="2"/>
    <s v="Sales Executive"/>
    <n v="1"/>
    <s v="Married"/>
    <n v="5647"/>
    <n v="13494"/>
    <n v="4"/>
    <s v="Y"/>
    <x v="1"/>
    <n v="13"/>
    <n v="3"/>
    <n v="1"/>
    <n v="80"/>
    <n v="2"/>
    <n v="11"/>
    <n v="3"/>
    <n v="2"/>
    <n v="3"/>
    <n v="2"/>
    <n v="0"/>
    <n v="2"/>
    <s v="Low"/>
    <s v="Medium"/>
    <s v="Experienced"/>
  </r>
  <r>
    <n v="47"/>
    <x v="1"/>
    <s v="Travel_Rarely"/>
    <n v="465"/>
    <x v="1"/>
    <n v="1"/>
    <n v="3"/>
    <s v="Technical Degree"/>
    <x v="0"/>
    <n v="1438"/>
    <n v="1"/>
    <s v="Male"/>
    <n v="74"/>
    <n v="3"/>
    <n v="1"/>
    <s v="Research Scientist"/>
    <n v="4"/>
    <s v="Married"/>
    <n v="3420"/>
    <n v="10205"/>
    <n v="7"/>
    <s v="Y"/>
    <x v="1"/>
    <n v="12"/>
    <n v="3"/>
    <n v="3"/>
    <n v="80"/>
    <n v="1"/>
    <n v="17"/>
    <n v="2"/>
    <n v="2"/>
    <n v="6"/>
    <n v="5"/>
    <n v="1"/>
    <n v="2"/>
    <s v="Low"/>
    <s v="Low"/>
    <s v="Experienced"/>
  </r>
  <r>
    <n v="25"/>
    <x v="0"/>
    <s v="Travel_Rarely"/>
    <n v="383"/>
    <x v="0"/>
    <n v="9"/>
    <n v="2"/>
    <s v="Life Sciences"/>
    <x v="0"/>
    <n v="1439"/>
    <n v="1"/>
    <s v="Male"/>
    <n v="68"/>
    <n v="2"/>
    <n v="1"/>
    <s v="Sales Representative"/>
    <n v="1"/>
    <s v="Married"/>
    <n v="4400"/>
    <n v="15182"/>
    <n v="3"/>
    <s v="Y"/>
    <x v="1"/>
    <n v="12"/>
    <n v="3"/>
    <n v="1"/>
    <n v="80"/>
    <n v="0"/>
    <n v="6"/>
    <n v="2"/>
    <n v="3"/>
    <n v="3"/>
    <n v="2"/>
    <n v="2"/>
    <n v="2"/>
    <s v="Low"/>
    <s v="Medium"/>
    <s v="Experienced"/>
  </r>
  <r>
    <n v="37"/>
    <x v="1"/>
    <s v="Non-Travel"/>
    <n v="1413"/>
    <x v="1"/>
    <n v="5"/>
    <n v="2"/>
    <s v="Technical Degree"/>
    <x v="0"/>
    <n v="1440"/>
    <n v="3"/>
    <s v="Male"/>
    <n v="84"/>
    <n v="4"/>
    <n v="1"/>
    <s v="Laboratory Technician"/>
    <n v="3"/>
    <s v="Single"/>
    <n v="3500"/>
    <n v="25470"/>
    <n v="0"/>
    <s v="Y"/>
    <x v="1"/>
    <n v="14"/>
    <n v="3"/>
    <n v="1"/>
    <n v="80"/>
    <n v="0"/>
    <n v="7"/>
    <n v="2"/>
    <n v="1"/>
    <n v="6"/>
    <n v="5"/>
    <n v="1"/>
    <n v="3"/>
    <s v="Low"/>
    <s v="Low"/>
    <s v="Experienced"/>
  </r>
  <r>
    <n v="56"/>
    <x v="1"/>
    <s v="Travel_Rarely"/>
    <n v="1255"/>
    <x v="1"/>
    <n v="1"/>
    <n v="2"/>
    <s v="Life Sciences"/>
    <x v="0"/>
    <n v="1441"/>
    <n v="1"/>
    <s v="Female"/>
    <n v="90"/>
    <n v="3"/>
    <n v="1"/>
    <s v="Research Scientist"/>
    <n v="1"/>
    <s v="Married"/>
    <n v="2066"/>
    <n v="10494"/>
    <n v="2"/>
    <s v="Y"/>
    <x v="1"/>
    <n v="22"/>
    <n v="4"/>
    <n v="4"/>
    <n v="80"/>
    <n v="1"/>
    <n v="5"/>
    <n v="3"/>
    <n v="4"/>
    <n v="3"/>
    <n v="2"/>
    <n v="1"/>
    <n v="0"/>
    <s v="Low"/>
    <s v="Low"/>
    <s v="Experienced"/>
  </r>
  <r>
    <n v="47"/>
    <x v="1"/>
    <s v="Travel_Rarely"/>
    <n v="359"/>
    <x v="1"/>
    <n v="2"/>
    <n v="4"/>
    <s v="Medical"/>
    <x v="0"/>
    <n v="1443"/>
    <n v="1"/>
    <s v="Female"/>
    <n v="82"/>
    <n v="3"/>
    <n v="4"/>
    <s v="Research Director"/>
    <n v="3"/>
    <s v="Married"/>
    <n v="17169"/>
    <n v="26703"/>
    <n v="3"/>
    <s v="Y"/>
    <x v="1"/>
    <n v="19"/>
    <n v="3"/>
    <n v="2"/>
    <n v="80"/>
    <n v="2"/>
    <n v="26"/>
    <n v="2"/>
    <n v="4"/>
    <n v="20"/>
    <n v="17"/>
    <n v="5"/>
    <n v="6"/>
    <s v="High"/>
    <s v="High"/>
    <s v="High"/>
  </r>
  <r>
    <n v="24"/>
    <x v="1"/>
    <s v="Travel_Rarely"/>
    <n v="1476"/>
    <x v="0"/>
    <n v="4"/>
    <n v="1"/>
    <s v="Medical"/>
    <x v="0"/>
    <n v="1445"/>
    <n v="4"/>
    <s v="Female"/>
    <n v="42"/>
    <n v="3"/>
    <n v="2"/>
    <s v="Sales Executive"/>
    <n v="3"/>
    <s v="Married"/>
    <n v="4162"/>
    <n v="15211"/>
    <n v="1"/>
    <s v="Y"/>
    <x v="0"/>
    <n v="12"/>
    <n v="3"/>
    <n v="3"/>
    <n v="80"/>
    <n v="2"/>
    <n v="5"/>
    <n v="3"/>
    <n v="3"/>
    <n v="5"/>
    <n v="4"/>
    <n v="0"/>
    <n v="3"/>
    <s v="Low"/>
    <s v="Medium"/>
    <s v="Experienced"/>
  </r>
  <r>
    <n v="32"/>
    <x v="1"/>
    <s v="Travel_Rarely"/>
    <n v="601"/>
    <x v="0"/>
    <n v="7"/>
    <n v="5"/>
    <s v="Marketing"/>
    <x v="0"/>
    <n v="1446"/>
    <n v="4"/>
    <s v="Male"/>
    <n v="97"/>
    <n v="3"/>
    <n v="2"/>
    <s v="Sales Executive"/>
    <n v="4"/>
    <s v="Married"/>
    <n v="9204"/>
    <n v="23343"/>
    <n v="4"/>
    <s v="Y"/>
    <x v="1"/>
    <n v="12"/>
    <n v="3"/>
    <n v="3"/>
    <n v="80"/>
    <n v="1"/>
    <n v="7"/>
    <n v="3"/>
    <n v="2"/>
    <n v="4"/>
    <n v="3"/>
    <n v="0"/>
    <n v="3"/>
    <s v="High"/>
    <s v="High"/>
    <s v="Experienced"/>
  </r>
  <r>
    <n v="34"/>
    <x v="1"/>
    <s v="Travel_Rarely"/>
    <n v="401"/>
    <x v="1"/>
    <n v="1"/>
    <n v="3"/>
    <s v="Life Sciences"/>
    <x v="0"/>
    <n v="1447"/>
    <n v="4"/>
    <s v="Female"/>
    <n v="86"/>
    <n v="2"/>
    <n v="1"/>
    <s v="Laboratory Technician"/>
    <n v="2"/>
    <s v="Married"/>
    <n v="3294"/>
    <n v="3708"/>
    <n v="5"/>
    <s v="Y"/>
    <x v="1"/>
    <n v="17"/>
    <n v="3"/>
    <n v="1"/>
    <n v="80"/>
    <n v="1"/>
    <n v="7"/>
    <n v="2"/>
    <n v="2"/>
    <n v="5"/>
    <n v="4"/>
    <n v="0"/>
    <n v="2"/>
    <s v="Low"/>
    <s v="Low"/>
    <s v="Experienced"/>
  </r>
  <r>
    <n v="41"/>
    <x v="1"/>
    <s v="Travel_Rarely"/>
    <n v="1283"/>
    <x v="1"/>
    <n v="5"/>
    <n v="5"/>
    <s v="Medical"/>
    <x v="0"/>
    <n v="1448"/>
    <n v="2"/>
    <s v="Male"/>
    <n v="90"/>
    <n v="4"/>
    <n v="1"/>
    <s v="Research Scientist"/>
    <n v="3"/>
    <s v="Married"/>
    <n v="2127"/>
    <n v="5561"/>
    <n v="2"/>
    <s v="Y"/>
    <x v="0"/>
    <n v="12"/>
    <n v="3"/>
    <n v="1"/>
    <n v="80"/>
    <n v="0"/>
    <n v="7"/>
    <n v="5"/>
    <n v="2"/>
    <n v="4"/>
    <n v="2"/>
    <n v="0"/>
    <n v="3"/>
    <s v="Low"/>
    <s v="Low"/>
    <s v="Experienced"/>
  </r>
  <r>
    <n v="40"/>
    <x v="1"/>
    <s v="Non-Travel"/>
    <n v="663"/>
    <x v="1"/>
    <n v="9"/>
    <n v="4"/>
    <s v="Other"/>
    <x v="0"/>
    <n v="1449"/>
    <n v="3"/>
    <s v="Male"/>
    <n v="81"/>
    <n v="3"/>
    <n v="2"/>
    <s v="Laboratory Technician"/>
    <n v="3"/>
    <s v="Divorced"/>
    <n v="3975"/>
    <n v="23099"/>
    <n v="3"/>
    <s v="Y"/>
    <x v="1"/>
    <n v="11"/>
    <n v="3"/>
    <n v="3"/>
    <n v="80"/>
    <n v="2"/>
    <n v="11"/>
    <n v="2"/>
    <n v="4"/>
    <n v="8"/>
    <n v="7"/>
    <n v="0"/>
    <n v="7"/>
    <s v="Low"/>
    <s v="Low"/>
    <s v="High"/>
  </r>
  <r>
    <n v="31"/>
    <x v="1"/>
    <s v="Travel_Rarely"/>
    <n v="326"/>
    <x v="0"/>
    <n v="8"/>
    <n v="2"/>
    <s v="Life Sciences"/>
    <x v="0"/>
    <n v="1453"/>
    <n v="1"/>
    <s v="Male"/>
    <n v="31"/>
    <n v="3"/>
    <n v="3"/>
    <s v="Sales Executive"/>
    <n v="4"/>
    <s v="Divorced"/>
    <n v="10793"/>
    <n v="8386"/>
    <n v="1"/>
    <s v="Y"/>
    <x v="1"/>
    <n v="18"/>
    <n v="3"/>
    <n v="1"/>
    <n v="80"/>
    <n v="1"/>
    <n v="13"/>
    <n v="5"/>
    <n v="3"/>
    <n v="13"/>
    <n v="7"/>
    <n v="9"/>
    <n v="9"/>
    <s v="High"/>
    <s v="High"/>
    <s v="High"/>
  </r>
  <r>
    <n v="46"/>
    <x v="0"/>
    <s v="Travel_Rarely"/>
    <n v="377"/>
    <x v="0"/>
    <n v="9"/>
    <n v="3"/>
    <s v="Marketing"/>
    <x v="0"/>
    <n v="1457"/>
    <n v="1"/>
    <s v="Male"/>
    <n v="52"/>
    <n v="3"/>
    <n v="3"/>
    <s v="Sales Executive"/>
    <n v="4"/>
    <s v="Divorced"/>
    <n v="10096"/>
    <n v="15986"/>
    <n v="4"/>
    <s v="Y"/>
    <x v="1"/>
    <n v="11"/>
    <n v="3"/>
    <n v="1"/>
    <n v="80"/>
    <n v="1"/>
    <n v="28"/>
    <n v="1"/>
    <n v="4"/>
    <n v="7"/>
    <n v="7"/>
    <n v="4"/>
    <n v="3"/>
    <s v="High"/>
    <s v="High"/>
    <s v="Experienced"/>
  </r>
  <r>
    <n v="39"/>
    <x v="0"/>
    <s v="Non-Travel"/>
    <n v="592"/>
    <x v="1"/>
    <n v="2"/>
    <n v="3"/>
    <s v="Life Sciences"/>
    <x v="0"/>
    <n v="1458"/>
    <n v="1"/>
    <s v="Female"/>
    <n v="54"/>
    <n v="2"/>
    <n v="1"/>
    <s v="Laboratory Technician"/>
    <n v="1"/>
    <s v="Single"/>
    <n v="3646"/>
    <n v="17181"/>
    <n v="2"/>
    <s v="Y"/>
    <x v="0"/>
    <n v="23"/>
    <n v="4"/>
    <n v="2"/>
    <n v="80"/>
    <n v="0"/>
    <n v="11"/>
    <n v="2"/>
    <n v="4"/>
    <n v="1"/>
    <n v="0"/>
    <n v="0"/>
    <n v="0"/>
    <s v="Low"/>
    <s v="Low"/>
    <s v="new"/>
  </r>
  <r>
    <n v="31"/>
    <x v="0"/>
    <s v="Travel_Frequently"/>
    <n v="1445"/>
    <x v="1"/>
    <n v="1"/>
    <n v="5"/>
    <s v="Life Sciences"/>
    <x v="0"/>
    <n v="1459"/>
    <n v="3"/>
    <s v="Female"/>
    <n v="100"/>
    <n v="4"/>
    <n v="3"/>
    <s v="Manufacturing Director"/>
    <n v="2"/>
    <s v="Single"/>
    <n v="7446"/>
    <n v="8931"/>
    <n v="1"/>
    <s v="Y"/>
    <x v="1"/>
    <n v="11"/>
    <n v="3"/>
    <n v="1"/>
    <n v="80"/>
    <n v="0"/>
    <n v="10"/>
    <n v="2"/>
    <n v="3"/>
    <n v="10"/>
    <n v="8"/>
    <n v="4"/>
    <n v="7"/>
    <s v="High"/>
    <s v="Medium"/>
    <s v="High"/>
  </r>
  <r>
    <n v="45"/>
    <x v="1"/>
    <s v="Travel_Rarely"/>
    <n v="1038"/>
    <x v="1"/>
    <n v="20"/>
    <n v="3"/>
    <s v="Medical"/>
    <x v="0"/>
    <n v="1460"/>
    <n v="2"/>
    <s v="Male"/>
    <n v="95"/>
    <n v="1"/>
    <n v="3"/>
    <s v="Healthcare Representative"/>
    <n v="1"/>
    <s v="Divorced"/>
    <n v="10851"/>
    <n v="19863"/>
    <n v="2"/>
    <s v="Y"/>
    <x v="0"/>
    <n v="18"/>
    <n v="3"/>
    <n v="2"/>
    <n v="80"/>
    <n v="1"/>
    <n v="24"/>
    <n v="2"/>
    <n v="3"/>
    <n v="7"/>
    <n v="7"/>
    <n v="0"/>
    <n v="7"/>
    <s v="High"/>
    <s v="High"/>
    <s v="Experienced"/>
  </r>
  <r>
    <n v="31"/>
    <x v="1"/>
    <s v="Travel_Rarely"/>
    <n v="1398"/>
    <x v="2"/>
    <n v="8"/>
    <n v="2"/>
    <s v="Medical"/>
    <x v="0"/>
    <n v="1461"/>
    <n v="4"/>
    <s v="Female"/>
    <n v="96"/>
    <n v="4"/>
    <n v="1"/>
    <s v="Human Resources"/>
    <n v="2"/>
    <s v="Single"/>
    <n v="2109"/>
    <n v="24609"/>
    <n v="9"/>
    <s v="Y"/>
    <x v="1"/>
    <n v="18"/>
    <n v="3"/>
    <n v="4"/>
    <n v="80"/>
    <n v="0"/>
    <n v="8"/>
    <n v="3"/>
    <n v="3"/>
    <n v="3"/>
    <n v="2"/>
    <n v="0"/>
    <n v="2"/>
    <s v="Low"/>
    <s v="Low"/>
    <s v="Experienced"/>
  </r>
  <r>
    <n v="31"/>
    <x v="0"/>
    <s v="Travel_Frequently"/>
    <n v="523"/>
    <x v="1"/>
    <n v="2"/>
    <n v="3"/>
    <s v="Life Sciences"/>
    <x v="0"/>
    <n v="1464"/>
    <n v="2"/>
    <s v="Male"/>
    <n v="94"/>
    <n v="3"/>
    <n v="1"/>
    <s v="Laboratory Technician"/>
    <n v="4"/>
    <s v="Married"/>
    <n v="3722"/>
    <n v="21081"/>
    <n v="6"/>
    <s v="Y"/>
    <x v="0"/>
    <n v="13"/>
    <n v="3"/>
    <n v="3"/>
    <n v="80"/>
    <n v="1"/>
    <n v="7"/>
    <n v="2"/>
    <n v="1"/>
    <n v="2"/>
    <n v="2"/>
    <n v="2"/>
    <n v="2"/>
    <s v="Low"/>
    <s v="Low"/>
    <s v="new"/>
  </r>
  <r>
    <n v="45"/>
    <x v="1"/>
    <s v="Travel_Rarely"/>
    <n v="1448"/>
    <x v="1"/>
    <n v="29"/>
    <n v="3"/>
    <s v="Technical Degree"/>
    <x v="0"/>
    <n v="1465"/>
    <n v="2"/>
    <s v="Male"/>
    <n v="55"/>
    <n v="3"/>
    <n v="3"/>
    <s v="Manufacturing Director"/>
    <n v="4"/>
    <s v="Married"/>
    <n v="9380"/>
    <n v="14720"/>
    <n v="4"/>
    <s v="Y"/>
    <x v="0"/>
    <n v="18"/>
    <n v="3"/>
    <n v="4"/>
    <n v="80"/>
    <n v="2"/>
    <n v="10"/>
    <n v="4"/>
    <n v="4"/>
    <n v="3"/>
    <n v="1"/>
    <n v="1"/>
    <n v="2"/>
    <s v="High"/>
    <s v="High"/>
    <s v="Experienced"/>
  </r>
  <r>
    <n v="48"/>
    <x v="1"/>
    <s v="Travel_Rarely"/>
    <n v="1221"/>
    <x v="0"/>
    <n v="7"/>
    <n v="3"/>
    <s v="Marketing"/>
    <x v="0"/>
    <n v="1466"/>
    <n v="3"/>
    <s v="Male"/>
    <n v="96"/>
    <n v="3"/>
    <n v="2"/>
    <s v="Sales Executive"/>
    <n v="1"/>
    <s v="Divorced"/>
    <n v="5486"/>
    <n v="24795"/>
    <n v="4"/>
    <s v="Y"/>
    <x v="1"/>
    <n v="11"/>
    <n v="3"/>
    <n v="1"/>
    <n v="80"/>
    <n v="3"/>
    <n v="15"/>
    <n v="3"/>
    <n v="3"/>
    <n v="2"/>
    <n v="2"/>
    <n v="2"/>
    <n v="2"/>
    <s v="Low"/>
    <s v="Medium"/>
    <s v="new"/>
  </r>
  <r>
    <n v="34"/>
    <x v="0"/>
    <s v="Travel_Rarely"/>
    <n v="1107"/>
    <x v="2"/>
    <n v="9"/>
    <n v="4"/>
    <s v="Technical Degree"/>
    <x v="0"/>
    <n v="1467"/>
    <n v="1"/>
    <s v="Female"/>
    <n v="52"/>
    <n v="3"/>
    <n v="1"/>
    <s v="Human Resources"/>
    <n v="3"/>
    <s v="Married"/>
    <n v="2742"/>
    <n v="3072"/>
    <n v="1"/>
    <s v="Y"/>
    <x v="1"/>
    <n v="15"/>
    <n v="3"/>
    <n v="4"/>
    <n v="80"/>
    <n v="0"/>
    <n v="2"/>
    <n v="0"/>
    <n v="3"/>
    <n v="2"/>
    <n v="2"/>
    <n v="2"/>
    <n v="2"/>
    <s v="Low"/>
    <s v="Low"/>
    <s v="new"/>
  </r>
  <r>
    <n v="40"/>
    <x v="1"/>
    <s v="Non-Travel"/>
    <n v="218"/>
    <x v="1"/>
    <n v="8"/>
    <n v="1"/>
    <s v="Medical"/>
    <x v="0"/>
    <n v="1468"/>
    <n v="4"/>
    <s v="Male"/>
    <n v="55"/>
    <n v="2"/>
    <n v="3"/>
    <s v="Research Director"/>
    <n v="2"/>
    <s v="Divorced"/>
    <n v="13757"/>
    <n v="25178"/>
    <n v="2"/>
    <s v="Y"/>
    <x v="1"/>
    <n v="11"/>
    <n v="3"/>
    <n v="3"/>
    <n v="80"/>
    <n v="1"/>
    <n v="16"/>
    <n v="5"/>
    <n v="3"/>
    <n v="9"/>
    <n v="8"/>
    <n v="4"/>
    <n v="8"/>
    <s v="High"/>
    <s v="High"/>
    <s v="High"/>
  </r>
  <r>
    <n v="28"/>
    <x v="1"/>
    <s v="Travel_Rarely"/>
    <n v="866"/>
    <x v="0"/>
    <n v="5"/>
    <n v="3"/>
    <s v="Medical"/>
    <x v="0"/>
    <n v="1469"/>
    <n v="4"/>
    <s v="Male"/>
    <n v="84"/>
    <n v="3"/>
    <n v="2"/>
    <s v="Sales Executive"/>
    <n v="1"/>
    <s v="Single"/>
    <n v="8463"/>
    <n v="23490"/>
    <n v="0"/>
    <s v="Y"/>
    <x v="1"/>
    <n v="18"/>
    <n v="3"/>
    <n v="4"/>
    <n v="80"/>
    <n v="0"/>
    <n v="6"/>
    <n v="4"/>
    <n v="3"/>
    <n v="5"/>
    <n v="4"/>
    <n v="1"/>
    <n v="3"/>
    <s v="High"/>
    <s v="High"/>
    <s v="Experienced"/>
  </r>
  <r>
    <n v="44"/>
    <x v="1"/>
    <s v="Non-Travel"/>
    <n v="981"/>
    <x v="1"/>
    <n v="5"/>
    <n v="3"/>
    <s v="Life Sciences"/>
    <x v="0"/>
    <n v="1471"/>
    <n v="3"/>
    <s v="Male"/>
    <n v="90"/>
    <n v="2"/>
    <n v="1"/>
    <s v="Laboratory Technician"/>
    <n v="3"/>
    <s v="Single"/>
    <n v="3162"/>
    <n v="7973"/>
    <n v="3"/>
    <s v="Y"/>
    <x v="1"/>
    <n v="14"/>
    <n v="3"/>
    <n v="4"/>
    <n v="80"/>
    <n v="0"/>
    <n v="7"/>
    <n v="5"/>
    <n v="3"/>
    <n v="5"/>
    <n v="2"/>
    <n v="0"/>
    <n v="3"/>
    <s v="Low"/>
    <s v="Low"/>
    <s v="Experienced"/>
  </r>
  <r>
    <n v="53"/>
    <x v="1"/>
    <s v="Travel_Rarely"/>
    <n v="447"/>
    <x v="1"/>
    <n v="2"/>
    <n v="3"/>
    <s v="Medical"/>
    <x v="0"/>
    <n v="1472"/>
    <n v="4"/>
    <s v="Male"/>
    <n v="39"/>
    <n v="4"/>
    <n v="4"/>
    <s v="Research Director"/>
    <n v="2"/>
    <s v="Single"/>
    <n v="16598"/>
    <n v="19764"/>
    <n v="4"/>
    <s v="Y"/>
    <x v="1"/>
    <n v="12"/>
    <n v="3"/>
    <n v="2"/>
    <n v="80"/>
    <n v="0"/>
    <n v="35"/>
    <n v="2"/>
    <n v="2"/>
    <n v="9"/>
    <n v="8"/>
    <n v="8"/>
    <n v="8"/>
    <s v="High"/>
    <s v="High"/>
    <s v="High"/>
  </r>
  <r>
    <n v="49"/>
    <x v="1"/>
    <s v="Travel_Rarely"/>
    <n v="1495"/>
    <x v="1"/>
    <n v="5"/>
    <n v="4"/>
    <s v="Technical Degree"/>
    <x v="0"/>
    <n v="1473"/>
    <n v="1"/>
    <s v="Male"/>
    <n v="96"/>
    <n v="3"/>
    <n v="2"/>
    <s v="Healthcare Representative"/>
    <n v="3"/>
    <s v="Married"/>
    <n v="6651"/>
    <n v="21534"/>
    <n v="2"/>
    <s v="Y"/>
    <x v="1"/>
    <n v="14"/>
    <n v="3"/>
    <n v="2"/>
    <n v="80"/>
    <n v="1"/>
    <n v="20"/>
    <n v="0"/>
    <n v="2"/>
    <n v="3"/>
    <n v="2"/>
    <n v="1"/>
    <n v="2"/>
    <s v="High"/>
    <s v="Medium"/>
    <s v="Experienced"/>
  </r>
  <r>
    <n v="40"/>
    <x v="1"/>
    <s v="Travel_Rarely"/>
    <n v="896"/>
    <x v="1"/>
    <n v="2"/>
    <n v="3"/>
    <s v="Medical"/>
    <x v="0"/>
    <n v="1474"/>
    <n v="3"/>
    <s v="Male"/>
    <n v="68"/>
    <n v="3"/>
    <n v="1"/>
    <s v="Research Scientist"/>
    <n v="3"/>
    <s v="Divorced"/>
    <n v="2345"/>
    <n v="8045"/>
    <n v="2"/>
    <s v="Y"/>
    <x v="1"/>
    <n v="14"/>
    <n v="3"/>
    <n v="3"/>
    <n v="80"/>
    <n v="1"/>
    <n v="8"/>
    <n v="3"/>
    <n v="4"/>
    <n v="3"/>
    <n v="1"/>
    <n v="1"/>
    <n v="2"/>
    <s v="Low"/>
    <s v="Low"/>
    <s v="Experienced"/>
  </r>
  <r>
    <n v="44"/>
    <x v="1"/>
    <s v="Travel_Rarely"/>
    <n v="1467"/>
    <x v="1"/>
    <n v="20"/>
    <n v="3"/>
    <s v="Life Sciences"/>
    <x v="0"/>
    <n v="1475"/>
    <n v="4"/>
    <s v="Male"/>
    <n v="49"/>
    <n v="3"/>
    <n v="1"/>
    <s v="Research Scientist"/>
    <n v="2"/>
    <s v="Single"/>
    <n v="3420"/>
    <n v="21158"/>
    <n v="1"/>
    <s v="Y"/>
    <x v="1"/>
    <n v="13"/>
    <n v="3"/>
    <n v="3"/>
    <n v="80"/>
    <n v="0"/>
    <n v="6"/>
    <n v="3"/>
    <n v="2"/>
    <n v="5"/>
    <n v="2"/>
    <n v="1"/>
    <n v="3"/>
    <s v="Low"/>
    <s v="Low"/>
    <s v="Experienced"/>
  </r>
  <r>
    <n v="33"/>
    <x v="1"/>
    <s v="Travel_Frequently"/>
    <n v="430"/>
    <x v="0"/>
    <n v="7"/>
    <n v="3"/>
    <s v="Medical"/>
    <x v="0"/>
    <n v="1477"/>
    <n v="4"/>
    <s v="Male"/>
    <n v="54"/>
    <n v="3"/>
    <n v="2"/>
    <s v="Sales Executive"/>
    <n v="1"/>
    <s v="Married"/>
    <n v="4373"/>
    <n v="17456"/>
    <n v="0"/>
    <s v="Y"/>
    <x v="1"/>
    <n v="14"/>
    <n v="3"/>
    <n v="1"/>
    <n v="80"/>
    <n v="2"/>
    <n v="5"/>
    <n v="2"/>
    <n v="3"/>
    <n v="4"/>
    <n v="3"/>
    <n v="0"/>
    <n v="3"/>
    <s v="Low"/>
    <s v="Medium"/>
    <s v="Experienced"/>
  </r>
  <r>
    <n v="34"/>
    <x v="1"/>
    <s v="Travel_Rarely"/>
    <n v="1326"/>
    <x v="0"/>
    <n v="3"/>
    <n v="3"/>
    <s v="Other"/>
    <x v="0"/>
    <n v="1478"/>
    <n v="4"/>
    <s v="Male"/>
    <n v="81"/>
    <n v="1"/>
    <n v="2"/>
    <s v="Sales Executive"/>
    <n v="1"/>
    <s v="Single"/>
    <n v="4759"/>
    <n v="15891"/>
    <n v="3"/>
    <s v="Y"/>
    <x v="1"/>
    <n v="18"/>
    <n v="3"/>
    <n v="4"/>
    <n v="80"/>
    <n v="0"/>
    <n v="15"/>
    <n v="2"/>
    <n v="3"/>
    <n v="13"/>
    <n v="9"/>
    <n v="3"/>
    <n v="12"/>
    <s v="Low"/>
    <s v="Medium"/>
    <s v="High"/>
  </r>
  <r>
    <n v="30"/>
    <x v="1"/>
    <s v="Travel_Rarely"/>
    <n v="1358"/>
    <x v="0"/>
    <n v="16"/>
    <n v="1"/>
    <s v="Life Sciences"/>
    <x v="0"/>
    <n v="1479"/>
    <n v="4"/>
    <s v="Male"/>
    <n v="96"/>
    <n v="3"/>
    <n v="2"/>
    <s v="Sales Executive"/>
    <n v="3"/>
    <s v="Married"/>
    <n v="5301"/>
    <n v="2939"/>
    <n v="8"/>
    <s v="Y"/>
    <x v="1"/>
    <n v="15"/>
    <n v="3"/>
    <n v="3"/>
    <n v="80"/>
    <n v="2"/>
    <n v="4"/>
    <n v="2"/>
    <n v="2"/>
    <n v="2"/>
    <n v="1"/>
    <n v="2"/>
    <n v="2"/>
    <s v="Low"/>
    <s v="Medium"/>
    <s v="new"/>
  </r>
  <r>
    <n v="42"/>
    <x v="1"/>
    <s v="Travel_Frequently"/>
    <n v="748"/>
    <x v="1"/>
    <n v="9"/>
    <n v="2"/>
    <s v="Medical"/>
    <x v="0"/>
    <n v="1480"/>
    <n v="1"/>
    <s v="Female"/>
    <n v="74"/>
    <n v="3"/>
    <n v="1"/>
    <s v="Laboratory Technician"/>
    <n v="4"/>
    <s v="Single"/>
    <n v="3673"/>
    <n v="16458"/>
    <n v="1"/>
    <s v="Y"/>
    <x v="1"/>
    <n v="13"/>
    <n v="3"/>
    <n v="3"/>
    <n v="80"/>
    <n v="0"/>
    <n v="12"/>
    <n v="3"/>
    <n v="3"/>
    <n v="12"/>
    <n v="9"/>
    <n v="5"/>
    <n v="8"/>
    <s v="Low"/>
    <s v="Low"/>
    <s v="High"/>
  </r>
  <r>
    <n v="44"/>
    <x v="1"/>
    <s v="Travel_Frequently"/>
    <n v="383"/>
    <x v="0"/>
    <n v="1"/>
    <n v="5"/>
    <s v="Marketing"/>
    <x v="0"/>
    <n v="1481"/>
    <n v="1"/>
    <s v="Female"/>
    <n v="79"/>
    <n v="3"/>
    <n v="2"/>
    <s v="Sales Executive"/>
    <n v="3"/>
    <s v="Married"/>
    <n v="4768"/>
    <n v="9282"/>
    <n v="7"/>
    <s v="Y"/>
    <x v="1"/>
    <n v="12"/>
    <n v="3"/>
    <n v="3"/>
    <n v="80"/>
    <n v="1"/>
    <n v="11"/>
    <n v="4"/>
    <n v="2"/>
    <n v="1"/>
    <n v="0"/>
    <n v="0"/>
    <n v="0"/>
    <s v="Low"/>
    <s v="Medium"/>
    <s v="new"/>
  </r>
  <r>
    <n v="30"/>
    <x v="1"/>
    <s v="Non-Travel"/>
    <n v="990"/>
    <x v="1"/>
    <n v="7"/>
    <n v="3"/>
    <s v="Technical Degree"/>
    <x v="0"/>
    <n v="1482"/>
    <n v="3"/>
    <s v="Male"/>
    <n v="64"/>
    <n v="3"/>
    <n v="1"/>
    <s v="Research Scientist"/>
    <n v="3"/>
    <s v="Divorced"/>
    <n v="1274"/>
    <n v="7152"/>
    <n v="1"/>
    <s v="Y"/>
    <x v="1"/>
    <n v="13"/>
    <n v="3"/>
    <n v="2"/>
    <n v="80"/>
    <n v="2"/>
    <n v="1"/>
    <n v="2"/>
    <n v="2"/>
    <n v="1"/>
    <n v="0"/>
    <n v="0"/>
    <n v="0"/>
    <s v="Low"/>
    <s v="Low"/>
    <s v="new"/>
  </r>
  <r>
    <n v="57"/>
    <x v="1"/>
    <s v="Travel_Rarely"/>
    <n v="405"/>
    <x v="1"/>
    <n v="1"/>
    <n v="2"/>
    <s v="Life Sciences"/>
    <x v="0"/>
    <n v="1483"/>
    <n v="2"/>
    <s v="Male"/>
    <n v="93"/>
    <n v="4"/>
    <n v="2"/>
    <s v="Research Scientist"/>
    <n v="3"/>
    <s v="Married"/>
    <n v="4900"/>
    <n v="2721"/>
    <n v="0"/>
    <s v="Y"/>
    <x v="1"/>
    <n v="24"/>
    <n v="4"/>
    <n v="1"/>
    <n v="80"/>
    <n v="1"/>
    <n v="13"/>
    <n v="2"/>
    <n v="2"/>
    <n v="12"/>
    <n v="9"/>
    <n v="2"/>
    <n v="8"/>
    <s v="Low"/>
    <s v="Medium"/>
    <s v="High"/>
  </r>
  <r>
    <n v="49"/>
    <x v="1"/>
    <s v="Travel_Rarely"/>
    <n v="1490"/>
    <x v="1"/>
    <n v="7"/>
    <n v="4"/>
    <s v="Life Sciences"/>
    <x v="0"/>
    <n v="1484"/>
    <n v="3"/>
    <s v="Male"/>
    <n v="35"/>
    <n v="3"/>
    <n v="3"/>
    <s v="Healthcare Representative"/>
    <n v="2"/>
    <s v="Divorced"/>
    <n v="10466"/>
    <n v="20948"/>
    <n v="3"/>
    <s v="Y"/>
    <x v="1"/>
    <n v="14"/>
    <n v="3"/>
    <n v="2"/>
    <n v="80"/>
    <n v="2"/>
    <n v="29"/>
    <n v="3"/>
    <n v="3"/>
    <n v="8"/>
    <n v="7"/>
    <n v="0"/>
    <n v="7"/>
    <s v="High"/>
    <s v="High"/>
    <s v="High"/>
  </r>
  <r>
    <n v="34"/>
    <x v="1"/>
    <s v="Travel_Frequently"/>
    <n v="829"/>
    <x v="1"/>
    <n v="15"/>
    <n v="3"/>
    <s v="Medical"/>
    <x v="0"/>
    <n v="1485"/>
    <n v="2"/>
    <s v="Male"/>
    <n v="71"/>
    <n v="3"/>
    <n v="4"/>
    <s v="Research Director"/>
    <n v="1"/>
    <s v="Divorced"/>
    <n v="17007"/>
    <n v="11929"/>
    <n v="7"/>
    <s v="Y"/>
    <x v="1"/>
    <n v="14"/>
    <n v="3"/>
    <n v="4"/>
    <n v="80"/>
    <n v="2"/>
    <n v="16"/>
    <n v="3"/>
    <n v="2"/>
    <n v="14"/>
    <n v="8"/>
    <n v="6"/>
    <n v="9"/>
    <s v="High"/>
    <s v="High"/>
    <s v="High"/>
  </r>
  <r>
    <n v="28"/>
    <x v="0"/>
    <s v="Travel_Frequently"/>
    <n v="1496"/>
    <x v="0"/>
    <n v="1"/>
    <n v="3"/>
    <s v="Technical Degree"/>
    <x v="0"/>
    <n v="1486"/>
    <n v="1"/>
    <s v="Male"/>
    <n v="92"/>
    <n v="3"/>
    <n v="1"/>
    <s v="Sales Representative"/>
    <n v="3"/>
    <s v="Married"/>
    <n v="2909"/>
    <n v="15747"/>
    <n v="3"/>
    <s v="Y"/>
    <x v="1"/>
    <n v="15"/>
    <n v="3"/>
    <n v="4"/>
    <n v="80"/>
    <n v="1"/>
    <n v="5"/>
    <n v="3"/>
    <n v="4"/>
    <n v="3"/>
    <n v="2"/>
    <n v="1"/>
    <n v="2"/>
    <s v="Low"/>
    <s v="Low"/>
    <s v="Experienced"/>
  </r>
  <r>
    <n v="29"/>
    <x v="0"/>
    <s v="Travel_Frequently"/>
    <n v="115"/>
    <x v="0"/>
    <n v="13"/>
    <n v="3"/>
    <s v="Technical Degree"/>
    <x v="0"/>
    <n v="1487"/>
    <n v="1"/>
    <s v="Female"/>
    <n v="51"/>
    <n v="3"/>
    <n v="2"/>
    <s v="Sales Executive"/>
    <n v="2"/>
    <s v="Single"/>
    <n v="5765"/>
    <n v="17485"/>
    <n v="5"/>
    <s v="Y"/>
    <x v="1"/>
    <n v="11"/>
    <n v="3"/>
    <n v="1"/>
    <n v="80"/>
    <n v="0"/>
    <n v="7"/>
    <n v="4"/>
    <n v="1"/>
    <n v="5"/>
    <n v="3"/>
    <n v="0"/>
    <n v="0"/>
    <s v="Low"/>
    <s v="Medium"/>
    <s v="Experienced"/>
  </r>
  <r>
    <n v="34"/>
    <x v="0"/>
    <s v="Travel_Rarely"/>
    <n v="790"/>
    <x v="0"/>
    <n v="24"/>
    <n v="4"/>
    <s v="Medical"/>
    <x v="0"/>
    <n v="1489"/>
    <n v="1"/>
    <s v="Female"/>
    <n v="40"/>
    <n v="2"/>
    <n v="2"/>
    <s v="Sales Executive"/>
    <n v="2"/>
    <s v="Single"/>
    <n v="4599"/>
    <n v="7815"/>
    <n v="0"/>
    <s v="Y"/>
    <x v="0"/>
    <n v="23"/>
    <n v="4"/>
    <n v="3"/>
    <n v="80"/>
    <n v="0"/>
    <n v="16"/>
    <n v="2"/>
    <n v="4"/>
    <n v="15"/>
    <n v="9"/>
    <n v="10"/>
    <n v="10"/>
    <s v="Low"/>
    <s v="Medium"/>
    <s v="High"/>
  </r>
  <r>
    <n v="35"/>
    <x v="1"/>
    <s v="Travel_Rarely"/>
    <n v="660"/>
    <x v="0"/>
    <n v="7"/>
    <n v="1"/>
    <s v="Life Sciences"/>
    <x v="0"/>
    <n v="1492"/>
    <n v="4"/>
    <s v="Male"/>
    <n v="76"/>
    <n v="3"/>
    <n v="1"/>
    <s v="Sales Representative"/>
    <n v="3"/>
    <s v="Married"/>
    <n v="2404"/>
    <n v="16192"/>
    <n v="1"/>
    <s v="Y"/>
    <x v="1"/>
    <n v="13"/>
    <n v="3"/>
    <n v="1"/>
    <n v="80"/>
    <n v="1"/>
    <n v="1"/>
    <n v="3"/>
    <n v="3"/>
    <n v="1"/>
    <n v="0"/>
    <n v="0"/>
    <n v="0"/>
    <s v="Low"/>
    <s v="Low"/>
    <s v="new"/>
  </r>
  <r>
    <n v="24"/>
    <x v="0"/>
    <s v="Travel_Frequently"/>
    <n v="381"/>
    <x v="1"/>
    <n v="9"/>
    <n v="3"/>
    <s v="Medical"/>
    <x v="0"/>
    <n v="1494"/>
    <n v="2"/>
    <s v="Male"/>
    <n v="89"/>
    <n v="3"/>
    <n v="1"/>
    <s v="Laboratory Technician"/>
    <n v="1"/>
    <s v="Single"/>
    <n v="3172"/>
    <n v="16998"/>
    <n v="2"/>
    <s v="Y"/>
    <x v="0"/>
    <n v="11"/>
    <n v="3"/>
    <n v="3"/>
    <n v="80"/>
    <n v="0"/>
    <n v="4"/>
    <n v="2"/>
    <n v="2"/>
    <n v="0"/>
    <n v="0"/>
    <n v="0"/>
    <n v="0"/>
    <s v="Low"/>
    <s v="Low"/>
    <s v="new"/>
  </r>
  <r>
    <n v="24"/>
    <x v="1"/>
    <s v="Non-Travel"/>
    <n v="830"/>
    <x v="0"/>
    <n v="13"/>
    <n v="2"/>
    <s v="Life Sciences"/>
    <x v="0"/>
    <n v="1495"/>
    <n v="4"/>
    <s v="Female"/>
    <n v="78"/>
    <n v="3"/>
    <n v="1"/>
    <s v="Sales Representative"/>
    <n v="2"/>
    <s v="Married"/>
    <n v="2033"/>
    <n v="7103"/>
    <n v="1"/>
    <s v="Y"/>
    <x v="1"/>
    <n v="13"/>
    <n v="3"/>
    <n v="3"/>
    <n v="80"/>
    <n v="1"/>
    <n v="1"/>
    <n v="2"/>
    <n v="3"/>
    <n v="1"/>
    <n v="0"/>
    <n v="0"/>
    <n v="0"/>
    <s v="Low"/>
    <s v="Low"/>
    <s v="new"/>
  </r>
  <r>
    <n v="44"/>
    <x v="1"/>
    <s v="Travel_Frequently"/>
    <n v="1193"/>
    <x v="1"/>
    <n v="2"/>
    <n v="1"/>
    <s v="Medical"/>
    <x v="0"/>
    <n v="1496"/>
    <n v="2"/>
    <s v="Male"/>
    <n v="86"/>
    <n v="3"/>
    <n v="3"/>
    <s v="Manufacturing Director"/>
    <n v="3"/>
    <s v="Single"/>
    <n v="10209"/>
    <n v="19719"/>
    <n v="5"/>
    <s v="Y"/>
    <x v="0"/>
    <n v="18"/>
    <n v="3"/>
    <n v="2"/>
    <n v="80"/>
    <n v="0"/>
    <n v="16"/>
    <n v="2"/>
    <n v="2"/>
    <n v="2"/>
    <n v="2"/>
    <n v="2"/>
    <n v="2"/>
    <s v="High"/>
    <s v="High"/>
    <s v="new"/>
  </r>
  <r>
    <n v="29"/>
    <x v="1"/>
    <s v="Travel_Rarely"/>
    <n v="1246"/>
    <x v="0"/>
    <n v="19"/>
    <n v="3"/>
    <s v="Life Sciences"/>
    <x v="0"/>
    <n v="1497"/>
    <n v="3"/>
    <s v="Male"/>
    <n v="77"/>
    <n v="2"/>
    <n v="2"/>
    <s v="Sales Executive"/>
    <n v="3"/>
    <s v="Divorced"/>
    <n v="8620"/>
    <n v="23757"/>
    <n v="1"/>
    <s v="Y"/>
    <x v="1"/>
    <n v="14"/>
    <n v="3"/>
    <n v="3"/>
    <n v="80"/>
    <n v="2"/>
    <n v="10"/>
    <n v="3"/>
    <n v="3"/>
    <n v="10"/>
    <n v="7"/>
    <n v="0"/>
    <n v="4"/>
    <s v="High"/>
    <s v="High"/>
    <s v="High"/>
  </r>
  <r>
    <n v="30"/>
    <x v="1"/>
    <s v="Travel_Rarely"/>
    <n v="330"/>
    <x v="2"/>
    <n v="1"/>
    <n v="3"/>
    <s v="Life Sciences"/>
    <x v="0"/>
    <n v="1499"/>
    <n v="3"/>
    <s v="Male"/>
    <n v="46"/>
    <n v="3"/>
    <n v="1"/>
    <s v="Human Resources"/>
    <n v="3"/>
    <s v="Divorced"/>
    <n v="2064"/>
    <n v="15428"/>
    <n v="0"/>
    <s v="Y"/>
    <x v="1"/>
    <n v="21"/>
    <n v="4"/>
    <n v="1"/>
    <n v="80"/>
    <n v="1"/>
    <n v="6"/>
    <n v="3"/>
    <n v="4"/>
    <n v="5"/>
    <n v="3"/>
    <n v="1"/>
    <n v="3"/>
    <s v="Low"/>
    <s v="Low"/>
    <s v="Experienced"/>
  </r>
  <r>
    <n v="55"/>
    <x v="1"/>
    <s v="Travel_Rarely"/>
    <n v="1229"/>
    <x v="1"/>
    <n v="4"/>
    <n v="4"/>
    <s v="Life Sciences"/>
    <x v="0"/>
    <n v="1501"/>
    <n v="4"/>
    <s v="Male"/>
    <n v="30"/>
    <n v="3"/>
    <n v="2"/>
    <s v="Healthcare Representative"/>
    <n v="3"/>
    <s v="Married"/>
    <n v="4035"/>
    <n v="16143"/>
    <n v="0"/>
    <s v="Y"/>
    <x v="0"/>
    <n v="16"/>
    <n v="3"/>
    <n v="2"/>
    <n v="80"/>
    <n v="0"/>
    <n v="4"/>
    <n v="2"/>
    <n v="3"/>
    <n v="3"/>
    <n v="2"/>
    <n v="1"/>
    <n v="2"/>
    <s v="Low"/>
    <s v="Medium"/>
    <s v="Experienced"/>
  </r>
  <r>
    <n v="33"/>
    <x v="1"/>
    <s v="Travel_Rarely"/>
    <n v="1099"/>
    <x v="1"/>
    <n v="4"/>
    <n v="4"/>
    <s v="Medical"/>
    <x v="0"/>
    <n v="1502"/>
    <n v="1"/>
    <s v="Female"/>
    <n v="82"/>
    <n v="2"/>
    <n v="1"/>
    <s v="Laboratory Technician"/>
    <n v="2"/>
    <s v="Married"/>
    <n v="3838"/>
    <n v="8192"/>
    <n v="8"/>
    <s v="Y"/>
    <x v="1"/>
    <n v="11"/>
    <n v="3"/>
    <n v="4"/>
    <n v="80"/>
    <n v="0"/>
    <n v="8"/>
    <n v="5"/>
    <n v="3"/>
    <n v="5"/>
    <n v="4"/>
    <n v="0"/>
    <n v="2"/>
    <s v="Low"/>
    <s v="Low"/>
    <s v="Experienced"/>
  </r>
  <r>
    <n v="47"/>
    <x v="1"/>
    <s v="Travel_Rarely"/>
    <n v="571"/>
    <x v="0"/>
    <n v="14"/>
    <n v="3"/>
    <s v="Medical"/>
    <x v="0"/>
    <n v="1503"/>
    <n v="3"/>
    <s v="Female"/>
    <n v="78"/>
    <n v="3"/>
    <n v="2"/>
    <s v="Sales Executive"/>
    <n v="3"/>
    <s v="Married"/>
    <n v="4591"/>
    <n v="24200"/>
    <n v="3"/>
    <s v="Y"/>
    <x v="0"/>
    <n v="17"/>
    <n v="3"/>
    <n v="3"/>
    <n v="80"/>
    <n v="1"/>
    <n v="11"/>
    <n v="4"/>
    <n v="2"/>
    <n v="5"/>
    <n v="4"/>
    <n v="1"/>
    <n v="2"/>
    <s v="Low"/>
    <s v="Medium"/>
    <s v="Experienced"/>
  </r>
  <r>
    <n v="28"/>
    <x v="0"/>
    <s v="Travel_Frequently"/>
    <n v="289"/>
    <x v="1"/>
    <n v="2"/>
    <n v="2"/>
    <s v="Medical"/>
    <x v="0"/>
    <n v="1504"/>
    <n v="3"/>
    <s v="Male"/>
    <n v="38"/>
    <n v="2"/>
    <n v="1"/>
    <s v="Laboratory Technician"/>
    <n v="1"/>
    <s v="Single"/>
    <n v="2561"/>
    <n v="5355"/>
    <n v="7"/>
    <s v="Y"/>
    <x v="1"/>
    <n v="11"/>
    <n v="3"/>
    <n v="3"/>
    <n v="80"/>
    <n v="0"/>
    <n v="8"/>
    <n v="2"/>
    <n v="2"/>
    <n v="0"/>
    <n v="0"/>
    <n v="0"/>
    <n v="0"/>
    <s v="Low"/>
    <s v="Low"/>
    <s v="new"/>
  </r>
  <r>
    <n v="28"/>
    <x v="1"/>
    <s v="Travel_Rarely"/>
    <n v="1423"/>
    <x v="1"/>
    <n v="1"/>
    <n v="3"/>
    <s v="Life Sciences"/>
    <x v="0"/>
    <n v="1506"/>
    <n v="1"/>
    <s v="Male"/>
    <n v="72"/>
    <n v="2"/>
    <n v="1"/>
    <s v="Research Scientist"/>
    <n v="3"/>
    <s v="Divorced"/>
    <n v="1563"/>
    <n v="12530"/>
    <n v="1"/>
    <s v="Y"/>
    <x v="1"/>
    <n v="14"/>
    <n v="3"/>
    <n v="4"/>
    <n v="80"/>
    <n v="1"/>
    <n v="1"/>
    <n v="2"/>
    <n v="1"/>
    <n v="1"/>
    <n v="0"/>
    <n v="0"/>
    <n v="0"/>
    <s v="Low"/>
    <s v="Low"/>
    <s v="new"/>
  </r>
  <r>
    <n v="28"/>
    <x v="1"/>
    <s v="Travel_Frequently"/>
    <n v="467"/>
    <x v="0"/>
    <n v="7"/>
    <n v="3"/>
    <s v="Life Sciences"/>
    <x v="0"/>
    <n v="1507"/>
    <n v="3"/>
    <s v="Male"/>
    <n v="55"/>
    <n v="3"/>
    <n v="2"/>
    <s v="Sales Executive"/>
    <n v="1"/>
    <s v="Single"/>
    <n v="4898"/>
    <n v="11827"/>
    <n v="0"/>
    <s v="Y"/>
    <x v="1"/>
    <n v="14"/>
    <n v="3"/>
    <n v="4"/>
    <n v="80"/>
    <n v="0"/>
    <n v="5"/>
    <n v="5"/>
    <n v="3"/>
    <n v="4"/>
    <n v="2"/>
    <n v="1"/>
    <n v="3"/>
    <s v="Low"/>
    <s v="Medium"/>
    <s v="Experienced"/>
  </r>
  <r>
    <n v="49"/>
    <x v="1"/>
    <s v="Travel_Rarely"/>
    <n v="271"/>
    <x v="1"/>
    <n v="3"/>
    <n v="2"/>
    <s v="Medical"/>
    <x v="0"/>
    <n v="1509"/>
    <n v="3"/>
    <s v="Female"/>
    <n v="43"/>
    <n v="2"/>
    <n v="2"/>
    <s v="Laboratory Technician"/>
    <n v="1"/>
    <s v="Married"/>
    <n v="4789"/>
    <n v="23070"/>
    <n v="4"/>
    <s v="Y"/>
    <x v="1"/>
    <n v="25"/>
    <n v="4"/>
    <n v="1"/>
    <n v="80"/>
    <n v="1"/>
    <n v="10"/>
    <n v="3"/>
    <n v="3"/>
    <n v="3"/>
    <n v="2"/>
    <n v="1"/>
    <n v="2"/>
    <s v="Low"/>
    <s v="Medium"/>
    <s v="Experienced"/>
  </r>
  <r>
    <n v="29"/>
    <x v="1"/>
    <s v="Travel_Frequently"/>
    <n v="410"/>
    <x v="1"/>
    <n v="2"/>
    <n v="1"/>
    <s v="Life Sciences"/>
    <x v="0"/>
    <n v="1513"/>
    <n v="4"/>
    <s v="Female"/>
    <n v="97"/>
    <n v="3"/>
    <n v="1"/>
    <s v="Laboratory Technician"/>
    <n v="2"/>
    <s v="Married"/>
    <n v="3180"/>
    <n v="4668"/>
    <n v="0"/>
    <s v="Y"/>
    <x v="1"/>
    <n v="13"/>
    <n v="3"/>
    <n v="3"/>
    <n v="80"/>
    <n v="3"/>
    <n v="4"/>
    <n v="3"/>
    <n v="3"/>
    <n v="3"/>
    <n v="2"/>
    <n v="0"/>
    <n v="2"/>
    <s v="Low"/>
    <s v="Low"/>
    <s v="Experienced"/>
  </r>
  <r>
    <n v="28"/>
    <x v="1"/>
    <s v="Travel_Rarely"/>
    <n v="1083"/>
    <x v="1"/>
    <n v="29"/>
    <n v="1"/>
    <s v="Life Sciences"/>
    <x v="0"/>
    <n v="1514"/>
    <n v="3"/>
    <s v="Male"/>
    <n v="96"/>
    <n v="1"/>
    <n v="2"/>
    <s v="Manufacturing Director"/>
    <n v="2"/>
    <s v="Married"/>
    <n v="6549"/>
    <n v="3173"/>
    <n v="1"/>
    <s v="Y"/>
    <x v="1"/>
    <n v="14"/>
    <n v="3"/>
    <n v="2"/>
    <n v="80"/>
    <n v="2"/>
    <n v="8"/>
    <n v="2"/>
    <n v="2"/>
    <n v="8"/>
    <n v="6"/>
    <n v="1"/>
    <n v="7"/>
    <s v="High"/>
    <s v="Medium"/>
    <s v="High"/>
  </r>
  <r>
    <n v="33"/>
    <x v="1"/>
    <s v="Travel_Rarely"/>
    <n v="516"/>
    <x v="1"/>
    <n v="8"/>
    <n v="5"/>
    <s v="Life Sciences"/>
    <x v="0"/>
    <n v="1515"/>
    <n v="4"/>
    <s v="Male"/>
    <n v="69"/>
    <n v="3"/>
    <n v="2"/>
    <s v="Healthcare Representative"/>
    <n v="3"/>
    <s v="Single"/>
    <n v="6388"/>
    <n v="22049"/>
    <n v="2"/>
    <s v="Y"/>
    <x v="0"/>
    <n v="17"/>
    <n v="3"/>
    <n v="1"/>
    <n v="80"/>
    <n v="0"/>
    <n v="14"/>
    <n v="6"/>
    <n v="3"/>
    <n v="0"/>
    <n v="0"/>
    <n v="0"/>
    <n v="0"/>
    <s v="Low"/>
    <s v="Medium"/>
    <s v="new"/>
  </r>
  <r>
    <n v="32"/>
    <x v="1"/>
    <s v="Travel_Rarely"/>
    <n v="495"/>
    <x v="1"/>
    <n v="10"/>
    <n v="3"/>
    <s v="Medical"/>
    <x v="0"/>
    <n v="1516"/>
    <n v="3"/>
    <s v="Male"/>
    <n v="64"/>
    <n v="3"/>
    <n v="3"/>
    <s v="Manager"/>
    <n v="4"/>
    <s v="Single"/>
    <n v="11244"/>
    <n v="21072"/>
    <n v="2"/>
    <s v="Y"/>
    <x v="1"/>
    <n v="25"/>
    <n v="4"/>
    <n v="2"/>
    <n v="80"/>
    <n v="0"/>
    <n v="10"/>
    <n v="5"/>
    <n v="4"/>
    <n v="5"/>
    <n v="2"/>
    <n v="0"/>
    <n v="0"/>
    <s v="High"/>
    <s v="High"/>
    <s v="Experienced"/>
  </r>
  <r>
    <n v="54"/>
    <x v="1"/>
    <s v="Travel_Frequently"/>
    <n v="1050"/>
    <x v="1"/>
    <n v="11"/>
    <n v="4"/>
    <s v="Medical"/>
    <x v="0"/>
    <n v="1520"/>
    <n v="2"/>
    <s v="Female"/>
    <n v="87"/>
    <n v="3"/>
    <n v="4"/>
    <s v="Manager"/>
    <n v="4"/>
    <s v="Divorced"/>
    <n v="16032"/>
    <n v="24456"/>
    <n v="3"/>
    <s v="Y"/>
    <x v="1"/>
    <n v="20"/>
    <n v="4"/>
    <n v="1"/>
    <n v="80"/>
    <n v="1"/>
    <n v="26"/>
    <n v="2"/>
    <n v="3"/>
    <n v="14"/>
    <n v="9"/>
    <n v="1"/>
    <n v="12"/>
    <s v="High"/>
    <s v="High"/>
    <s v="High"/>
  </r>
  <r>
    <n v="29"/>
    <x v="0"/>
    <s v="Travel_Rarely"/>
    <n v="224"/>
    <x v="1"/>
    <n v="1"/>
    <n v="4"/>
    <s v="Technical Degree"/>
    <x v="0"/>
    <n v="1522"/>
    <n v="1"/>
    <s v="Male"/>
    <n v="100"/>
    <n v="2"/>
    <n v="1"/>
    <s v="Research Scientist"/>
    <n v="1"/>
    <s v="Single"/>
    <n v="2362"/>
    <n v="7568"/>
    <n v="6"/>
    <s v="Y"/>
    <x v="1"/>
    <n v="13"/>
    <n v="3"/>
    <n v="3"/>
    <n v="80"/>
    <n v="0"/>
    <n v="11"/>
    <n v="2"/>
    <n v="1"/>
    <n v="9"/>
    <n v="7"/>
    <n v="0"/>
    <n v="7"/>
    <s v="Low"/>
    <s v="Low"/>
    <s v="High"/>
  </r>
  <r>
    <n v="44"/>
    <x v="1"/>
    <s v="Travel_Rarely"/>
    <n v="136"/>
    <x v="1"/>
    <n v="28"/>
    <n v="3"/>
    <s v="Life Sciences"/>
    <x v="0"/>
    <n v="1523"/>
    <n v="4"/>
    <s v="Male"/>
    <n v="32"/>
    <n v="3"/>
    <n v="4"/>
    <s v="Research Director"/>
    <n v="1"/>
    <s v="Married"/>
    <n v="16328"/>
    <n v="22074"/>
    <n v="3"/>
    <s v="Y"/>
    <x v="1"/>
    <n v="13"/>
    <n v="3"/>
    <n v="3"/>
    <n v="80"/>
    <n v="1"/>
    <n v="24"/>
    <n v="1"/>
    <n v="4"/>
    <n v="20"/>
    <n v="6"/>
    <n v="14"/>
    <n v="17"/>
    <s v="High"/>
    <s v="High"/>
    <s v="High"/>
  </r>
  <r>
    <n v="39"/>
    <x v="1"/>
    <s v="Travel_Rarely"/>
    <n v="1089"/>
    <x v="1"/>
    <n v="6"/>
    <n v="3"/>
    <s v="Life Sciences"/>
    <x v="0"/>
    <n v="1525"/>
    <n v="2"/>
    <s v="Female"/>
    <n v="32"/>
    <n v="3"/>
    <n v="3"/>
    <s v="Manufacturing Director"/>
    <n v="2"/>
    <s v="Single"/>
    <n v="8376"/>
    <n v="9150"/>
    <n v="4"/>
    <s v="Y"/>
    <x v="1"/>
    <n v="18"/>
    <n v="3"/>
    <n v="4"/>
    <n v="80"/>
    <n v="0"/>
    <n v="9"/>
    <n v="3"/>
    <n v="3"/>
    <n v="2"/>
    <n v="0"/>
    <n v="2"/>
    <n v="2"/>
    <s v="High"/>
    <s v="High"/>
    <s v="new"/>
  </r>
  <r>
    <n v="46"/>
    <x v="1"/>
    <s v="Travel_Rarely"/>
    <n v="228"/>
    <x v="0"/>
    <n v="3"/>
    <n v="3"/>
    <s v="Life Sciences"/>
    <x v="0"/>
    <n v="1527"/>
    <n v="3"/>
    <s v="Female"/>
    <n v="51"/>
    <n v="3"/>
    <n v="4"/>
    <s v="Manager"/>
    <n v="2"/>
    <s v="Married"/>
    <n v="16606"/>
    <n v="11380"/>
    <n v="8"/>
    <s v="Y"/>
    <x v="1"/>
    <n v="12"/>
    <n v="3"/>
    <n v="4"/>
    <n v="80"/>
    <n v="1"/>
    <n v="23"/>
    <n v="2"/>
    <n v="4"/>
    <n v="13"/>
    <n v="12"/>
    <n v="5"/>
    <n v="1"/>
    <s v="High"/>
    <s v="High"/>
    <s v="High"/>
  </r>
  <r>
    <n v="35"/>
    <x v="1"/>
    <s v="Travel_Rarely"/>
    <n v="1029"/>
    <x v="1"/>
    <n v="16"/>
    <n v="3"/>
    <s v="Life Sciences"/>
    <x v="0"/>
    <n v="1529"/>
    <n v="4"/>
    <s v="Female"/>
    <n v="91"/>
    <n v="2"/>
    <n v="3"/>
    <s v="Healthcare Representative"/>
    <n v="2"/>
    <s v="Single"/>
    <n v="8606"/>
    <n v="21195"/>
    <n v="1"/>
    <s v="Y"/>
    <x v="1"/>
    <n v="19"/>
    <n v="3"/>
    <n v="4"/>
    <n v="80"/>
    <n v="0"/>
    <n v="11"/>
    <n v="3"/>
    <n v="1"/>
    <n v="11"/>
    <n v="8"/>
    <n v="3"/>
    <n v="3"/>
    <s v="High"/>
    <s v="High"/>
    <s v="High"/>
  </r>
  <r>
    <n v="23"/>
    <x v="1"/>
    <s v="Travel_Rarely"/>
    <n v="507"/>
    <x v="1"/>
    <n v="20"/>
    <n v="1"/>
    <s v="Life Sciences"/>
    <x v="0"/>
    <n v="1533"/>
    <n v="1"/>
    <s v="Male"/>
    <n v="97"/>
    <n v="3"/>
    <n v="2"/>
    <s v="Laboratory Technician"/>
    <n v="3"/>
    <s v="Single"/>
    <n v="2272"/>
    <n v="24812"/>
    <n v="0"/>
    <s v="Y"/>
    <x v="1"/>
    <n v="14"/>
    <n v="3"/>
    <n v="2"/>
    <n v="80"/>
    <n v="0"/>
    <n v="5"/>
    <n v="2"/>
    <n v="3"/>
    <n v="4"/>
    <n v="3"/>
    <n v="1"/>
    <n v="2"/>
    <s v="Low"/>
    <s v="Low"/>
    <s v="Experienced"/>
  </r>
  <r>
    <n v="40"/>
    <x v="0"/>
    <s v="Travel_Rarely"/>
    <n v="676"/>
    <x v="1"/>
    <n v="9"/>
    <n v="4"/>
    <s v="Life Sciences"/>
    <x v="0"/>
    <n v="1534"/>
    <n v="4"/>
    <s v="Male"/>
    <n v="86"/>
    <n v="3"/>
    <n v="1"/>
    <s v="Laboratory Technician"/>
    <n v="1"/>
    <s v="Single"/>
    <n v="2018"/>
    <n v="21831"/>
    <n v="3"/>
    <s v="Y"/>
    <x v="1"/>
    <n v="14"/>
    <n v="3"/>
    <n v="2"/>
    <n v="80"/>
    <n v="0"/>
    <n v="15"/>
    <n v="3"/>
    <n v="1"/>
    <n v="5"/>
    <n v="4"/>
    <n v="1"/>
    <n v="0"/>
    <s v="Low"/>
    <s v="Low"/>
    <s v="Experienced"/>
  </r>
  <r>
    <n v="34"/>
    <x v="1"/>
    <s v="Travel_Rarely"/>
    <n v="971"/>
    <x v="0"/>
    <n v="1"/>
    <n v="3"/>
    <s v="Technical Degree"/>
    <x v="0"/>
    <n v="1535"/>
    <n v="4"/>
    <s v="Male"/>
    <n v="64"/>
    <n v="2"/>
    <n v="3"/>
    <s v="Sales Executive"/>
    <n v="3"/>
    <s v="Married"/>
    <n v="7083"/>
    <n v="12288"/>
    <n v="1"/>
    <s v="Y"/>
    <x v="0"/>
    <n v="14"/>
    <n v="3"/>
    <n v="4"/>
    <n v="80"/>
    <n v="0"/>
    <n v="10"/>
    <n v="3"/>
    <n v="3"/>
    <n v="10"/>
    <n v="9"/>
    <n v="8"/>
    <n v="6"/>
    <s v="High"/>
    <s v="Medium"/>
    <s v="High"/>
  </r>
  <r>
    <n v="31"/>
    <x v="0"/>
    <s v="Travel_Frequently"/>
    <n v="561"/>
    <x v="1"/>
    <n v="3"/>
    <n v="3"/>
    <s v="Life Sciences"/>
    <x v="0"/>
    <n v="1537"/>
    <n v="4"/>
    <s v="Female"/>
    <n v="33"/>
    <n v="3"/>
    <n v="1"/>
    <s v="Research Scientist"/>
    <n v="3"/>
    <s v="Single"/>
    <n v="4084"/>
    <n v="4156"/>
    <n v="1"/>
    <s v="Y"/>
    <x v="1"/>
    <n v="12"/>
    <n v="3"/>
    <n v="1"/>
    <n v="80"/>
    <n v="0"/>
    <n v="7"/>
    <n v="2"/>
    <n v="1"/>
    <n v="7"/>
    <n v="2"/>
    <n v="7"/>
    <n v="7"/>
    <s v="Low"/>
    <s v="Medium"/>
    <s v="Experienced"/>
  </r>
  <r>
    <n v="50"/>
    <x v="1"/>
    <s v="Travel_Frequently"/>
    <n v="333"/>
    <x v="1"/>
    <n v="22"/>
    <n v="5"/>
    <s v="Medical"/>
    <x v="0"/>
    <n v="1539"/>
    <n v="3"/>
    <s v="Male"/>
    <n v="88"/>
    <n v="1"/>
    <n v="4"/>
    <s v="Research Director"/>
    <n v="4"/>
    <s v="Single"/>
    <n v="14411"/>
    <n v="24450"/>
    <n v="1"/>
    <s v="Y"/>
    <x v="0"/>
    <n v="13"/>
    <n v="3"/>
    <n v="4"/>
    <n v="80"/>
    <n v="0"/>
    <n v="32"/>
    <n v="2"/>
    <n v="3"/>
    <n v="32"/>
    <n v="6"/>
    <n v="13"/>
    <n v="9"/>
    <s v="High"/>
    <s v="High"/>
    <s v="High"/>
  </r>
  <r>
    <n v="34"/>
    <x v="1"/>
    <s v="Travel_Rarely"/>
    <n v="1440"/>
    <x v="0"/>
    <n v="7"/>
    <n v="2"/>
    <s v="Technical Degree"/>
    <x v="0"/>
    <n v="1541"/>
    <n v="2"/>
    <s v="Male"/>
    <n v="55"/>
    <n v="3"/>
    <n v="1"/>
    <s v="Sales Representative"/>
    <n v="3"/>
    <s v="Married"/>
    <n v="2308"/>
    <n v="4944"/>
    <n v="0"/>
    <s v="Y"/>
    <x v="0"/>
    <n v="25"/>
    <n v="4"/>
    <n v="2"/>
    <n v="80"/>
    <n v="1"/>
    <n v="12"/>
    <n v="4"/>
    <n v="3"/>
    <n v="11"/>
    <n v="10"/>
    <n v="5"/>
    <n v="7"/>
    <s v="Low"/>
    <s v="Low"/>
    <s v="High"/>
  </r>
  <r>
    <n v="42"/>
    <x v="1"/>
    <s v="Travel_Rarely"/>
    <n v="1210"/>
    <x v="1"/>
    <n v="2"/>
    <n v="3"/>
    <s v="Medical"/>
    <x v="0"/>
    <n v="1542"/>
    <n v="3"/>
    <s v="Male"/>
    <n v="68"/>
    <n v="2"/>
    <n v="1"/>
    <s v="Laboratory Technician"/>
    <n v="2"/>
    <s v="Married"/>
    <n v="4841"/>
    <n v="24052"/>
    <n v="4"/>
    <s v="Y"/>
    <x v="1"/>
    <n v="14"/>
    <n v="3"/>
    <n v="2"/>
    <n v="80"/>
    <n v="1"/>
    <n v="4"/>
    <n v="3"/>
    <n v="3"/>
    <n v="1"/>
    <n v="0"/>
    <n v="0"/>
    <n v="0"/>
    <s v="Low"/>
    <s v="Medium"/>
    <s v="new"/>
  </r>
  <r>
    <n v="37"/>
    <x v="1"/>
    <s v="Travel_Rarely"/>
    <n v="674"/>
    <x v="1"/>
    <n v="13"/>
    <n v="3"/>
    <s v="Medical"/>
    <x v="0"/>
    <n v="1543"/>
    <n v="1"/>
    <s v="Male"/>
    <n v="47"/>
    <n v="3"/>
    <n v="2"/>
    <s v="Research Scientist"/>
    <n v="4"/>
    <s v="Married"/>
    <n v="4285"/>
    <n v="3031"/>
    <n v="1"/>
    <s v="Y"/>
    <x v="1"/>
    <n v="17"/>
    <n v="3"/>
    <n v="1"/>
    <n v="80"/>
    <n v="0"/>
    <n v="10"/>
    <n v="2"/>
    <n v="3"/>
    <n v="10"/>
    <n v="8"/>
    <n v="3"/>
    <n v="7"/>
    <s v="Low"/>
    <s v="Medium"/>
    <s v="High"/>
  </r>
  <r>
    <n v="29"/>
    <x v="1"/>
    <s v="Travel_Rarely"/>
    <n v="441"/>
    <x v="1"/>
    <n v="8"/>
    <n v="1"/>
    <s v="Other"/>
    <x v="0"/>
    <n v="1544"/>
    <n v="3"/>
    <s v="Female"/>
    <n v="39"/>
    <n v="1"/>
    <n v="2"/>
    <s v="Healthcare Representative"/>
    <n v="1"/>
    <s v="Married"/>
    <n v="9715"/>
    <n v="7288"/>
    <n v="3"/>
    <s v="Y"/>
    <x v="1"/>
    <n v="13"/>
    <n v="3"/>
    <n v="3"/>
    <n v="80"/>
    <n v="1"/>
    <n v="9"/>
    <n v="3"/>
    <n v="3"/>
    <n v="7"/>
    <n v="7"/>
    <n v="0"/>
    <n v="7"/>
    <s v="High"/>
    <s v="High"/>
    <s v="Experienced"/>
  </r>
  <r>
    <n v="33"/>
    <x v="1"/>
    <s v="Travel_Rarely"/>
    <n v="575"/>
    <x v="1"/>
    <n v="25"/>
    <n v="3"/>
    <s v="Life Sciences"/>
    <x v="0"/>
    <n v="1545"/>
    <n v="4"/>
    <s v="Male"/>
    <n v="44"/>
    <n v="2"/>
    <n v="2"/>
    <s v="Manufacturing Director"/>
    <n v="2"/>
    <s v="Single"/>
    <n v="4320"/>
    <n v="24152"/>
    <n v="1"/>
    <s v="Y"/>
    <x v="1"/>
    <n v="13"/>
    <n v="3"/>
    <n v="4"/>
    <n v="80"/>
    <n v="0"/>
    <n v="5"/>
    <n v="2"/>
    <n v="3"/>
    <n v="5"/>
    <n v="3"/>
    <n v="0"/>
    <n v="2"/>
    <s v="Low"/>
    <s v="Medium"/>
    <s v="Experienced"/>
  </r>
  <r>
    <n v="45"/>
    <x v="1"/>
    <s v="Travel_Rarely"/>
    <n v="950"/>
    <x v="1"/>
    <n v="28"/>
    <n v="3"/>
    <s v="Technical Degree"/>
    <x v="0"/>
    <n v="1546"/>
    <n v="4"/>
    <s v="Male"/>
    <n v="97"/>
    <n v="3"/>
    <n v="1"/>
    <s v="Research Scientist"/>
    <n v="4"/>
    <s v="Married"/>
    <n v="2132"/>
    <n v="4585"/>
    <n v="4"/>
    <s v="Y"/>
    <x v="1"/>
    <n v="20"/>
    <n v="4"/>
    <n v="4"/>
    <n v="80"/>
    <n v="1"/>
    <n v="8"/>
    <n v="3"/>
    <n v="3"/>
    <n v="5"/>
    <n v="4"/>
    <n v="0"/>
    <n v="3"/>
    <s v="Low"/>
    <s v="Low"/>
    <s v="Experienced"/>
  </r>
  <r>
    <n v="42"/>
    <x v="1"/>
    <s v="Travel_Frequently"/>
    <n v="288"/>
    <x v="1"/>
    <n v="2"/>
    <n v="3"/>
    <s v="Life Sciences"/>
    <x v="0"/>
    <n v="1547"/>
    <n v="4"/>
    <s v="Male"/>
    <n v="40"/>
    <n v="3"/>
    <n v="3"/>
    <s v="Healthcare Representative"/>
    <n v="4"/>
    <s v="Married"/>
    <n v="10124"/>
    <n v="18611"/>
    <n v="2"/>
    <s v="Y"/>
    <x v="0"/>
    <n v="14"/>
    <n v="3"/>
    <n v="3"/>
    <n v="80"/>
    <n v="1"/>
    <n v="24"/>
    <n v="3"/>
    <n v="1"/>
    <n v="20"/>
    <n v="8"/>
    <n v="13"/>
    <n v="9"/>
    <s v="High"/>
    <s v="High"/>
    <s v="High"/>
  </r>
  <r>
    <n v="40"/>
    <x v="1"/>
    <s v="Travel_Rarely"/>
    <n v="1342"/>
    <x v="0"/>
    <n v="9"/>
    <n v="2"/>
    <s v="Medical"/>
    <x v="0"/>
    <n v="1548"/>
    <n v="1"/>
    <s v="Male"/>
    <n v="47"/>
    <n v="3"/>
    <n v="2"/>
    <s v="Sales Executive"/>
    <n v="1"/>
    <s v="Married"/>
    <n v="5473"/>
    <n v="19345"/>
    <n v="0"/>
    <s v="Y"/>
    <x v="1"/>
    <n v="12"/>
    <n v="3"/>
    <n v="4"/>
    <n v="80"/>
    <n v="0"/>
    <n v="9"/>
    <n v="5"/>
    <n v="4"/>
    <n v="8"/>
    <n v="4"/>
    <n v="7"/>
    <n v="1"/>
    <s v="Low"/>
    <s v="Medium"/>
    <s v="High"/>
  </r>
  <r>
    <n v="33"/>
    <x v="1"/>
    <s v="Travel_Rarely"/>
    <n v="589"/>
    <x v="1"/>
    <n v="28"/>
    <n v="4"/>
    <s v="Life Sciences"/>
    <x v="0"/>
    <n v="1549"/>
    <n v="2"/>
    <s v="Male"/>
    <n v="79"/>
    <n v="3"/>
    <n v="2"/>
    <s v="Laboratory Technician"/>
    <n v="3"/>
    <s v="Married"/>
    <n v="5207"/>
    <n v="22949"/>
    <n v="1"/>
    <s v="Y"/>
    <x v="0"/>
    <n v="12"/>
    <n v="3"/>
    <n v="2"/>
    <n v="80"/>
    <n v="1"/>
    <n v="15"/>
    <n v="3"/>
    <n v="3"/>
    <n v="15"/>
    <n v="14"/>
    <n v="5"/>
    <n v="7"/>
    <s v="Low"/>
    <s v="Medium"/>
    <s v="High"/>
  </r>
  <r>
    <n v="40"/>
    <x v="1"/>
    <s v="Travel_Rarely"/>
    <n v="898"/>
    <x v="2"/>
    <n v="6"/>
    <n v="2"/>
    <s v="Medical"/>
    <x v="0"/>
    <n v="1550"/>
    <n v="3"/>
    <s v="Male"/>
    <n v="38"/>
    <n v="3"/>
    <n v="4"/>
    <s v="Manager"/>
    <n v="4"/>
    <s v="Single"/>
    <n v="16437"/>
    <n v="17381"/>
    <n v="1"/>
    <s v="Y"/>
    <x v="0"/>
    <n v="21"/>
    <n v="4"/>
    <n v="4"/>
    <n v="80"/>
    <n v="0"/>
    <n v="21"/>
    <n v="2"/>
    <n v="3"/>
    <n v="21"/>
    <n v="7"/>
    <n v="7"/>
    <n v="7"/>
    <s v="High"/>
    <s v="High"/>
    <s v="High"/>
  </r>
  <r>
    <n v="24"/>
    <x v="1"/>
    <s v="Travel_Rarely"/>
    <n v="350"/>
    <x v="1"/>
    <n v="21"/>
    <n v="2"/>
    <s v="Technical Degree"/>
    <x v="0"/>
    <n v="1551"/>
    <n v="3"/>
    <s v="Male"/>
    <n v="57"/>
    <n v="2"/>
    <n v="1"/>
    <s v="Laboratory Technician"/>
    <n v="1"/>
    <s v="Divorced"/>
    <n v="2296"/>
    <n v="10036"/>
    <n v="0"/>
    <s v="Y"/>
    <x v="1"/>
    <n v="14"/>
    <n v="3"/>
    <n v="2"/>
    <n v="80"/>
    <n v="3"/>
    <n v="2"/>
    <n v="3"/>
    <n v="3"/>
    <n v="1"/>
    <n v="1"/>
    <n v="0"/>
    <n v="0"/>
    <s v="Low"/>
    <s v="Low"/>
    <s v="new"/>
  </r>
  <r>
    <n v="40"/>
    <x v="1"/>
    <s v="Non-Travel"/>
    <n v="1142"/>
    <x v="1"/>
    <n v="8"/>
    <n v="2"/>
    <s v="Life Sciences"/>
    <x v="0"/>
    <n v="1552"/>
    <n v="4"/>
    <s v="Male"/>
    <n v="72"/>
    <n v="3"/>
    <n v="2"/>
    <s v="Healthcare Representative"/>
    <n v="4"/>
    <s v="Divorced"/>
    <n v="4069"/>
    <n v="8841"/>
    <n v="3"/>
    <s v="Y"/>
    <x v="0"/>
    <n v="18"/>
    <n v="3"/>
    <n v="3"/>
    <n v="80"/>
    <n v="0"/>
    <n v="8"/>
    <n v="2"/>
    <n v="3"/>
    <n v="2"/>
    <n v="2"/>
    <n v="2"/>
    <n v="2"/>
    <s v="Low"/>
    <s v="Medium"/>
    <s v="new"/>
  </r>
  <r>
    <n v="45"/>
    <x v="1"/>
    <s v="Travel_Rarely"/>
    <n v="538"/>
    <x v="1"/>
    <n v="1"/>
    <n v="4"/>
    <s v="Technical Degree"/>
    <x v="0"/>
    <n v="1553"/>
    <n v="1"/>
    <s v="Male"/>
    <n v="66"/>
    <n v="3"/>
    <n v="3"/>
    <s v="Healthcare Representative"/>
    <n v="2"/>
    <s v="Divorced"/>
    <n v="7441"/>
    <n v="20933"/>
    <n v="1"/>
    <s v="Y"/>
    <x v="1"/>
    <n v="12"/>
    <n v="3"/>
    <n v="1"/>
    <n v="80"/>
    <n v="3"/>
    <n v="10"/>
    <n v="4"/>
    <n v="3"/>
    <n v="10"/>
    <n v="8"/>
    <n v="7"/>
    <n v="7"/>
    <s v="High"/>
    <s v="Medium"/>
    <s v="High"/>
  </r>
  <r>
    <n v="35"/>
    <x v="1"/>
    <s v="Travel_Rarely"/>
    <n v="1402"/>
    <x v="0"/>
    <n v="28"/>
    <n v="4"/>
    <s v="Life Sciences"/>
    <x v="0"/>
    <n v="1554"/>
    <n v="2"/>
    <s v="Female"/>
    <n v="98"/>
    <n v="2"/>
    <n v="1"/>
    <s v="Sales Representative"/>
    <n v="3"/>
    <s v="Married"/>
    <n v="2430"/>
    <n v="26204"/>
    <n v="0"/>
    <s v="Y"/>
    <x v="1"/>
    <n v="23"/>
    <n v="4"/>
    <n v="1"/>
    <n v="80"/>
    <n v="2"/>
    <n v="6"/>
    <n v="5"/>
    <n v="3"/>
    <n v="5"/>
    <n v="3"/>
    <n v="4"/>
    <n v="2"/>
    <s v="Low"/>
    <s v="Low"/>
    <s v="Experienced"/>
  </r>
  <r>
    <n v="32"/>
    <x v="1"/>
    <s v="Travel_Rarely"/>
    <n v="824"/>
    <x v="1"/>
    <n v="5"/>
    <n v="2"/>
    <s v="Life Sciences"/>
    <x v="0"/>
    <n v="1555"/>
    <n v="4"/>
    <s v="Female"/>
    <n v="67"/>
    <n v="2"/>
    <n v="2"/>
    <s v="Research Scientist"/>
    <n v="2"/>
    <s v="Married"/>
    <n v="5878"/>
    <n v="15624"/>
    <n v="3"/>
    <s v="Y"/>
    <x v="1"/>
    <n v="12"/>
    <n v="3"/>
    <n v="1"/>
    <n v="80"/>
    <n v="1"/>
    <n v="12"/>
    <n v="2"/>
    <n v="3"/>
    <n v="7"/>
    <n v="1"/>
    <n v="2"/>
    <n v="5"/>
    <s v="Low"/>
    <s v="Medium"/>
    <s v="Experienced"/>
  </r>
  <r>
    <n v="36"/>
    <x v="1"/>
    <s v="Travel_Rarely"/>
    <n v="1157"/>
    <x v="0"/>
    <n v="2"/>
    <n v="4"/>
    <s v="Life Sciences"/>
    <x v="0"/>
    <n v="1556"/>
    <n v="3"/>
    <s v="Male"/>
    <n v="70"/>
    <n v="3"/>
    <n v="1"/>
    <s v="Sales Representative"/>
    <n v="4"/>
    <s v="Single"/>
    <n v="2644"/>
    <n v="17001"/>
    <n v="3"/>
    <s v="Y"/>
    <x v="0"/>
    <n v="21"/>
    <n v="4"/>
    <n v="4"/>
    <n v="80"/>
    <n v="0"/>
    <n v="7"/>
    <n v="3"/>
    <n v="2"/>
    <n v="3"/>
    <n v="2"/>
    <n v="1"/>
    <n v="2"/>
    <s v="Low"/>
    <s v="Low"/>
    <s v="Experienced"/>
  </r>
  <r>
    <n v="48"/>
    <x v="1"/>
    <s v="Travel_Rarely"/>
    <n v="492"/>
    <x v="0"/>
    <n v="16"/>
    <n v="4"/>
    <s v="Life Sciences"/>
    <x v="0"/>
    <n v="1557"/>
    <n v="3"/>
    <s v="Female"/>
    <n v="96"/>
    <n v="3"/>
    <n v="2"/>
    <s v="Sales Executive"/>
    <n v="3"/>
    <s v="Divorced"/>
    <n v="6439"/>
    <n v="13693"/>
    <n v="8"/>
    <s v="Y"/>
    <x v="1"/>
    <n v="14"/>
    <n v="3"/>
    <n v="3"/>
    <n v="80"/>
    <n v="1"/>
    <n v="18"/>
    <n v="2"/>
    <n v="3"/>
    <n v="8"/>
    <n v="7"/>
    <n v="7"/>
    <n v="7"/>
    <s v="Low"/>
    <s v="Medium"/>
    <s v="High"/>
  </r>
  <r>
    <n v="29"/>
    <x v="1"/>
    <s v="Travel_Rarely"/>
    <n v="598"/>
    <x v="1"/>
    <n v="9"/>
    <n v="3"/>
    <s v="Life Sciences"/>
    <x v="0"/>
    <n v="1558"/>
    <n v="3"/>
    <s v="Male"/>
    <n v="91"/>
    <n v="4"/>
    <n v="1"/>
    <s v="Research Scientist"/>
    <n v="3"/>
    <s v="Married"/>
    <n v="2451"/>
    <n v="22376"/>
    <n v="6"/>
    <s v="Y"/>
    <x v="1"/>
    <n v="18"/>
    <n v="3"/>
    <n v="1"/>
    <n v="80"/>
    <n v="2"/>
    <n v="5"/>
    <n v="2"/>
    <n v="2"/>
    <n v="1"/>
    <n v="0"/>
    <n v="0"/>
    <n v="0"/>
    <s v="Low"/>
    <s v="Low"/>
    <s v="new"/>
  </r>
  <r>
    <n v="33"/>
    <x v="1"/>
    <s v="Travel_Rarely"/>
    <n v="1242"/>
    <x v="0"/>
    <n v="8"/>
    <n v="4"/>
    <s v="Life Sciences"/>
    <x v="0"/>
    <n v="1560"/>
    <n v="1"/>
    <s v="Male"/>
    <n v="46"/>
    <n v="3"/>
    <n v="2"/>
    <s v="Sales Executive"/>
    <n v="1"/>
    <s v="Married"/>
    <n v="6392"/>
    <n v="10589"/>
    <n v="2"/>
    <s v="Y"/>
    <x v="1"/>
    <n v="13"/>
    <n v="3"/>
    <n v="4"/>
    <n v="80"/>
    <n v="1"/>
    <n v="8"/>
    <n v="6"/>
    <n v="1"/>
    <n v="2"/>
    <n v="2"/>
    <n v="2"/>
    <n v="2"/>
    <s v="Low"/>
    <s v="Medium"/>
    <s v="new"/>
  </r>
  <r>
    <n v="30"/>
    <x v="0"/>
    <s v="Travel_Rarely"/>
    <n v="740"/>
    <x v="0"/>
    <n v="1"/>
    <n v="3"/>
    <s v="Life Sciences"/>
    <x v="0"/>
    <n v="1562"/>
    <n v="2"/>
    <s v="Male"/>
    <n v="64"/>
    <n v="2"/>
    <n v="2"/>
    <s v="Sales Executive"/>
    <n v="1"/>
    <s v="Married"/>
    <n v="9714"/>
    <n v="5323"/>
    <n v="1"/>
    <s v="Y"/>
    <x v="1"/>
    <n v="11"/>
    <n v="3"/>
    <n v="4"/>
    <n v="80"/>
    <n v="1"/>
    <n v="10"/>
    <n v="4"/>
    <n v="3"/>
    <n v="10"/>
    <n v="8"/>
    <n v="6"/>
    <n v="7"/>
    <s v="High"/>
    <s v="High"/>
    <s v="High"/>
  </r>
  <r>
    <n v="38"/>
    <x v="1"/>
    <s v="Travel_Frequently"/>
    <n v="888"/>
    <x v="2"/>
    <n v="10"/>
    <n v="4"/>
    <s v="Human Resources"/>
    <x v="0"/>
    <n v="1563"/>
    <n v="3"/>
    <s v="Male"/>
    <n v="71"/>
    <n v="3"/>
    <n v="2"/>
    <s v="Human Resources"/>
    <n v="3"/>
    <s v="Married"/>
    <n v="6077"/>
    <n v="14814"/>
    <n v="3"/>
    <s v="Y"/>
    <x v="1"/>
    <n v="11"/>
    <n v="3"/>
    <n v="3"/>
    <n v="80"/>
    <n v="0"/>
    <n v="10"/>
    <n v="2"/>
    <n v="3"/>
    <n v="6"/>
    <n v="3"/>
    <n v="1"/>
    <n v="2"/>
    <s v="Low"/>
    <s v="Medium"/>
    <s v="Experienced"/>
  </r>
  <r>
    <n v="35"/>
    <x v="1"/>
    <s v="Travel_Rarely"/>
    <n v="992"/>
    <x v="1"/>
    <n v="1"/>
    <n v="3"/>
    <s v="Medical"/>
    <x v="0"/>
    <n v="1564"/>
    <n v="4"/>
    <s v="Male"/>
    <n v="68"/>
    <n v="2"/>
    <n v="1"/>
    <s v="Laboratory Technician"/>
    <n v="1"/>
    <s v="Single"/>
    <n v="2450"/>
    <n v="21731"/>
    <n v="1"/>
    <s v="Y"/>
    <x v="1"/>
    <n v="19"/>
    <n v="3"/>
    <n v="2"/>
    <n v="80"/>
    <n v="0"/>
    <n v="3"/>
    <n v="3"/>
    <n v="3"/>
    <n v="3"/>
    <n v="0"/>
    <n v="1"/>
    <n v="2"/>
    <s v="Low"/>
    <s v="Low"/>
    <s v="Experienced"/>
  </r>
  <r>
    <n v="30"/>
    <x v="1"/>
    <s v="Travel_Rarely"/>
    <n v="1288"/>
    <x v="0"/>
    <n v="29"/>
    <n v="4"/>
    <s v="Technical Degree"/>
    <x v="0"/>
    <n v="1568"/>
    <n v="3"/>
    <s v="Male"/>
    <n v="33"/>
    <n v="3"/>
    <n v="3"/>
    <s v="Sales Executive"/>
    <n v="2"/>
    <s v="Married"/>
    <n v="9250"/>
    <n v="17799"/>
    <n v="3"/>
    <s v="Y"/>
    <x v="1"/>
    <n v="12"/>
    <n v="3"/>
    <n v="2"/>
    <n v="80"/>
    <n v="1"/>
    <n v="9"/>
    <n v="3"/>
    <n v="3"/>
    <n v="4"/>
    <n v="2"/>
    <n v="1"/>
    <n v="3"/>
    <s v="High"/>
    <s v="High"/>
    <s v="Experienced"/>
  </r>
  <r>
    <n v="35"/>
    <x v="0"/>
    <s v="Travel_Rarely"/>
    <n v="104"/>
    <x v="1"/>
    <n v="2"/>
    <n v="3"/>
    <s v="Life Sciences"/>
    <x v="0"/>
    <n v="1569"/>
    <n v="1"/>
    <s v="Female"/>
    <n v="69"/>
    <n v="3"/>
    <n v="1"/>
    <s v="Laboratory Technician"/>
    <n v="1"/>
    <s v="Divorced"/>
    <n v="2074"/>
    <n v="26619"/>
    <n v="1"/>
    <s v="Y"/>
    <x v="0"/>
    <n v="12"/>
    <n v="3"/>
    <n v="4"/>
    <n v="80"/>
    <n v="1"/>
    <n v="1"/>
    <n v="2"/>
    <n v="3"/>
    <n v="1"/>
    <n v="0"/>
    <n v="0"/>
    <n v="0"/>
    <s v="Low"/>
    <s v="Low"/>
    <s v="new"/>
  </r>
  <r>
    <n v="53"/>
    <x v="0"/>
    <s v="Travel_Rarely"/>
    <n v="607"/>
    <x v="1"/>
    <n v="2"/>
    <n v="5"/>
    <s v="Technical Degree"/>
    <x v="0"/>
    <n v="1572"/>
    <n v="3"/>
    <s v="Female"/>
    <n v="78"/>
    <n v="2"/>
    <n v="3"/>
    <s v="Manufacturing Director"/>
    <n v="4"/>
    <s v="Married"/>
    <n v="10169"/>
    <n v="14618"/>
    <n v="0"/>
    <s v="Y"/>
    <x v="1"/>
    <n v="16"/>
    <n v="3"/>
    <n v="2"/>
    <n v="80"/>
    <n v="1"/>
    <n v="34"/>
    <n v="4"/>
    <n v="3"/>
    <n v="33"/>
    <n v="7"/>
    <n v="1"/>
    <n v="9"/>
    <s v="High"/>
    <s v="High"/>
    <s v="High"/>
  </r>
  <r>
    <n v="38"/>
    <x v="0"/>
    <s v="Travel_Rarely"/>
    <n v="903"/>
    <x v="1"/>
    <n v="2"/>
    <n v="3"/>
    <s v="Medical"/>
    <x v="0"/>
    <n v="1573"/>
    <n v="3"/>
    <s v="Male"/>
    <n v="81"/>
    <n v="3"/>
    <n v="2"/>
    <s v="Manufacturing Director"/>
    <n v="2"/>
    <s v="Married"/>
    <n v="4855"/>
    <n v="7653"/>
    <n v="4"/>
    <s v="Y"/>
    <x v="1"/>
    <n v="11"/>
    <n v="3"/>
    <n v="1"/>
    <n v="80"/>
    <n v="2"/>
    <n v="7"/>
    <n v="2"/>
    <n v="3"/>
    <n v="5"/>
    <n v="2"/>
    <n v="1"/>
    <n v="4"/>
    <s v="Low"/>
    <s v="Medium"/>
    <s v="Experienced"/>
  </r>
  <r>
    <n v="32"/>
    <x v="1"/>
    <s v="Non-Travel"/>
    <n v="1200"/>
    <x v="1"/>
    <n v="1"/>
    <n v="4"/>
    <s v="Technical Degree"/>
    <x v="0"/>
    <n v="1574"/>
    <n v="4"/>
    <s v="Male"/>
    <n v="62"/>
    <n v="3"/>
    <n v="2"/>
    <s v="Research Scientist"/>
    <n v="1"/>
    <s v="Married"/>
    <n v="4087"/>
    <n v="25174"/>
    <n v="4"/>
    <s v="Y"/>
    <x v="1"/>
    <n v="14"/>
    <n v="3"/>
    <n v="2"/>
    <n v="80"/>
    <n v="1"/>
    <n v="9"/>
    <n v="3"/>
    <n v="2"/>
    <n v="6"/>
    <n v="5"/>
    <n v="1"/>
    <n v="2"/>
    <s v="Low"/>
    <s v="Medium"/>
    <s v="Experienced"/>
  </r>
  <r>
    <n v="48"/>
    <x v="1"/>
    <s v="Travel_Rarely"/>
    <n v="1108"/>
    <x v="1"/>
    <n v="15"/>
    <n v="4"/>
    <s v="Other"/>
    <x v="0"/>
    <n v="1576"/>
    <n v="3"/>
    <s v="Female"/>
    <n v="65"/>
    <n v="3"/>
    <n v="1"/>
    <s v="Research Scientist"/>
    <n v="1"/>
    <s v="Married"/>
    <n v="2367"/>
    <n v="16530"/>
    <n v="8"/>
    <s v="Y"/>
    <x v="1"/>
    <n v="12"/>
    <n v="3"/>
    <n v="4"/>
    <n v="80"/>
    <n v="1"/>
    <n v="10"/>
    <n v="3"/>
    <n v="2"/>
    <n v="8"/>
    <n v="2"/>
    <n v="7"/>
    <n v="6"/>
    <s v="Low"/>
    <s v="Low"/>
    <s v="High"/>
  </r>
  <r>
    <n v="34"/>
    <x v="1"/>
    <s v="Travel_Rarely"/>
    <n v="479"/>
    <x v="1"/>
    <n v="7"/>
    <n v="4"/>
    <s v="Medical"/>
    <x v="0"/>
    <n v="1577"/>
    <n v="1"/>
    <s v="Male"/>
    <n v="35"/>
    <n v="3"/>
    <n v="1"/>
    <s v="Research Scientist"/>
    <n v="4"/>
    <s v="Single"/>
    <n v="2972"/>
    <n v="22061"/>
    <n v="1"/>
    <s v="Y"/>
    <x v="1"/>
    <n v="13"/>
    <n v="3"/>
    <n v="3"/>
    <n v="80"/>
    <n v="0"/>
    <n v="1"/>
    <n v="4"/>
    <n v="1"/>
    <n v="1"/>
    <n v="0"/>
    <n v="0"/>
    <n v="0"/>
    <s v="Low"/>
    <s v="Low"/>
    <s v="new"/>
  </r>
  <r>
    <n v="55"/>
    <x v="1"/>
    <s v="Travel_Rarely"/>
    <n v="685"/>
    <x v="0"/>
    <n v="26"/>
    <n v="5"/>
    <s v="Marketing"/>
    <x v="0"/>
    <n v="1578"/>
    <n v="3"/>
    <s v="Male"/>
    <n v="60"/>
    <n v="2"/>
    <n v="5"/>
    <s v="Manager"/>
    <n v="4"/>
    <s v="Married"/>
    <n v="19586"/>
    <n v="23037"/>
    <n v="1"/>
    <s v="Y"/>
    <x v="1"/>
    <n v="21"/>
    <n v="4"/>
    <n v="3"/>
    <n v="80"/>
    <n v="1"/>
    <n v="36"/>
    <n v="3"/>
    <n v="3"/>
    <n v="36"/>
    <n v="6"/>
    <n v="2"/>
    <n v="13"/>
    <s v="High"/>
    <s v="High"/>
    <s v="High"/>
  </r>
  <r>
    <n v="34"/>
    <x v="1"/>
    <s v="Travel_Rarely"/>
    <n v="1351"/>
    <x v="1"/>
    <n v="1"/>
    <n v="4"/>
    <s v="Life Sciences"/>
    <x v="0"/>
    <n v="1580"/>
    <n v="2"/>
    <s v="Male"/>
    <n v="45"/>
    <n v="3"/>
    <n v="2"/>
    <s v="Research Scientist"/>
    <n v="4"/>
    <s v="Married"/>
    <n v="5484"/>
    <n v="13008"/>
    <n v="9"/>
    <s v="Y"/>
    <x v="1"/>
    <n v="17"/>
    <n v="3"/>
    <n v="2"/>
    <n v="80"/>
    <n v="1"/>
    <n v="9"/>
    <n v="3"/>
    <n v="2"/>
    <n v="2"/>
    <n v="2"/>
    <n v="2"/>
    <n v="1"/>
    <s v="Low"/>
    <s v="Medium"/>
    <s v="new"/>
  </r>
  <r>
    <n v="26"/>
    <x v="1"/>
    <s v="Travel_Rarely"/>
    <n v="474"/>
    <x v="1"/>
    <n v="3"/>
    <n v="3"/>
    <s v="Life Sciences"/>
    <x v="0"/>
    <n v="1581"/>
    <n v="1"/>
    <s v="Female"/>
    <n v="89"/>
    <n v="3"/>
    <n v="1"/>
    <s v="Research Scientist"/>
    <n v="4"/>
    <s v="Married"/>
    <n v="2061"/>
    <n v="11133"/>
    <n v="1"/>
    <s v="Y"/>
    <x v="1"/>
    <n v="21"/>
    <n v="4"/>
    <n v="1"/>
    <n v="80"/>
    <n v="0"/>
    <n v="1"/>
    <n v="5"/>
    <n v="3"/>
    <n v="1"/>
    <n v="0"/>
    <n v="0"/>
    <n v="0"/>
    <s v="Low"/>
    <s v="Low"/>
    <s v="new"/>
  </r>
  <r>
    <n v="38"/>
    <x v="1"/>
    <s v="Travel_Rarely"/>
    <n v="1245"/>
    <x v="0"/>
    <n v="14"/>
    <n v="3"/>
    <s v="Life Sciences"/>
    <x v="0"/>
    <n v="1582"/>
    <n v="3"/>
    <s v="Male"/>
    <n v="80"/>
    <n v="3"/>
    <n v="2"/>
    <s v="Sales Executive"/>
    <n v="2"/>
    <s v="Married"/>
    <n v="9924"/>
    <n v="12355"/>
    <n v="0"/>
    <s v="Y"/>
    <x v="1"/>
    <n v="11"/>
    <n v="3"/>
    <n v="4"/>
    <n v="80"/>
    <n v="1"/>
    <n v="10"/>
    <n v="3"/>
    <n v="3"/>
    <n v="9"/>
    <n v="8"/>
    <n v="7"/>
    <n v="7"/>
    <s v="High"/>
    <s v="High"/>
    <s v="High"/>
  </r>
  <r>
    <n v="38"/>
    <x v="1"/>
    <s v="Travel_Rarely"/>
    <n v="437"/>
    <x v="0"/>
    <n v="16"/>
    <n v="3"/>
    <s v="Life Sciences"/>
    <x v="0"/>
    <n v="1583"/>
    <n v="2"/>
    <s v="Female"/>
    <n v="90"/>
    <n v="3"/>
    <n v="2"/>
    <s v="Sales Executive"/>
    <n v="2"/>
    <s v="Single"/>
    <n v="4198"/>
    <n v="16379"/>
    <n v="2"/>
    <s v="Y"/>
    <x v="1"/>
    <n v="12"/>
    <n v="3"/>
    <n v="2"/>
    <n v="80"/>
    <n v="0"/>
    <n v="8"/>
    <n v="5"/>
    <n v="4"/>
    <n v="3"/>
    <n v="2"/>
    <n v="1"/>
    <n v="2"/>
    <s v="Low"/>
    <s v="Medium"/>
    <s v="Experienced"/>
  </r>
  <r>
    <n v="36"/>
    <x v="1"/>
    <s v="Travel_Rarely"/>
    <n v="884"/>
    <x v="0"/>
    <n v="1"/>
    <n v="4"/>
    <s v="Life Sciences"/>
    <x v="0"/>
    <n v="1585"/>
    <n v="2"/>
    <s v="Female"/>
    <n v="73"/>
    <n v="3"/>
    <n v="2"/>
    <s v="Sales Executive"/>
    <n v="3"/>
    <s v="Single"/>
    <n v="6815"/>
    <n v="21447"/>
    <n v="6"/>
    <s v="Y"/>
    <x v="1"/>
    <n v="13"/>
    <n v="3"/>
    <n v="1"/>
    <n v="80"/>
    <n v="0"/>
    <n v="15"/>
    <n v="5"/>
    <n v="3"/>
    <n v="1"/>
    <n v="0"/>
    <n v="0"/>
    <n v="0"/>
    <s v="High"/>
    <s v="Medium"/>
    <s v="new"/>
  </r>
  <r>
    <n v="29"/>
    <x v="1"/>
    <s v="Travel_Rarely"/>
    <n v="1370"/>
    <x v="1"/>
    <n v="3"/>
    <n v="1"/>
    <s v="Medical"/>
    <x v="0"/>
    <n v="1586"/>
    <n v="2"/>
    <s v="Male"/>
    <n v="87"/>
    <n v="3"/>
    <n v="1"/>
    <s v="Laboratory Technician"/>
    <n v="1"/>
    <s v="Single"/>
    <n v="4723"/>
    <n v="16213"/>
    <n v="1"/>
    <s v="Y"/>
    <x v="0"/>
    <n v="18"/>
    <n v="3"/>
    <n v="4"/>
    <n v="80"/>
    <n v="0"/>
    <n v="10"/>
    <n v="3"/>
    <n v="3"/>
    <n v="10"/>
    <n v="9"/>
    <n v="1"/>
    <n v="5"/>
    <s v="Low"/>
    <s v="Medium"/>
    <s v="High"/>
  </r>
  <r>
    <n v="35"/>
    <x v="1"/>
    <s v="Travel_Rarely"/>
    <n v="670"/>
    <x v="1"/>
    <n v="10"/>
    <n v="4"/>
    <s v="Medical"/>
    <x v="0"/>
    <n v="1587"/>
    <n v="1"/>
    <s v="Female"/>
    <n v="51"/>
    <n v="3"/>
    <n v="2"/>
    <s v="Healthcare Representative"/>
    <n v="3"/>
    <s v="Single"/>
    <n v="6142"/>
    <n v="4223"/>
    <n v="3"/>
    <s v="Y"/>
    <x v="0"/>
    <n v="16"/>
    <n v="3"/>
    <n v="3"/>
    <n v="80"/>
    <n v="0"/>
    <n v="10"/>
    <n v="4"/>
    <n v="3"/>
    <n v="5"/>
    <n v="2"/>
    <n v="0"/>
    <n v="4"/>
    <s v="Low"/>
    <s v="Medium"/>
    <s v="Experienced"/>
  </r>
  <r>
    <n v="39"/>
    <x v="1"/>
    <s v="Travel_Rarely"/>
    <n v="1462"/>
    <x v="0"/>
    <n v="6"/>
    <n v="3"/>
    <s v="Medical"/>
    <x v="0"/>
    <n v="1588"/>
    <n v="4"/>
    <s v="Male"/>
    <n v="38"/>
    <n v="4"/>
    <n v="3"/>
    <s v="Sales Executive"/>
    <n v="3"/>
    <s v="Married"/>
    <n v="8237"/>
    <n v="4658"/>
    <n v="2"/>
    <s v="Y"/>
    <x v="1"/>
    <n v="11"/>
    <n v="3"/>
    <n v="1"/>
    <n v="80"/>
    <n v="1"/>
    <n v="11"/>
    <n v="3"/>
    <n v="3"/>
    <n v="7"/>
    <n v="6"/>
    <n v="7"/>
    <n v="6"/>
    <s v="High"/>
    <s v="High"/>
    <s v="Experienced"/>
  </r>
  <r>
    <n v="29"/>
    <x v="1"/>
    <s v="Travel_Frequently"/>
    <n v="995"/>
    <x v="1"/>
    <n v="2"/>
    <n v="1"/>
    <s v="Life Sciences"/>
    <x v="0"/>
    <n v="1590"/>
    <n v="1"/>
    <s v="Male"/>
    <n v="87"/>
    <n v="3"/>
    <n v="2"/>
    <s v="Healthcare Representative"/>
    <n v="4"/>
    <s v="Divorced"/>
    <n v="8853"/>
    <n v="24483"/>
    <n v="1"/>
    <s v="Y"/>
    <x v="1"/>
    <n v="19"/>
    <n v="3"/>
    <n v="4"/>
    <n v="80"/>
    <n v="1"/>
    <n v="6"/>
    <n v="0"/>
    <n v="4"/>
    <n v="6"/>
    <n v="4"/>
    <n v="1"/>
    <n v="3"/>
    <s v="High"/>
    <s v="High"/>
    <s v="Experienced"/>
  </r>
  <r>
    <n v="50"/>
    <x v="1"/>
    <s v="Travel_Rarely"/>
    <n v="264"/>
    <x v="0"/>
    <n v="9"/>
    <n v="3"/>
    <s v="Marketing"/>
    <x v="0"/>
    <n v="1591"/>
    <n v="3"/>
    <s v="Male"/>
    <n v="59"/>
    <n v="3"/>
    <n v="5"/>
    <s v="Manager"/>
    <n v="3"/>
    <s v="Married"/>
    <n v="19331"/>
    <n v="19519"/>
    <n v="4"/>
    <s v="Y"/>
    <x v="0"/>
    <n v="16"/>
    <n v="3"/>
    <n v="3"/>
    <n v="80"/>
    <n v="1"/>
    <n v="27"/>
    <n v="2"/>
    <n v="3"/>
    <n v="1"/>
    <n v="0"/>
    <n v="0"/>
    <n v="0"/>
    <s v="High"/>
    <s v="High"/>
    <s v="new"/>
  </r>
  <r>
    <n v="23"/>
    <x v="1"/>
    <s v="Travel_Rarely"/>
    <n v="977"/>
    <x v="1"/>
    <n v="10"/>
    <n v="3"/>
    <s v="Technical Degree"/>
    <x v="0"/>
    <n v="1592"/>
    <n v="4"/>
    <s v="Male"/>
    <n v="45"/>
    <n v="4"/>
    <n v="1"/>
    <s v="Research Scientist"/>
    <n v="3"/>
    <s v="Married"/>
    <n v="2073"/>
    <n v="12826"/>
    <n v="2"/>
    <s v="Y"/>
    <x v="1"/>
    <n v="16"/>
    <n v="3"/>
    <n v="4"/>
    <n v="80"/>
    <n v="1"/>
    <n v="4"/>
    <n v="2"/>
    <n v="3"/>
    <n v="2"/>
    <n v="2"/>
    <n v="2"/>
    <n v="2"/>
    <s v="Low"/>
    <s v="Low"/>
    <s v="new"/>
  </r>
  <r>
    <n v="36"/>
    <x v="1"/>
    <s v="Travel_Frequently"/>
    <n v="1302"/>
    <x v="1"/>
    <n v="6"/>
    <n v="4"/>
    <s v="Life Sciences"/>
    <x v="0"/>
    <n v="1594"/>
    <n v="1"/>
    <s v="Male"/>
    <n v="80"/>
    <n v="4"/>
    <n v="2"/>
    <s v="Laboratory Technician"/>
    <n v="1"/>
    <s v="Married"/>
    <n v="5562"/>
    <n v="19711"/>
    <n v="3"/>
    <s v="Y"/>
    <x v="0"/>
    <n v="13"/>
    <n v="3"/>
    <n v="4"/>
    <n v="80"/>
    <n v="1"/>
    <n v="9"/>
    <n v="3"/>
    <n v="3"/>
    <n v="3"/>
    <n v="2"/>
    <n v="0"/>
    <n v="2"/>
    <s v="Low"/>
    <s v="Medium"/>
    <s v="Experienced"/>
  </r>
  <r>
    <n v="42"/>
    <x v="1"/>
    <s v="Travel_Rarely"/>
    <n v="1059"/>
    <x v="1"/>
    <n v="9"/>
    <n v="2"/>
    <s v="Other"/>
    <x v="0"/>
    <n v="1595"/>
    <n v="4"/>
    <s v="Male"/>
    <n v="93"/>
    <n v="2"/>
    <n v="5"/>
    <s v="Manager"/>
    <n v="4"/>
    <s v="Single"/>
    <n v="19613"/>
    <n v="26362"/>
    <n v="8"/>
    <s v="Y"/>
    <x v="1"/>
    <n v="22"/>
    <n v="4"/>
    <n v="4"/>
    <n v="80"/>
    <n v="0"/>
    <n v="24"/>
    <n v="2"/>
    <n v="3"/>
    <n v="1"/>
    <n v="0"/>
    <n v="0"/>
    <n v="1"/>
    <s v="High"/>
    <s v="High"/>
    <s v="new"/>
  </r>
  <r>
    <n v="35"/>
    <x v="1"/>
    <s v="Travel_Rarely"/>
    <n v="750"/>
    <x v="1"/>
    <n v="28"/>
    <n v="3"/>
    <s v="Life Sciences"/>
    <x v="0"/>
    <n v="1596"/>
    <n v="2"/>
    <s v="Male"/>
    <n v="46"/>
    <n v="4"/>
    <n v="2"/>
    <s v="Laboratory Technician"/>
    <n v="3"/>
    <s v="Married"/>
    <n v="3407"/>
    <n v="25348"/>
    <n v="1"/>
    <s v="Y"/>
    <x v="1"/>
    <n v="17"/>
    <n v="3"/>
    <n v="4"/>
    <n v="80"/>
    <n v="2"/>
    <n v="10"/>
    <n v="3"/>
    <n v="2"/>
    <n v="10"/>
    <n v="9"/>
    <n v="6"/>
    <n v="8"/>
    <s v="Low"/>
    <s v="Low"/>
    <s v="High"/>
  </r>
  <r>
    <n v="34"/>
    <x v="1"/>
    <s v="Travel_Frequently"/>
    <n v="653"/>
    <x v="1"/>
    <n v="10"/>
    <n v="4"/>
    <s v="Technical Degree"/>
    <x v="0"/>
    <n v="1597"/>
    <n v="4"/>
    <s v="Male"/>
    <n v="92"/>
    <n v="2"/>
    <n v="2"/>
    <s v="Healthcare Representative"/>
    <n v="3"/>
    <s v="Married"/>
    <n v="5063"/>
    <n v="15332"/>
    <n v="1"/>
    <s v="Y"/>
    <x v="1"/>
    <n v="14"/>
    <n v="3"/>
    <n v="2"/>
    <n v="80"/>
    <n v="1"/>
    <n v="8"/>
    <n v="3"/>
    <n v="2"/>
    <n v="8"/>
    <n v="2"/>
    <n v="7"/>
    <n v="7"/>
    <s v="Low"/>
    <s v="Medium"/>
    <s v="High"/>
  </r>
  <r>
    <n v="40"/>
    <x v="1"/>
    <s v="Travel_Rarely"/>
    <n v="118"/>
    <x v="0"/>
    <n v="14"/>
    <n v="2"/>
    <s v="Life Sciences"/>
    <x v="0"/>
    <n v="1598"/>
    <n v="4"/>
    <s v="Female"/>
    <n v="84"/>
    <n v="3"/>
    <n v="2"/>
    <s v="Sales Executive"/>
    <n v="1"/>
    <s v="Married"/>
    <n v="4639"/>
    <n v="11262"/>
    <n v="1"/>
    <s v="Y"/>
    <x v="1"/>
    <n v="15"/>
    <n v="3"/>
    <n v="3"/>
    <n v="80"/>
    <n v="1"/>
    <n v="5"/>
    <n v="2"/>
    <n v="3"/>
    <n v="5"/>
    <n v="4"/>
    <n v="1"/>
    <n v="2"/>
    <s v="Low"/>
    <s v="Medium"/>
    <s v="Experienced"/>
  </r>
  <r>
    <n v="43"/>
    <x v="1"/>
    <s v="Travel_Rarely"/>
    <n v="990"/>
    <x v="1"/>
    <n v="27"/>
    <n v="3"/>
    <s v="Technical Degree"/>
    <x v="0"/>
    <n v="1599"/>
    <n v="4"/>
    <s v="Male"/>
    <n v="87"/>
    <n v="4"/>
    <n v="1"/>
    <s v="Laboratory Technician"/>
    <n v="2"/>
    <s v="Divorced"/>
    <n v="4876"/>
    <n v="5855"/>
    <n v="5"/>
    <s v="Y"/>
    <x v="1"/>
    <n v="12"/>
    <n v="3"/>
    <n v="3"/>
    <n v="80"/>
    <n v="1"/>
    <n v="8"/>
    <n v="0"/>
    <n v="3"/>
    <n v="6"/>
    <n v="4"/>
    <n v="0"/>
    <n v="2"/>
    <s v="Low"/>
    <s v="Medium"/>
    <s v="Experienced"/>
  </r>
  <r>
    <n v="35"/>
    <x v="1"/>
    <s v="Travel_Rarely"/>
    <n v="1349"/>
    <x v="1"/>
    <n v="7"/>
    <n v="2"/>
    <s v="Life Sciences"/>
    <x v="0"/>
    <n v="1601"/>
    <n v="3"/>
    <s v="Male"/>
    <n v="63"/>
    <n v="2"/>
    <n v="1"/>
    <s v="Laboratory Technician"/>
    <n v="4"/>
    <s v="Married"/>
    <n v="2690"/>
    <n v="7713"/>
    <n v="1"/>
    <s v="Y"/>
    <x v="1"/>
    <n v="18"/>
    <n v="3"/>
    <n v="4"/>
    <n v="80"/>
    <n v="1"/>
    <n v="1"/>
    <n v="5"/>
    <n v="2"/>
    <n v="1"/>
    <n v="0"/>
    <n v="0"/>
    <n v="1"/>
    <s v="Low"/>
    <s v="Low"/>
    <s v="new"/>
  </r>
  <r>
    <n v="46"/>
    <x v="1"/>
    <s v="Travel_Rarely"/>
    <n v="563"/>
    <x v="0"/>
    <n v="1"/>
    <n v="4"/>
    <s v="Life Sciences"/>
    <x v="0"/>
    <n v="1602"/>
    <n v="4"/>
    <s v="Male"/>
    <n v="56"/>
    <n v="4"/>
    <n v="4"/>
    <s v="Manager"/>
    <n v="1"/>
    <s v="Single"/>
    <n v="17567"/>
    <n v="3156"/>
    <n v="1"/>
    <s v="Y"/>
    <x v="1"/>
    <n v="15"/>
    <n v="3"/>
    <n v="2"/>
    <n v="80"/>
    <n v="0"/>
    <n v="27"/>
    <n v="5"/>
    <n v="1"/>
    <n v="26"/>
    <n v="0"/>
    <n v="0"/>
    <n v="12"/>
    <s v="High"/>
    <s v="High"/>
    <s v="High"/>
  </r>
  <r>
    <n v="28"/>
    <x v="0"/>
    <s v="Travel_Rarely"/>
    <n v="329"/>
    <x v="1"/>
    <n v="24"/>
    <n v="3"/>
    <s v="Medical"/>
    <x v="0"/>
    <n v="1604"/>
    <n v="3"/>
    <s v="Male"/>
    <n v="51"/>
    <n v="3"/>
    <n v="1"/>
    <s v="Laboratory Technician"/>
    <n v="2"/>
    <s v="Married"/>
    <n v="2408"/>
    <n v="7324"/>
    <n v="1"/>
    <s v="Y"/>
    <x v="0"/>
    <n v="17"/>
    <n v="3"/>
    <n v="3"/>
    <n v="80"/>
    <n v="3"/>
    <n v="1"/>
    <n v="3"/>
    <n v="3"/>
    <n v="1"/>
    <n v="1"/>
    <n v="0"/>
    <n v="0"/>
    <s v="Low"/>
    <s v="Low"/>
    <s v="new"/>
  </r>
  <r>
    <n v="22"/>
    <x v="1"/>
    <s v="Non-Travel"/>
    <n v="457"/>
    <x v="1"/>
    <n v="26"/>
    <n v="2"/>
    <s v="Other"/>
    <x v="0"/>
    <n v="1605"/>
    <n v="2"/>
    <s v="Female"/>
    <n v="85"/>
    <n v="2"/>
    <n v="1"/>
    <s v="Research Scientist"/>
    <n v="3"/>
    <s v="Married"/>
    <n v="2814"/>
    <n v="10293"/>
    <n v="1"/>
    <s v="Y"/>
    <x v="0"/>
    <n v="14"/>
    <n v="3"/>
    <n v="2"/>
    <n v="80"/>
    <n v="0"/>
    <n v="4"/>
    <n v="2"/>
    <n v="2"/>
    <n v="4"/>
    <n v="2"/>
    <n v="1"/>
    <n v="3"/>
    <s v="Low"/>
    <s v="Low"/>
    <s v="Experienced"/>
  </r>
  <r>
    <n v="50"/>
    <x v="1"/>
    <s v="Travel_Frequently"/>
    <n v="1234"/>
    <x v="1"/>
    <n v="20"/>
    <n v="5"/>
    <s v="Medical"/>
    <x v="0"/>
    <n v="1606"/>
    <n v="2"/>
    <s v="Male"/>
    <n v="41"/>
    <n v="3"/>
    <n v="4"/>
    <s v="Healthcare Representative"/>
    <n v="3"/>
    <s v="Married"/>
    <n v="11245"/>
    <n v="20689"/>
    <n v="2"/>
    <s v="Y"/>
    <x v="0"/>
    <n v="15"/>
    <n v="3"/>
    <n v="3"/>
    <n v="80"/>
    <n v="1"/>
    <n v="32"/>
    <n v="3"/>
    <n v="3"/>
    <n v="30"/>
    <n v="8"/>
    <n v="12"/>
    <n v="13"/>
    <s v="High"/>
    <s v="High"/>
    <s v="High"/>
  </r>
  <r>
    <n v="32"/>
    <x v="1"/>
    <s v="Travel_Rarely"/>
    <n v="634"/>
    <x v="1"/>
    <n v="5"/>
    <n v="4"/>
    <s v="Other"/>
    <x v="0"/>
    <n v="1607"/>
    <n v="2"/>
    <s v="Female"/>
    <n v="35"/>
    <n v="4"/>
    <n v="1"/>
    <s v="Research Scientist"/>
    <n v="4"/>
    <s v="Married"/>
    <n v="3312"/>
    <n v="18783"/>
    <n v="3"/>
    <s v="Y"/>
    <x v="1"/>
    <n v="17"/>
    <n v="3"/>
    <n v="4"/>
    <n v="80"/>
    <n v="2"/>
    <n v="6"/>
    <n v="3"/>
    <n v="3"/>
    <n v="3"/>
    <n v="2"/>
    <n v="0"/>
    <n v="2"/>
    <s v="Low"/>
    <s v="Low"/>
    <s v="Experienced"/>
  </r>
  <r>
    <n v="44"/>
    <x v="1"/>
    <s v="Travel_Rarely"/>
    <n v="1313"/>
    <x v="1"/>
    <n v="7"/>
    <n v="3"/>
    <s v="Medical"/>
    <x v="0"/>
    <n v="1608"/>
    <n v="2"/>
    <s v="Female"/>
    <n v="31"/>
    <n v="3"/>
    <n v="5"/>
    <s v="Research Director"/>
    <n v="4"/>
    <s v="Divorced"/>
    <n v="19049"/>
    <n v="3549"/>
    <n v="0"/>
    <s v="Y"/>
    <x v="0"/>
    <n v="14"/>
    <n v="3"/>
    <n v="4"/>
    <n v="80"/>
    <n v="1"/>
    <n v="23"/>
    <n v="4"/>
    <n v="2"/>
    <n v="22"/>
    <n v="7"/>
    <n v="1"/>
    <n v="10"/>
    <s v="High"/>
    <s v="High"/>
    <s v="High"/>
  </r>
  <r>
    <n v="30"/>
    <x v="1"/>
    <s v="Travel_Rarely"/>
    <n v="241"/>
    <x v="1"/>
    <n v="7"/>
    <n v="3"/>
    <s v="Medical"/>
    <x v="0"/>
    <n v="1609"/>
    <n v="2"/>
    <s v="Male"/>
    <n v="48"/>
    <n v="2"/>
    <n v="1"/>
    <s v="Research Scientist"/>
    <n v="2"/>
    <s v="Married"/>
    <n v="2141"/>
    <n v="5348"/>
    <n v="1"/>
    <s v="Y"/>
    <x v="1"/>
    <n v="12"/>
    <n v="3"/>
    <n v="2"/>
    <n v="80"/>
    <n v="1"/>
    <n v="6"/>
    <n v="3"/>
    <n v="2"/>
    <n v="6"/>
    <n v="4"/>
    <n v="1"/>
    <n v="1"/>
    <s v="Low"/>
    <s v="Low"/>
    <s v="Experienced"/>
  </r>
  <r>
    <n v="45"/>
    <x v="1"/>
    <s v="Travel_Rarely"/>
    <n v="1015"/>
    <x v="1"/>
    <n v="5"/>
    <n v="5"/>
    <s v="Medical"/>
    <x v="0"/>
    <n v="1611"/>
    <n v="3"/>
    <s v="Female"/>
    <n v="50"/>
    <n v="1"/>
    <n v="2"/>
    <s v="Laboratory Technician"/>
    <n v="1"/>
    <s v="Single"/>
    <n v="5769"/>
    <n v="23447"/>
    <n v="1"/>
    <s v="Y"/>
    <x v="0"/>
    <n v="14"/>
    <n v="3"/>
    <n v="1"/>
    <n v="80"/>
    <n v="0"/>
    <n v="10"/>
    <n v="3"/>
    <n v="3"/>
    <n v="10"/>
    <n v="7"/>
    <n v="1"/>
    <n v="4"/>
    <s v="Low"/>
    <s v="Medium"/>
    <s v="High"/>
  </r>
  <r>
    <n v="45"/>
    <x v="1"/>
    <s v="Non-Travel"/>
    <n v="336"/>
    <x v="0"/>
    <n v="26"/>
    <n v="3"/>
    <s v="Marketing"/>
    <x v="0"/>
    <n v="1612"/>
    <n v="1"/>
    <s v="Male"/>
    <n v="52"/>
    <n v="2"/>
    <n v="2"/>
    <s v="Sales Executive"/>
    <n v="1"/>
    <s v="Married"/>
    <n v="4385"/>
    <n v="24162"/>
    <n v="1"/>
    <s v="Y"/>
    <x v="1"/>
    <n v="15"/>
    <n v="3"/>
    <n v="1"/>
    <n v="80"/>
    <n v="1"/>
    <n v="10"/>
    <n v="2"/>
    <n v="3"/>
    <n v="10"/>
    <n v="7"/>
    <n v="4"/>
    <n v="5"/>
    <s v="Low"/>
    <s v="Medium"/>
    <s v="High"/>
  </r>
  <r>
    <n v="31"/>
    <x v="1"/>
    <s v="Travel_Frequently"/>
    <n v="715"/>
    <x v="0"/>
    <n v="2"/>
    <n v="4"/>
    <s v="Other"/>
    <x v="0"/>
    <n v="1613"/>
    <n v="4"/>
    <s v="Male"/>
    <n v="54"/>
    <n v="3"/>
    <n v="2"/>
    <s v="Sales Executive"/>
    <n v="1"/>
    <s v="Single"/>
    <n v="5332"/>
    <n v="21602"/>
    <n v="7"/>
    <s v="Y"/>
    <x v="1"/>
    <n v="13"/>
    <n v="3"/>
    <n v="4"/>
    <n v="80"/>
    <n v="0"/>
    <n v="10"/>
    <n v="3"/>
    <n v="3"/>
    <n v="5"/>
    <n v="2"/>
    <n v="0"/>
    <n v="3"/>
    <s v="Low"/>
    <s v="Medium"/>
    <s v="Experienced"/>
  </r>
  <r>
    <n v="36"/>
    <x v="1"/>
    <s v="Travel_Rarely"/>
    <n v="559"/>
    <x v="1"/>
    <n v="12"/>
    <n v="4"/>
    <s v="Life Sciences"/>
    <x v="0"/>
    <n v="1614"/>
    <n v="3"/>
    <s v="Female"/>
    <n v="76"/>
    <n v="3"/>
    <n v="2"/>
    <s v="Manufacturing Director"/>
    <n v="3"/>
    <s v="Married"/>
    <n v="4663"/>
    <n v="12421"/>
    <n v="9"/>
    <s v="Y"/>
    <x v="0"/>
    <n v="12"/>
    <n v="3"/>
    <n v="2"/>
    <n v="80"/>
    <n v="2"/>
    <n v="7"/>
    <n v="2"/>
    <n v="3"/>
    <n v="3"/>
    <n v="2"/>
    <n v="1"/>
    <n v="1"/>
    <s v="Low"/>
    <s v="Medium"/>
    <s v="Experienced"/>
  </r>
  <r>
    <n v="34"/>
    <x v="1"/>
    <s v="Travel_Frequently"/>
    <n v="426"/>
    <x v="1"/>
    <n v="10"/>
    <n v="4"/>
    <s v="Life Sciences"/>
    <x v="0"/>
    <n v="1615"/>
    <n v="3"/>
    <s v="Male"/>
    <n v="42"/>
    <n v="4"/>
    <n v="2"/>
    <s v="Manufacturing Director"/>
    <n v="4"/>
    <s v="Divorced"/>
    <n v="4724"/>
    <n v="17000"/>
    <n v="1"/>
    <s v="Y"/>
    <x v="1"/>
    <n v="13"/>
    <n v="3"/>
    <n v="1"/>
    <n v="80"/>
    <n v="1"/>
    <n v="9"/>
    <n v="3"/>
    <n v="3"/>
    <n v="9"/>
    <n v="7"/>
    <n v="7"/>
    <n v="2"/>
    <s v="Low"/>
    <s v="Medium"/>
    <s v="High"/>
  </r>
  <r>
    <n v="49"/>
    <x v="1"/>
    <s v="Travel_Rarely"/>
    <n v="722"/>
    <x v="1"/>
    <n v="25"/>
    <n v="4"/>
    <s v="Life Sciences"/>
    <x v="0"/>
    <n v="1617"/>
    <n v="3"/>
    <s v="Female"/>
    <n v="84"/>
    <n v="3"/>
    <n v="1"/>
    <s v="Laboratory Technician"/>
    <n v="1"/>
    <s v="Married"/>
    <n v="3211"/>
    <n v="22102"/>
    <n v="1"/>
    <s v="Y"/>
    <x v="1"/>
    <n v="14"/>
    <n v="3"/>
    <n v="4"/>
    <n v="80"/>
    <n v="1"/>
    <n v="10"/>
    <n v="3"/>
    <n v="2"/>
    <n v="9"/>
    <n v="6"/>
    <n v="1"/>
    <n v="4"/>
    <s v="Low"/>
    <s v="Low"/>
    <s v="High"/>
  </r>
  <r>
    <n v="39"/>
    <x v="1"/>
    <s v="Travel_Rarely"/>
    <n v="1387"/>
    <x v="1"/>
    <n v="10"/>
    <n v="5"/>
    <s v="Medical"/>
    <x v="0"/>
    <n v="1618"/>
    <n v="2"/>
    <s v="Male"/>
    <n v="76"/>
    <n v="3"/>
    <n v="2"/>
    <s v="Manufacturing Director"/>
    <n v="1"/>
    <s v="Married"/>
    <n v="5377"/>
    <n v="3835"/>
    <n v="2"/>
    <s v="Y"/>
    <x v="1"/>
    <n v="13"/>
    <n v="3"/>
    <n v="4"/>
    <n v="80"/>
    <n v="3"/>
    <n v="10"/>
    <n v="3"/>
    <n v="3"/>
    <n v="7"/>
    <n v="7"/>
    <n v="7"/>
    <n v="7"/>
    <s v="Low"/>
    <s v="Medium"/>
    <s v="Experienced"/>
  </r>
  <r>
    <n v="27"/>
    <x v="1"/>
    <s v="Travel_Rarely"/>
    <n v="1302"/>
    <x v="1"/>
    <n v="19"/>
    <n v="3"/>
    <s v="Other"/>
    <x v="0"/>
    <n v="1619"/>
    <n v="4"/>
    <s v="Male"/>
    <n v="67"/>
    <n v="2"/>
    <n v="1"/>
    <s v="Laboratory Technician"/>
    <n v="1"/>
    <s v="Divorced"/>
    <n v="4066"/>
    <n v="16290"/>
    <n v="1"/>
    <s v="Y"/>
    <x v="1"/>
    <n v="11"/>
    <n v="3"/>
    <n v="1"/>
    <n v="80"/>
    <n v="2"/>
    <n v="7"/>
    <n v="3"/>
    <n v="3"/>
    <n v="7"/>
    <n v="7"/>
    <n v="0"/>
    <n v="7"/>
    <s v="Low"/>
    <s v="Medium"/>
    <s v="Experienced"/>
  </r>
  <r>
    <n v="35"/>
    <x v="1"/>
    <s v="Travel_Rarely"/>
    <n v="819"/>
    <x v="1"/>
    <n v="18"/>
    <n v="5"/>
    <s v="Life Sciences"/>
    <x v="0"/>
    <n v="1621"/>
    <n v="2"/>
    <s v="Male"/>
    <n v="48"/>
    <n v="4"/>
    <n v="2"/>
    <s v="Research Scientist"/>
    <n v="1"/>
    <s v="Married"/>
    <n v="5208"/>
    <n v="26312"/>
    <n v="1"/>
    <s v="Y"/>
    <x v="1"/>
    <n v="11"/>
    <n v="3"/>
    <n v="4"/>
    <n v="80"/>
    <n v="0"/>
    <n v="16"/>
    <n v="2"/>
    <n v="3"/>
    <n v="16"/>
    <n v="15"/>
    <n v="1"/>
    <n v="10"/>
    <s v="Low"/>
    <s v="Medium"/>
    <s v="High"/>
  </r>
  <r>
    <n v="28"/>
    <x v="1"/>
    <s v="Travel_Rarely"/>
    <n v="580"/>
    <x v="1"/>
    <n v="27"/>
    <n v="3"/>
    <s v="Medical"/>
    <x v="0"/>
    <n v="1622"/>
    <n v="2"/>
    <s v="Female"/>
    <n v="39"/>
    <n v="1"/>
    <n v="2"/>
    <s v="Manufacturing Director"/>
    <n v="1"/>
    <s v="Divorced"/>
    <n v="4877"/>
    <n v="20460"/>
    <n v="0"/>
    <s v="Y"/>
    <x v="1"/>
    <n v="21"/>
    <n v="4"/>
    <n v="2"/>
    <n v="80"/>
    <n v="1"/>
    <n v="6"/>
    <n v="5"/>
    <n v="2"/>
    <n v="5"/>
    <n v="3"/>
    <n v="0"/>
    <n v="0"/>
    <s v="Low"/>
    <s v="Medium"/>
    <s v="Experienced"/>
  </r>
  <r>
    <n v="21"/>
    <x v="1"/>
    <s v="Travel_Rarely"/>
    <n v="546"/>
    <x v="1"/>
    <n v="5"/>
    <n v="1"/>
    <s v="Medical"/>
    <x v="0"/>
    <n v="1623"/>
    <n v="3"/>
    <s v="Male"/>
    <n v="97"/>
    <n v="3"/>
    <n v="1"/>
    <s v="Research Scientist"/>
    <n v="4"/>
    <s v="Single"/>
    <n v="3117"/>
    <n v="26009"/>
    <n v="1"/>
    <s v="Y"/>
    <x v="1"/>
    <n v="18"/>
    <n v="3"/>
    <n v="3"/>
    <n v="80"/>
    <n v="0"/>
    <n v="3"/>
    <n v="2"/>
    <n v="3"/>
    <n v="2"/>
    <n v="2"/>
    <n v="2"/>
    <n v="2"/>
    <s v="Low"/>
    <s v="Low"/>
    <s v="new"/>
  </r>
  <r>
    <n v="18"/>
    <x v="0"/>
    <s v="Travel_Frequently"/>
    <n v="544"/>
    <x v="0"/>
    <n v="3"/>
    <n v="2"/>
    <s v="Medical"/>
    <x v="0"/>
    <n v="1624"/>
    <n v="2"/>
    <s v="Female"/>
    <n v="70"/>
    <n v="3"/>
    <n v="1"/>
    <s v="Sales Representative"/>
    <n v="4"/>
    <s v="Single"/>
    <n v="1569"/>
    <n v="18420"/>
    <n v="1"/>
    <s v="Y"/>
    <x v="0"/>
    <n v="12"/>
    <n v="3"/>
    <n v="3"/>
    <n v="80"/>
    <n v="0"/>
    <n v="0"/>
    <n v="2"/>
    <n v="4"/>
    <n v="0"/>
    <n v="0"/>
    <n v="0"/>
    <n v="0"/>
    <s v="Low"/>
    <s v="Low"/>
    <s v="new"/>
  </r>
  <r>
    <n v="47"/>
    <x v="1"/>
    <s v="Travel_Rarely"/>
    <n v="1176"/>
    <x v="2"/>
    <n v="26"/>
    <n v="4"/>
    <s v="Life Sciences"/>
    <x v="0"/>
    <n v="1625"/>
    <n v="4"/>
    <s v="Female"/>
    <n v="98"/>
    <n v="3"/>
    <n v="5"/>
    <s v="Manager"/>
    <n v="3"/>
    <s v="Married"/>
    <n v="19658"/>
    <n v="5220"/>
    <n v="3"/>
    <s v="Y"/>
    <x v="1"/>
    <n v="11"/>
    <n v="3"/>
    <n v="3"/>
    <n v="80"/>
    <n v="1"/>
    <n v="27"/>
    <n v="2"/>
    <n v="3"/>
    <n v="5"/>
    <n v="2"/>
    <n v="1"/>
    <n v="0"/>
    <s v="High"/>
    <s v="High"/>
    <s v="Experienced"/>
  </r>
  <r>
    <n v="39"/>
    <x v="1"/>
    <s v="Travel_Rarely"/>
    <n v="170"/>
    <x v="1"/>
    <n v="3"/>
    <n v="2"/>
    <s v="Medical"/>
    <x v="0"/>
    <n v="1627"/>
    <n v="3"/>
    <s v="Male"/>
    <n v="76"/>
    <n v="2"/>
    <n v="2"/>
    <s v="Laboratory Technician"/>
    <n v="3"/>
    <s v="Divorced"/>
    <n v="3069"/>
    <n v="10302"/>
    <n v="0"/>
    <s v="Y"/>
    <x v="1"/>
    <n v="15"/>
    <n v="3"/>
    <n v="4"/>
    <n v="80"/>
    <n v="1"/>
    <n v="11"/>
    <n v="3"/>
    <n v="3"/>
    <n v="10"/>
    <n v="8"/>
    <n v="0"/>
    <n v="7"/>
    <s v="Low"/>
    <s v="Low"/>
    <s v="High"/>
  </r>
  <r>
    <n v="40"/>
    <x v="1"/>
    <s v="Travel_Rarely"/>
    <n v="884"/>
    <x v="1"/>
    <n v="15"/>
    <n v="3"/>
    <s v="Life Sciences"/>
    <x v="0"/>
    <n v="1628"/>
    <n v="1"/>
    <s v="Female"/>
    <n v="80"/>
    <n v="2"/>
    <n v="3"/>
    <s v="Manufacturing Director"/>
    <n v="3"/>
    <s v="Married"/>
    <n v="10435"/>
    <n v="25800"/>
    <n v="1"/>
    <s v="Y"/>
    <x v="1"/>
    <n v="13"/>
    <n v="3"/>
    <n v="4"/>
    <n v="80"/>
    <n v="2"/>
    <n v="18"/>
    <n v="2"/>
    <n v="3"/>
    <n v="18"/>
    <n v="15"/>
    <n v="14"/>
    <n v="12"/>
    <s v="High"/>
    <s v="High"/>
    <s v="High"/>
  </r>
  <r>
    <n v="35"/>
    <x v="1"/>
    <s v="Non-Travel"/>
    <n v="208"/>
    <x v="1"/>
    <n v="8"/>
    <n v="4"/>
    <s v="Life Sciences"/>
    <x v="0"/>
    <n v="1630"/>
    <n v="3"/>
    <s v="Female"/>
    <n v="52"/>
    <n v="3"/>
    <n v="2"/>
    <s v="Healthcare Representative"/>
    <n v="3"/>
    <s v="Married"/>
    <n v="4148"/>
    <n v="12250"/>
    <n v="1"/>
    <s v="Y"/>
    <x v="1"/>
    <n v="12"/>
    <n v="3"/>
    <n v="4"/>
    <n v="80"/>
    <n v="1"/>
    <n v="15"/>
    <n v="5"/>
    <n v="3"/>
    <n v="14"/>
    <n v="11"/>
    <n v="2"/>
    <n v="9"/>
    <s v="Low"/>
    <s v="Medium"/>
    <s v="High"/>
  </r>
  <r>
    <n v="37"/>
    <x v="1"/>
    <s v="Travel_Rarely"/>
    <n v="671"/>
    <x v="1"/>
    <n v="19"/>
    <n v="3"/>
    <s v="Life Sciences"/>
    <x v="0"/>
    <n v="1631"/>
    <n v="3"/>
    <s v="Male"/>
    <n v="85"/>
    <n v="3"/>
    <n v="2"/>
    <s v="Manufacturing Director"/>
    <n v="3"/>
    <s v="Married"/>
    <n v="5768"/>
    <n v="26493"/>
    <n v="3"/>
    <s v="Y"/>
    <x v="1"/>
    <n v="17"/>
    <n v="3"/>
    <n v="1"/>
    <n v="80"/>
    <n v="3"/>
    <n v="9"/>
    <n v="2"/>
    <n v="2"/>
    <n v="4"/>
    <n v="3"/>
    <n v="0"/>
    <n v="2"/>
    <s v="Low"/>
    <s v="Medium"/>
    <s v="Experienced"/>
  </r>
  <r>
    <n v="39"/>
    <x v="1"/>
    <s v="Travel_Frequently"/>
    <n v="711"/>
    <x v="1"/>
    <n v="4"/>
    <n v="3"/>
    <s v="Medical"/>
    <x v="0"/>
    <n v="1633"/>
    <n v="1"/>
    <s v="Female"/>
    <n v="81"/>
    <n v="3"/>
    <n v="2"/>
    <s v="Manufacturing Director"/>
    <n v="3"/>
    <s v="Single"/>
    <n v="5042"/>
    <n v="3140"/>
    <n v="0"/>
    <s v="Y"/>
    <x v="1"/>
    <n v="13"/>
    <n v="3"/>
    <n v="4"/>
    <n v="80"/>
    <n v="0"/>
    <n v="10"/>
    <n v="2"/>
    <n v="1"/>
    <n v="9"/>
    <n v="2"/>
    <n v="3"/>
    <n v="8"/>
    <s v="Low"/>
    <s v="Medium"/>
    <s v="High"/>
  </r>
  <r>
    <n v="45"/>
    <x v="1"/>
    <s v="Travel_Rarely"/>
    <n v="1329"/>
    <x v="1"/>
    <n v="2"/>
    <n v="2"/>
    <s v="Other"/>
    <x v="0"/>
    <n v="1635"/>
    <n v="4"/>
    <s v="Female"/>
    <n v="59"/>
    <n v="2"/>
    <n v="2"/>
    <s v="Manufacturing Director"/>
    <n v="4"/>
    <s v="Divorced"/>
    <n v="5770"/>
    <n v="5388"/>
    <n v="1"/>
    <s v="Y"/>
    <x v="1"/>
    <n v="19"/>
    <n v="3"/>
    <n v="1"/>
    <n v="80"/>
    <n v="2"/>
    <n v="10"/>
    <n v="3"/>
    <n v="3"/>
    <n v="10"/>
    <n v="7"/>
    <n v="3"/>
    <n v="9"/>
    <s v="Low"/>
    <s v="Medium"/>
    <s v="High"/>
  </r>
  <r>
    <n v="38"/>
    <x v="1"/>
    <s v="Travel_Rarely"/>
    <n v="397"/>
    <x v="1"/>
    <n v="2"/>
    <n v="2"/>
    <s v="Medical"/>
    <x v="0"/>
    <n v="1638"/>
    <n v="4"/>
    <s v="Female"/>
    <n v="54"/>
    <n v="2"/>
    <n v="3"/>
    <s v="Manufacturing Director"/>
    <n v="3"/>
    <s v="Married"/>
    <n v="7756"/>
    <n v="14199"/>
    <n v="3"/>
    <s v="Y"/>
    <x v="0"/>
    <n v="19"/>
    <n v="3"/>
    <n v="4"/>
    <n v="80"/>
    <n v="1"/>
    <n v="10"/>
    <n v="6"/>
    <n v="4"/>
    <n v="5"/>
    <n v="4"/>
    <n v="0"/>
    <n v="2"/>
    <s v="High"/>
    <s v="Medium"/>
    <s v="Experienced"/>
  </r>
  <r>
    <n v="35"/>
    <x v="0"/>
    <s v="Travel_Rarely"/>
    <n v="737"/>
    <x v="0"/>
    <n v="10"/>
    <n v="3"/>
    <s v="Medical"/>
    <x v="0"/>
    <n v="1639"/>
    <n v="4"/>
    <s v="Male"/>
    <n v="55"/>
    <n v="2"/>
    <n v="3"/>
    <s v="Sales Executive"/>
    <n v="1"/>
    <s v="Married"/>
    <n v="10306"/>
    <n v="21530"/>
    <n v="9"/>
    <s v="Y"/>
    <x v="1"/>
    <n v="17"/>
    <n v="3"/>
    <n v="3"/>
    <n v="80"/>
    <n v="0"/>
    <n v="15"/>
    <n v="3"/>
    <n v="3"/>
    <n v="13"/>
    <n v="12"/>
    <n v="6"/>
    <n v="0"/>
    <s v="High"/>
    <s v="High"/>
    <s v="High"/>
  </r>
  <r>
    <n v="37"/>
    <x v="1"/>
    <s v="Travel_Rarely"/>
    <n v="1470"/>
    <x v="1"/>
    <n v="10"/>
    <n v="3"/>
    <s v="Medical"/>
    <x v="0"/>
    <n v="1640"/>
    <n v="2"/>
    <s v="Female"/>
    <n v="71"/>
    <n v="3"/>
    <n v="1"/>
    <s v="Research Scientist"/>
    <n v="2"/>
    <s v="Married"/>
    <n v="3936"/>
    <n v="9953"/>
    <n v="1"/>
    <s v="Y"/>
    <x v="1"/>
    <n v="11"/>
    <n v="3"/>
    <n v="1"/>
    <n v="80"/>
    <n v="1"/>
    <n v="8"/>
    <n v="2"/>
    <n v="1"/>
    <n v="8"/>
    <n v="4"/>
    <n v="7"/>
    <n v="7"/>
    <s v="Low"/>
    <s v="Low"/>
    <s v="High"/>
  </r>
  <r>
    <n v="40"/>
    <x v="1"/>
    <s v="Travel_Rarely"/>
    <n v="448"/>
    <x v="1"/>
    <n v="16"/>
    <n v="3"/>
    <s v="Life Sciences"/>
    <x v="0"/>
    <n v="1641"/>
    <n v="3"/>
    <s v="Female"/>
    <n v="84"/>
    <n v="3"/>
    <n v="3"/>
    <s v="Manufacturing Director"/>
    <n v="4"/>
    <s v="Single"/>
    <n v="7945"/>
    <n v="19948"/>
    <n v="6"/>
    <s v="Y"/>
    <x v="0"/>
    <n v="15"/>
    <n v="3"/>
    <n v="4"/>
    <n v="80"/>
    <n v="0"/>
    <n v="18"/>
    <n v="2"/>
    <n v="2"/>
    <n v="4"/>
    <n v="2"/>
    <n v="3"/>
    <n v="3"/>
    <s v="High"/>
    <s v="Medium"/>
    <s v="Experienced"/>
  </r>
  <r>
    <n v="44"/>
    <x v="1"/>
    <s v="Travel_Frequently"/>
    <n v="602"/>
    <x v="2"/>
    <n v="1"/>
    <n v="5"/>
    <s v="Human Resources"/>
    <x v="0"/>
    <n v="1642"/>
    <n v="1"/>
    <s v="Male"/>
    <n v="37"/>
    <n v="3"/>
    <n v="2"/>
    <s v="Human Resources"/>
    <n v="4"/>
    <s v="Married"/>
    <n v="5743"/>
    <n v="10503"/>
    <n v="4"/>
    <s v="Y"/>
    <x v="0"/>
    <n v="11"/>
    <n v="3"/>
    <n v="3"/>
    <n v="80"/>
    <n v="0"/>
    <n v="14"/>
    <n v="3"/>
    <n v="3"/>
    <n v="10"/>
    <n v="7"/>
    <n v="0"/>
    <n v="2"/>
    <s v="Low"/>
    <s v="Medium"/>
    <s v="High"/>
  </r>
  <r>
    <n v="48"/>
    <x v="1"/>
    <s v="Travel_Frequently"/>
    <n v="365"/>
    <x v="1"/>
    <n v="4"/>
    <n v="5"/>
    <s v="Medical"/>
    <x v="0"/>
    <n v="1644"/>
    <n v="3"/>
    <s v="Male"/>
    <n v="89"/>
    <n v="2"/>
    <n v="4"/>
    <s v="Manager"/>
    <n v="4"/>
    <s v="Married"/>
    <n v="15202"/>
    <n v="5602"/>
    <n v="2"/>
    <s v="Y"/>
    <x v="1"/>
    <n v="25"/>
    <n v="4"/>
    <n v="2"/>
    <n v="80"/>
    <n v="1"/>
    <n v="23"/>
    <n v="3"/>
    <n v="3"/>
    <n v="2"/>
    <n v="2"/>
    <n v="2"/>
    <n v="2"/>
    <s v="High"/>
    <s v="High"/>
    <s v="new"/>
  </r>
  <r>
    <n v="35"/>
    <x v="0"/>
    <s v="Travel_Rarely"/>
    <n v="763"/>
    <x v="0"/>
    <n v="15"/>
    <n v="2"/>
    <s v="Medical"/>
    <x v="0"/>
    <n v="1645"/>
    <n v="1"/>
    <s v="Male"/>
    <n v="59"/>
    <n v="1"/>
    <n v="2"/>
    <s v="Sales Executive"/>
    <n v="4"/>
    <s v="Divorced"/>
    <n v="5440"/>
    <n v="22098"/>
    <n v="6"/>
    <s v="Y"/>
    <x v="0"/>
    <n v="14"/>
    <n v="3"/>
    <n v="4"/>
    <n v="80"/>
    <n v="2"/>
    <n v="7"/>
    <n v="2"/>
    <n v="2"/>
    <n v="2"/>
    <n v="2"/>
    <n v="2"/>
    <n v="2"/>
    <s v="Low"/>
    <s v="Medium"/>
    <s v="new"/>
  </r>
  <r>
    <n v="24"/>
    <x v="1"/>
    <s v="Travel_Frequently"/>
    <n v="567"/>
    <x v="1"/>
    <n v="2"/>
    <n v="1"/>
    <s v="Technical Degree"/>
    <x v="0"/>
    <n v="1646"/>
    <n v="1"/>
    <s v="Female"/>
    <n v="32"/>
    <n v="3"/>
    <n v="1"/>
    <s v="Research Scientist"/>
    <n v="4"/>
    <s v="Single"/>
    <n v="3760"/>
    <n v="17218"/>
    <n v="1"/>
    <s v="Y"/>
    <x v="0"/>
    <n v="13"/>
    <n v="3"/>
    <n v="3"/>
    <n v="80"/>
    <n v="0"/>
    <n v="6"/>
    <n v="2"/>
    <n v="3"/>
    <n v="6"/>
    <n v="3"/>
    <n v="1"/>
    <n v="3"/>
    <s v="Low"/>
    <s v="Low"/>
    <s v="Experienced"/>
  </r>
  <r>
    <n v="27"/>
    <x v="1"/>
    <s v="Travel_Rarely"/>
    <n v="486"/>
    <x v="1"/>
    <n v="8"/>
    <n v="3"/>
    <s v="Medical"/>
    <x v="0"/>
    <n v="1647"/>
    <n v="2"/>
    <s v="Female"/>
    <n v="86"/>
    <n v="4"/>
    <n v="1"/>
    <s v="Research Scientist"/>
    <n v="3"/>
    <s v="Married"/>
    <n v="3517"/>
    <n v="22490"/>
    <n v="7"/>
    <s v="Y"/>
    <x v="1"/>
    <n v="17"/>
    <n v="3"/>
    <n v="1"/>
    <n v="80"/>
    <n v="0"/>
    <n v="5"/>
    <n v="0"/>
    <n v="3"/>
    <n v="3"/>
    <n v="2"/>
    <n v="0"/>
    <n v="2"/>
    <s v="Low"/>
    <s v="Low"/>
    <s v="Experienced"/>
  </r>
  <r>
    <n v="27"/>
    <x v="1"/>
    <s v="Travel_Frequently"/>
    <n v="591"/>
    <x v="1"/>
    <n v="2"/>
    <n v="3"/>
    <s v="Medical"/>
    <x v="0"/>
    <n v="1648"/>
    <n v="4"/>
    <s v="Male"/>
    <n v="87"/>
    <n v="3"/>
    <n v="1"/>
    <s v="Research Scientist"/>
    <n v="4"/>
    <s v="Single"/>
    <n v="2580"/>
    <n v="6297"/>
    <n v="2"/>
    <s v="Y"/>
    <x v="1"/>
    <n v="13"/>
    <n v="3"/>
    <n v="3"/>
    <n v="80"/>
    <n v="0"/>
    <n v="6"/>
    <n v="0"/>
    <n v="2"/>
    <n v="4"/>
    <n v="2"/>
    <n v="1"/>
    <n v="2"/>
    <s v="Low"/>
    <s v="Low"/>
    <s v="Experienced"/>
  </r>
  <r>
    <n v="40"/>
    <x v="0"/>
    <s v="Travel_Rarely"/>
    <n v="1329"/>
    <x v="1"/>
    <n v="7"/>
    <n v="3"/>
    <s v="Life Sciences"/>
    <x v="0"/>
    <n v="1649"/>
    <n v="1"/>
    <s v="Male"/>
    <n v="73"/>
    <n v="3"/>
    <n v="1"/>
    <s v="Laboratory Technician"/>
    <n v="1"/>
    <s v="Single"/>
    <n v="2166"/>
    <n v="3339"/>
    <n v="3"/>
    <s v="Y"/>
    <x v="0"/>
    <n v="14"/>
    <n v="3"/>
    <n v="2"/>
    <n v="80"/>
    <n v="0"/>
    <n v="10"/>
    <n v="3"/>
    <n v="1"/>
    <n v="4"/>
    <n v="2"/>
    <n v="0"/>
    <n v="3"/>
    <s v="Low"/>
    <s v="Low"/>
    <s v="Experienced"/>
  </r>
  <r>
    <n v="29"/>
    <x v="1"/>
    <s v="Travel_Rarely"/>
    <n v="469"/>
    <x v="0"/>
    <n v="10"/>
    <n v="3"/>
    <s v="Medical"/>
    <x v="0"/>
    <n v="1650"/>
    <n v="3"/>
    <s v="Male"/>
    <n v="42"/>
    <n v="2"/>
    <n v="2"/>
    <s v="Sales Executive"/>
    <n v="3"/>
    <s v="Single"/>
    <n v="5869"/>
    <n v="23413"/>
    <n v="9"/>
    <s v="Y"/>
    <x v="1"/>
    <n v="11"/>
    <n v="3"/>
    <n v="3"/>
    <n v="80"/>
    <n v="0"/>
    <n v="8"/>
    <n v="2"/>
    <n v="3"/>
    <n v="5"/>
    <n v="2"/>
    <n v="1"/>
    <n v="4"/>
    <s v="Low"/>
    <s v="Medium"/>
    <s v="Experienced"/>
  </r>
  <r>
    <n v="36"/>
    <x v="1"/>
    <s v="Travel_Rarely"/>
    <n v="711"/>
    <x v="1"/>
    <n v="5"/>
    <n v="4"/>
    <s v="Life Sciences"/>
    <x v="0"/>
    <n v="1651"/>
    <n v="2"/>
    <s v="Female"/>
    <n v="42"/>
    <n v="3"/>
    <n v="3"/>
    <s v="Healthcare Representative"/>
    <n v="1"/>
    <s v="Married"/>
    <n v="8008"/>
    <n v="22792"/>
    <n v="4"/>
    <s v="Y"/>
    <x v="1"/>
    <n v="12"/>
    <n v="3"/>
    <n v="3"/>
    <n v="80"/>
    <n v="2"/>
    <n v="9"/>
    <n v="6"/>
    <n v="3"/>
    <n v="3"/>
    <n v="2"/>
    <n v="0"/>
    <n v="2"/>
    <s v="High"/>
    <s v="High"/>
    <s v="Experienced"/>
  </r>
  <r>
    <n v="25"/>
    <x v="1"/>
    <s v="Travel_Frequently"/>
    <n v="772"/>
    <x v="1"/>
    <n v="2"/>
    <n v="1"/>
    <s v="Life Sciences"/>
    <x v="0"/>
    <n v="1653"/>
    <n v="4"/>
    <s v="Male"/>
    <n v="77"/>
    <n v="4"/>
    <n v="2"/>
    <s v="Manufacturing Director"/>
    <n v="3"/>
    <s v="Divorced"/>
    <n v="5206"/>
    <n v="4973"/>
    <n v="1"/>
    <s v="Y"/>
    <x v="1"/>
    <n v="17"/>
    <n v="3"/>
    <n v="3"/>
    <n v="80"/>
    <n v="2"/>
    <n v="7"/>
    <n v="6"/>
    <n v="3"/>
    <n v="7"/>
    <n v="7"/>
    <n v="0"/>
    <n v="7"/>
    <s v="Low"/>
    <s v="Medium"/>
    <s v="Experienced"/>
  </r>
  <r>
    <n v="39"/>
    <x v="1"/>
    <s v="Travel_Rarely"/>
    <n v="492"/>
    <x v="1"/>
    <n v="12"/>
    <n v="3"/>
    <s v="Medical"/>
    <x v="0"/>
    <n v="1654"/>
    <n v="4"/>
    <s v="Male"/>
    <n v="66"/>
    <n v="3"/>
    <n v="2"/>
    <s v="Manufacturing Director"/>
    <n v="2"/>
    <s v="Married"/>
    <n v="5295"/>
    <n v="7693"/>
    <n v="4"/>
    <s v="Y"/>
    <x v="1"/>
    <n v="21"/>
    <n v="4"/>
    <n v="3"/>
    <n v="80"/>
    <n v="0"/>
    <n v="7"/>
    <n v="3"/>
    <n v="3"/>
    <n v="5"/>
    <n v="4"/>
    <n v="1"/>
    <n v="0"/>
    <s v="Low"/>
    <s v="Medium"/>
    <s v="Experienced"/>
  </r>
  <r>
    <n v="49"/>
    <x v="1"/>
    <s v="Travel_Rarely"/>
    <n v="301"/>
    <x v="1"/>
    <n v="22"/>
    <n v="4"/>
    <s v="Other"/>
    <x v="0"/>
    <n v="1655"/>
    <n v="1"/>
    <s v="Female"/>
    <n v="72"/>
    <n v="3"/>
    <n v="4"/>
    <s v="Research Director"/>
    <n v="2"/>
    <s v="Married"/>
    <n v="16413"/>
    <n v="3498"/>
    <n v="3"/>
    <s v="Y"/>
    <x v="1"/>
    <n v="16"/>
    <n v="3"/>
    <n v="2"/>
    <n v="80"/>
    <n v="2"/>
    <n v="27"/>
    <n v="2"/>
    <n v="3"/>
    <n v="4"/>
    <n v="2"/>
    <n v="1"/>
    <n v="2"/>
    <s v="High"/>
    <s v="High"/>
    <s v="Experienced"/>
  </r>
  <r>
    <n v="50"/>
    <x v="1"/>
    <s v="Travel_Rarely"/>
    <n v="813"/>
    <x v="1"/>
    <n v="17"/>
    <n v="5"/>
    <s v="Life Sciences"/>
    <x v="0"/>
    <n v="1656"/>
    <n v="4"/>
    <s v="Female"/>
    <n v="50"/>
    <n v="2"/>
    <n v="3"/>
    <s v="Research Director"/>
    <n v="1"/>
    <s v="Divorced"/>
    <n v="13269"/>
    <n v="21981"/>
    <n v="5"/>
    <s v="Y"/>
    <x v="1"/>
    <n v="15"/>
    <n v="3"/>
    <n v="3"/>
    <n v="80"/>
    <n v="3"/>
    <n v="19"/>
    <n v="3"/>
    <n v="3"/>
    <n v="14"/>
    <n v="11"/>
    <n v="1"/>
    <n v="11"/>
    <s v="High"/>
    <s v="High"/>
    <s v="High"/>
  </r>
  <r>
    <n v="20"/>
    <x v="1"/>
    <s v="Travel_Rarely"/>
    <n v="1141"/>
    <x v="0"/>
    <n v="2"/>
    <n v="3"/>
    <s v="Medical"/>
    <x v="0"/>
    <n v="1657"/>
    <n v="3"/>
    <s v="Female"/>
    <n v="31"/>
    <n v="3"/>
    <n v="1"/>
    <s v="Sales Representative"/>
    <n v="3"/>
    <s v="Single"/>
    <n v="2783"/>
    <n v="13251"/>
    <n v="1"/>
    <s v="Y"/>
    <x v="1"/>
    <n v="19"/>
    <n v="3"/>
    <n v="1"/>
    <n v="80"/>
    <n v="0"/>
    <n v="2"/>
    <n v="3"/>
    <n v="3"/>
    <n v="2"/>
    <n v="2"/>
    <n v="2"/>
    <n v="2"/>
    <s v="Low"/>
    <s v="Low"/>
    <s v="new"/>
  </r>
  <r>
    <n v="34"/>
    <x v="1"/>
    <s v="Travel_Rarely"/>
    <n v="1130"/>
    <x v="1"/>
    <n v="3"/>
    <n v="3"/>
    <s v="Life Sciences"/>
    <x v="0"/>
    <n v="1658"/>
    <n v="4"/>
    <s v="Female"/>
    <n v="66"/>
    <n v="3"/>
    <n v="2"/>
    <s v="Research Scientist"/>
    <n v="2"/>
    <s v="Divorced"/>
    <n v="5433"/>
    <n v="19332"/>
    <n v="1"/>
    <s v="Y"/>
    <x v="1"/>
    <n v="12"/>
    <n v="3"/>
    <n v="3"/>
    <n v="80"/>
    <n v="1"/>
    <n v="11"/>
    <n v="2"/>
    <n v="3"/>
    <n v="11"/>
    <n v="8"/>
    <n v="7"/>
    <n v="9"/>
    <s v="Low"/>
    <s v="Medium"/>
    <s v="High"/>
  </r>
  <r>
    <n v="36"/>
    <x v="1"/>
    <s v="Travel_Rarely"/>
    <n v="311"/>
    <x v="1"/>
    <n v="7"/>
    <n v="3"/>
    <s v="Life Sciences"/>
    <x v="0"/>
    <n v="1659"/>
    <n v="1"/>
    <s v="Male"/>
    <n v="77"/>
    <n v="3"/>
    <n v="1"/>
    <s v="Laboratory Technician"/>
    <n v="2"/>
    <s v="Single"/>
    <n v="2013"/>
    <n v="10950"/>
    <n v="2"/>
    <s v="Y"/>
    <x v="1"/>
    <n v="11"/>
    <n v="3"/>
    <n v="3"/>
    <n v="80"/>
    <n v="0"/>
    <n v="15"/>
    <n v="4"/>
    <n v="3"/>
    <n v="4"/>
    <n v="3"/>
    <n v="1"/>
    <n v="3"/>
    <s v="Low"/>
    <s v="Low"/>
    <s v="Experienced"/>
  </r>
  <r>
    <n v="49"/>
    <x v="1"/>
    <s v="Travel_Rarely"/>
    <n v="465"/>
    <x v="1"/>
    <n v="6"/>
    <n v="1"/>
    <s v="Life Sciences"/>
    <x v="0"/>
    <n v="1661"/>
    <n v="3"/>
    <s v="Female"/>
    <n v="41"/>
    <n v="2"/>
    <n v="4"/>
    <s v="Healthcare Representative"/>
    <n v="3"/>
    <s v="Married"/>
    <n v="13966"/>
    <n v="11652"/>
    <n v="2"/>
    <s v="Y"/>
    <x v="0"/>
    <n v="19"/>
    <n v="3"/>
    <n v="2"/>
    <n v="80"/>
    <n v="1"/>
    <n v="30"/>
    <n v="3"/>
    <n v="3"/>
    <n v="15"/>
    <n v="11"/>
    <n v="2"/>
    <n v="12"/>
    <s v="High"/>
    <s v="High"/>
    <s v="High"/>
  </r>
  <r>
    <n v="36"/>
    <x v="1"/>
    <s v="Non-Travel"/>
    <n v="894"/>
    <x v="1"/>
    <n v="1"/>
    <n v="4"/>
    <s v="Medical"/>
    <x v="0"/>
    <n v="1662"/>
    <n v="4"/>
    <s v="Female"/>
    <n v="33"/>
    <n v="2"/>
    <n v="2"/>
    <s v="Manufacturing Director"/>
    <n v="3"/>
    <s v="Married"/>
    <n v="4374"/>
    <n v="15411"/>
    <n v="0"/>
    <s v="Y"/>
    <x v="1"/>
    <n v="15"/>
    <n v="3"/>
    <n v="3"/>
    <n v="80"/>
    <n v="0"/>
    <n v="4"/>
    <n v="6"/>
    <n v="3"/>
    <n v="3"/>
    <n v="2"/>
    <n v="1"/>
    <n v="2"/>
    <s v="Low"/>
    <s v="Medium"/>
    <s v="Experienced"/>
  </r>
  <r>
    <n v="36"/>
    <x v="1"/>
    <s v="Travel_Rarely"/>
    <n v="1040"/>
    <x v="1"/>
    <n v="3"/>
    <n v="2"/>
    <s v="Life Sciences"/>
    <x v="0"/>
    <n v="1664"/>
    <n v="4"/>
    <s v="Male"/>
    <n v="79"/>
    <n v="4"/>
    <n v="2"/>
    <s v="Healthcare Representative"/>
    <n v="1"/>
    <s v="Divorced"/>
    <n v="6842"/>
    <n v="26308"/>
    <n v="6"/>
    <s v="Y"/>
    <x v="1"/>
    <n v="20"/>
    <n v="4"/>
    <n v="1"/>
    <n v="80"/>
    <n v="1"/>
    <n v="13"/>
    <n v="3"/>
    <n v="3"/>
    <n v="5"/>
    <n v="4"/>
    <n v="0"/>
    <n v="4"/>
    <s v="High"/>
    <s v="Medium"/>
    <s v="Experienced"/>
  </r>
  <r>
    <n v="54"/>
    <x v="1"/>
    <s v="Travel_Rarely"/>
    <n v="584"/>
    <x v="1"/>
    <n v="22"/>
    <n v="5"/>
    <s v="Medical"/>
    <x v="0"/>
    <n v="1665"/>
    <n v="2"/>
    <s v="Female"/>
    <n v="91"/>
    <n v="3"/>
    <n v="4"/>
    <s v="Manager"/>
    <n v="3"/>
    <s v="Married"/>
    <n v="17426"/>
    <n v="18685"/>
    <n v="3"/>
    <s v="Y"/>
    <x v="1"/>
    <n v="25"/>
    <n v="4"/>
    <n v="3"/>
    <n v="80"/>
    <n v="1"/>
    <n v="36"/>
    <n v="6"/>
    <n v="3"/>
    <n v="10"/>
    <n v="8"/>
    <n v="4"/>
    <n v="7"/>
    <s v="High"/>
    <s v="High"/>
    <s v="High"/>
  </r>
  <r>
    <n v="43"/>
    <x v="1"/>
    <s v="Travel_Rarely"/>
    <n v="1291"/>
    <x v="1"/>
    <n v="15"/>
    <n v="2"/>
    <s v="Life Sciences"/>
    <x v="0"/>
    <n v="1666"/>
    <n v="3"/>
    <s v="Male"/>
    <n v="65"/>
    <n v="2"/>
    <n v="4"/>
    <s v="Research Director"/>
    <n v="3"/>
    <s v="Married"/>
    <n v="17603"/>
    <n v="3525"/>
    <n v="1"/>
    <s v="Y"/>
    <x v="1"/>
    <n v="24"/>
    <n v="4"/>
    <n v="1"/>
    <n v="80"/>
    <n v="1"/>
    <n v="14"/>
    <n v="3"/>
    <n v="3"/>
    <n v="14"/>
    <n v="10"/>
    <n v="6"/>
    <n v="11"/>
    <s v="High"/>
    <s v="High"/>
    <s v="High"/>
  </r>
  <r>
    <n v="35"/>
    <x v="0"/>
    <s v="Travel_Frequently"/>
    <n v="880"/>
    <x v="0"/>
    <n v="12"/>
    <n v="4"/>
    <s v="Other"/>
    <x v="0"/>
    <n v="1667"/>
    <n v="4"/>
    <s v="Male"/>
    <n v="36"/>
    <n v="3"/>
    <n v="2"/>
    <s v="Sales Executive"/>
    <n v="4"/>
    <s v="Single"/>
    <n v="4581"/>
    <n v="10414"/>
    <n v="3"/>
    <s v="Y"/>
    <x v="0"/>
    <n v="24"/>
    <n v="4"/>
    <n v="1"/>
    <n v="80"/>
    <n v="0"/>
    <n v="13"/>
    <n v="2"/>
    <n v="4"/>
    <n v="11"/>
    <n v="9"/>
    <n v="6"/>
    <n v="7"/>
    <s v="Low"/>
    <s v="Medium"/>
    <s v="High"/>
  </r>
  <r>
    <n v="38"/>
    <x v="1"/>
    <s v="Travel_Frequently"/>
    <n v="1189"/>
    <x v="1"/>
    <n v="1"/>
    <n v="3"/>
    <s v="Life Sciences"/>
    <x v="0"/>
    <n v="1668"/>
    <n v="4"/>
    <s v="Male"/>
    <n v="90"/>
    <n v="3"/>
    <n v="2"/>
    <s v="Research Scientist"/>
    <n v="4"/>
    <s v="Married"/>
    <n v="4735"/>
    <n v="9867"/>
    <n v="7"/>
    <s v="Y"/>
    <x v="1"/>
    <n v="15"/>
    <n v="3"/>
    <n v="4"/>
    <n v="80"/>
    <n v="2"/>
    <n v="19"/>
    <n v="4"/>
    <n v="4"/>
    <n v="13"/>
    <n v="11"/>
    <n v="2"/>
    <n v="9"/>
    <s v="Low"/>
    <s v="Medium"/>
    <s v="High"/>
  </r>
  <r>
    <n v="29"/>
    <x v="1"/>
    <s v="Travel_Rarely"/>
    <n v="991"/>
    <x v="0"/>
    <n v="5"/>
    <n v="3"/>
    <s v="Medical"/>
    <x v="0"/>
    <n v="1669"/>
    <n v="1"/>
    <s v="Male"/>
    <n v="43"/>
    <n v="2"/>
    <n v="2"/>
    <s v="Sales Executive"/>
    <n v="2"/>
    <s v="Divorced"/>
    <n v="4187"/>
    <n v="3356"/>
    <n v="1"/>
    <s v="Y"/>
    <x v="0"/>
    <n v="13"/>
    <n v="3"/>
    <n v="2"/>
    <n v="80"/>
    <n v="1"/>
    <n v="10"/>
    <n v="3"/>
    <n v="2"/>
    <n v="10"/>
    <n v="0"/>
    <n v="0"/>
    <n v="9"/>
    <s v="Low"/>
    <s v="Medium"/>
    <s v="High"/>
  </r>
  <r>
    <n v="33"/>
    <x v="1"/>
    <s v="Travel_Rarely"/>
    <n v="392"/>
    <x v="0"/>
    <n v="2"/>
    <n v="4"/>
    <s v="Medical"/>
    <x v="0"/>
    <n v="1670"/>
    <n v="4"/>
    <s v="Male"/>
    <n v="93"/>
    <n v="3"/>
    <n v="2"/>
    <s v="Sales Executive"/>
    <n v="4"/>
    <s v="Divorced"/>
    <n v="5505"/>
    <n v="3921"/>
    <n v="1"/>
    <s v="Y"/>
    <x v="1"/>
    <n v="14"/>
    <n v="3"/>
    <n v="3"/>
    <n v="80"/>
    <n v="2"/>
    <n v="6"/>
    <n v="5"/>
    <n v="3"/>
    <n v="6"/>
    <n v="2"/>
    <n v="0"/>
    <n v="4"/>
    <s v="Low"/>
    <s v="Medium"/>
    <s v="Experienced"/>
  </r>
  <r>
    <n v="32"/>
    <x v="1"/>
    <s v="Travel_Rarely"/>
    <n v="977"/>
    <x v="1"/>
    <n v="2"/>
    <n v="3"/>
    <s v="Medical"/>
    <x v="0"/>
    <n v="1671"/>
    <n v="4"/>
    <s v="Male"/>
    <n v="45"/>
    <n v="3"/>
    <n v="2"/>
    <s v="Research Scientist"/>
    <n v="2"/>
    <s v="Divorced"/>
    <n v="5470"/>
    <n v="25518"/>
    <n v="0"/>
    <s v="Y"/>
    <x v="1"/>
    <n v="13"/>
    <n v="3"/>
    <n v="3"/>
    <n v="80"/>
    <n v="2"/>
    <n v="10"/>
    <n v="4"/>
    <n v="2"/>
    <n v="9"/>
    <n v="5"/>
    <n v="1"/>
    <n v="6"/>
    <s v="Low"/>
    <s v="Medium"/>
    <s v="High"/>
  </r>
  <r>
    <n v="31"/>
    <x v="1"/>
    <s v="Travel_Rarely"/>
    <n v="1112"/>
    <x v="0"/>
    <n v="5"/>
    <n v="4"/>
    <s v="Life Sciences"/>
    <x v="0"/>
    <n v="1673"/>
    <n v="1"/>
    <s v="Female"/>
    <n v="67"/>
    <n v="3"/>
    <n v="2"/>
    <s v="Sales Executive"/>
    <n v="4"/>
    <s v="Married"/>
    <n v="5476"/>
    <n v="22589"/>
    <n v="1"/>
    <s v="Y"/>
    <x v="1"/>
    <n v="11"/>
    <n v="3"/>
    <n v="1"/>
    <n v="80"/>
    <n v="2"/>
    <n v="10"/>
    <n v="2"/>
    <n v="3"/>
    <n v="10"/>
    <n v="0"/>
    <n v="0"/>
    <n v="2"/>
    <s v="Low"/>
    <s v="Medium"/>
    <s v="High"/>
  </r>
  <r>
    <n v="49"/>
    <x v="1"/>
    <s v="Travel_Rarely"/>
    <n v="464"/>
    <x v="1"/>
    <n v="16"/>
    <n v="3"/>
    <s v="Medical"/>
    <x v="0"/>
    <n v="1674"/>
    <n v="4"/>
    <s v="Female"/>
    <n v="74"/>
    <n v="3"/>
    <n v="1"/>
    <s v="Laboratory Technician"/>
    <n v="1"/>
    <s v="Divorced"/>
    <n v="2587"/>
    <n v="24941"/>
    <n v="4"/>
    <s v="Y"/>
    <x v="0"/>
    <n v="16"/>
    <n v="3"/>
    <n v="2"/>
    <n v="80"/>
    <n v="1"/>
    <n v="17"/>
    <n v="2"/>
    <n v="2"/>
    <n v="2"/>
    <n v="2"/>
    <n v="2"/>
    <n v="2"/>
    <s v="Low"/>
    <s v="Low"/>
    <s v="new"/>
  </r>
  <r>
    <n v="38"/>
    <x v="1"/>
    <s v="Travel_Frequently"/>
    <n v="148"/>
    <x v="1"/>
    <n v="2"/>
    <n v="3"/>
    <s v="Medical"/>
    <x v="0"/>
    <n v="1675"/>
    <n v="4"/>
    <s v="Female"/>
    <n v="42"/>
    <n v="2"/>
    <n v="1"/>
    <s v="Laboratory Technician"/>
    <n v="2"/>
    <s v="Single"/>
    <n v="2440"/>
    <n v="23826"/>
    <n v="1"/>
    <s v="Y"/>
    <x v="1"/>
    <n v="22"/>
    <n v="4"/>
    <n v="2"/>
    <n v="80"/>
    <n v="0"/>
    <n v="4"/>
    <n v="3"/>
    <n v="3"/>
    <n v="4"/>
    <n v="3"/>
    <n v="3"/>
    <n v="3"/>
    <s v="Low"/>
    <s v="Low"/>
    <s v="Experienced"/>
  </r>
  <r>
    <n v="47"/>
    <x v="1"/>
    <s v="Travel_Rarely"/>
    <n v="1225"/>
    <x v="0"/>
    <n v="2"/>
    <n v="4"/>
    <s v="Life Sciences"/>
    <x v="0"/>
    <n v="1676"/>
    <n v="2"/>
    <s v="Female"/>
    <n v="47"/>
    <n v="4"/>
    <n v="4"/>
    <s v="Manager"/>
    <n v="2"/>
    <s v="Divorced"/>
    <n v="15972"/>
    <n v="21086"/>
    <n v="6"/>
    <s v="Y"/>
    <x v="1"/>
    <n v="14"/>
    <n v="3"/>
    <n v="3"/>
    <n v="80"/>
    <n v="3"/>
    <n v="29"/>
    <n v="2"/>
    <n v="3"/>
    <n v="3"/>
    <n v="2"/>
    <n v="1"/>
    <n v="2"/>
    <s v="High"/>
    <s v="High"/>
    <s v="Experienced"/>
  </r>
  <r>
    <n v="49"/>
    <x v="1"/>
    <s v="Travel_Rarely"/>
    <n v="809"/>
    <x v="1"/>
    <n v="1"/>
    <n v="3"/>
    <s v="Life Sciences"/>
    <x v="0"/>
    <n v="1677"/>
    <n v="3"/>
    <s v="Male"/>
    <n v="36"/>
    <n v="3"/>
    <n v="4"/>
    <s v="Manager"/>
    <n v="3"/>
    <s v="Single"/>
    <n v="15379"/>
    <n v="22384"/>
    <n v="4"/>
    <s v="Y"/>
    <x v="1"/>
    <n v="14"/>
    <n v="3"/>
    <n v="1"/>
    <n v="80"/>
    <n v="0"/>
    <n v="23"/>
    <n v="2"/>
    <n v="3"/>
    <n v="8"/>
    <n v="7"/>
    <n v="0"/>
    <n v="0"/>
    <s v="High"/>
    <s v="High"/>
    <s v="High"/>
  </r>
  <r>
    <n v="41"/>
    <x v="1"/>
    <s v="Travel_Rarely"/>
    <n v="1206"/>
    <x v="0"/>
    <n v="23"/>
    <n v="2"/>
    <s v="Life Sciences"/>
    <x v="0"/>
    <n v="1678"/>
    <n v="4"/>
    <s v="Male"/>
    <n v="80"/>
    <n v="3"/>
    <n v="3"/>
    <s v="Sales Executive"/>
    <n v="3"/>
    <s v="Single"/>
    <n v="7082"/>
    <n v="11591"/>
    <n v="3"/>
    <s v="Y"/>
    <x v="0"/>
    <n v="16"/>
    <n v="3"/>
    <n v="4"/>
    <n v="80"/>
    <n v="0"/>
    <n v="21"/>
    <n v="2"/>
    <n v="3"/>
    <n v="2"/>
    <n v="0"/>
    <n v="0"/>
    <n v="2"/>
    <s v="High"/>
    <s v="Medium"/>
    <s v="new"/>
  </r>
  <r>
    <n v="20"/>
    <x v="1"/>
    <s v="Travel_Rarely"/>
    <n v="727"/>
    <x v="0"/>
    <n v="9"/>
    <n v="1"/>
    <s v="Life Sciences"/>
    <x v="0"/>
    <n v="1680"/>
    <n v="4"/>
    <s v="Male"/>
    <n v="54"/>
    <n v="3"/>
    <n v="1"/>
    <s v="Sales Representative"/>
    <n v="1"/>
    <s v="Single"/>
    <n v="2728"/>
    <n v="21082"/>
    <n v="1"/>
    <s v="Y"/>
    <x v="1"/>
    <n v="11"/>
    <n v="3"/>
    <n v="1"/>
    <n v="80"/>
    <n v="0"/>
    <n v="2"/>
    <n v="3"/>
    <n v="3"/>
    <n v="2"/>
    <n v="2"/>
    <n v="0"/>
    <n v="2"/>
    <s v="Low"/>
    <s v="Low"/>
    <s v="new"/>
  </r>
  <r>
    <n v="33"/>
    <x v="1"/>
    <s v="Non-Travel"/>
    <n v="530"/>
    <x v="0"/>
    <n v="16"/>
    <n v="3"/>
    <s v="Life Sciences"/>
    <x v="0"/>
    <n v="1681"/>
    <n v="3"/>
    <s v="Female"/>
    <n v="36"/>
    <n v="3"/>
    <n v="2"/>
    <s v="Sales Executive"/>
    <n v="4"/>
    <s v="Divorced"/>
    <n v="5368"/>
    <n v="16130"/>
    <n v="1"/>
    <s v="Y"/>
    <x v="0"/>
    <n v="25"/>
    <n v="4"/>
    <n v="3"/>
    <n v="80"/>
    <n v="1"/>
    <n v="7"/>
    <n v="2"/>
    <n v="3"/>
    <n v="6"/>
    <n v="5"/>
    <n v="1"/>
    <n v="2"/>
    <s v="Low"/>
    <s v="Medium"/>
    <s v="Experienced"/>
  </r>
  <r>
    <n v="36"/>
    <x v="1"/>
    <s v="Travel_Rarely"/>
    <n v="1351"/>
    <x v="1"/>
    <n v="26"/>
    <n v="4"/>
    <s v="Life Sciences"/>
    <x v="0"/>
    <n v="1682"/>
    <n v="1"/>
    <s v="Male"/>
    <n v="80"/>
    <n v="3"/>
    <n v="2"/>
    <s v="Healthcare Representative"/>
    <n v="3"/>
    <s v="Married"/>
    <n v="5347"/>
    <n v="7419"/>
    <n v="6"/>
    <s v="Y"/>
    <x v="1"/>
    <n v="14"/>
    <n v="3"/>
    <n v="2"/>
    <n v="80"/>
    <n v="2"/>
    <n v="10"/>
    <n v="2"/>
    <n v="2"/>
    <n v="3"/>
    <n v="2"/>
    <n v="0"/>
    <n v="2"/>
    <s v="Low"/>
    <s v="Medium"/>
    <s v="Experienced"/>
  </r>
  <r>
    <n v="44"/>
    <x v="1"/>
    <s v="Travel_Rarely"/>
    <n v="528"/>
    <x v="2"/>
    <n v="1"/>
    <n v="3"/>
    <s v="Life Sciences"/>
    <x v="0"/>
    <n v="1683"/>
    <n v="3"/>
    <s v="Female"/>
    <n v="44"/>
    <n v="3"/>
    <n v="1"/>
    <s v="Human Resources"/>
    <n v="4"/>
    <s v="Divorced"/>
    <n v="3195"/>
    <n v="4167"/>
    <n v="4"/>
    <s v="Y"/>
    <x v="0"/>
    <n v="18"/>
    <n v="3"/>
    <n v="1"/>
    <n v="80"/>
    <n v="3"/>
    <n v="8"/>
    <n v="2"/>
    <n v="3"/>
    <n v="2"/>
    <n v="2"/>
    <n v="2"/>
    <n v="2"/>
    <s v="Low"/>
    <s v="Low"/>
    <s v="new"/>
  </r>
  <r>
    <n v="23"/>
    <x v="0"/>
    <s v="Travel_Rarely"/>
    <n v="1320"/>
    <x v="1"/>
    <n v="8"/>
    <n v="1"/>
    <s v="Medical"/>
    <x v="0"/>
    <n v="1684"/>
    <n v="4"/>
    <s v="Male"/>
    <n v="93"/>
    <n v="2"/>
    <n v="1"/>
    <s v="Laboratory Technician"/>
    <n v="3"/>
    <s v="Single"/>
    <n v="3989"/>
    <n v="20586"/>
    <n v="1"/>
    <s v="Y"/>
    <x v="0"/>
    <n v="11"/>
    <n v="3"/>
    <n v="1"/>
    <n v="80"/>
    <n v="0"/>
    <n v="5"/>
    <n v="2"/>
    <n v="3"/>
    <n v="5"/>
    <n v="4"/>
    <n v="1"/>
    <n v="2"/>
    <s v="Low"/>
    <s v="Low"/>
    <s v="Experienced"/>
  </r>
  <r>
    <n v="38"/>
    <x v="1"/>
    <s v="Travel_Rarely"/>
    <n v="1495"/>
    <x v="1"/>
    <n v="4"/>
    <n v="2"/>
    <s v="Medical"/>
    <x v="0"/>
    <n v="1687"/>
    <n v="4"/>
    <s v="Female"/>
    <n v="87"/>
    <n v="3"/>
    <n v="1"/>
    <s v="Laboratory Technician"/>
    <n v="3"/>
    <s v="Married"/>
    <n v="3306"/>
    <n v="26176"/>
    <n v="7"/>
    <s v="Y"/>
    <x v="1"/>
    <n v="19"/>
    <n v="3"/>
    <n v="4"/>
    <n v="80"/>
    <n v="1"/>
    <n v="7"/>
    <n v="5"/>
    <n v="2"/>
    <n v="0"/>
    <n v="0"/>
    <n v="0"/>
    <n v="0"/>
    <s v="Low"/>
    <s v="Low"/>
    <s v="new"/>
  </r>
  <r>
    <n v="53"/>
    <x v="1"/>
    <s v="Travel_Rarely"/>
    <n v="1395"/>
    <x v="1"/>
    <n v="24"/>
    <n v="4"/>
    <s v="Medical"/>
    <x v="0"/>
    <n v="1689"/>
    <n v="2"/>
    <s v="Male"/>
    <n v="48"/>
    <n v="4"/>
    <n v="3"/>
    <s v="Healthcare Representative"/>
    <n v="4"/>
    <s v="Married"/>
    <n v="7005"/>
    <n v="3458"/>
    <n v="3"/>
    <s v="Y"/>
    <x v="1"/>
    <n v="15"/>
    <n v="3"/>
    <n v="3"/>
    <n v="80"/>
    <n v="0"/>
    <n v="11"/>
    <n v="2"/>
    <n v="3"/>
    <n v="4"/>
    <n v="3"/>
    <n v="1"/>
    <n v="2"/>
    <s v="High"/>
    <s v="Medium"/>
    <s v="Experienced"/>
  </r>
  <r>
    <n v="48"/>
    <x v="0"/>
    <s v="Travel_Frequently"/>
    <n v="708"/>
    <x v="0"/>
    <n v="7"/>
    <n v="2"/>
    <s v="Medical"/>
    <x v="0"/>
    <n v="1691"/>
    <n v="4"/>
    <s v="Female"/>
    <n v="95"/>
    <n v="3"/>
    <n v="1"/>
    <s v="Sales Representative"/>
    <n v="3"/>
    <s v="Married"/>
    <n v="2655"/>
    <n v="11740"/>
    <n v="2"/>
    <s v="Y"/>
    <x v="0"/>
    <n v="11"/>
    <n v="3"/>
    <n v="3"/>
    <n v="80"/>
    <n v="2"/>
    <n v="19"/>
    <n v="3"/>
    <n v="3"/>
    <n v="9"/>
    <n v="7"/>
    <n v="7"/>
    <n v="7"/>
    <s v="Low"/>
    <s v="Low"/>
    <s v="High"/>
  </r>
  <r>
    <n v="32"/>
    <x v="0"/>
    <s v="Travel_Rarely"/>
    <n v="1259"/>
    <x v="1"/>
    <n v="2"/>
    <n v="4"/>
    <s v="Life Sciences"/>
    <x v="0"/>
    <n v="1692"/>
    <n v="4"/>
    <s v="Male"/>
    <n v="95"/>
    <n v="3"/>
    <n v="1"/>
    <s v="Laboratory Technician"/>
    <n v="2"/>
    <s v="Single"/>
    <n v="1393"/>
    <n v="24852"/>
    <n v="1"/>
    <s v="Y"/>
    <x v="1"/>
    <n v="12"/>
    <n v="3"/>
    <n v="1"/>
    <n v="80"/>
    <n v="0"/>
    <n v="1"/>
    <n v="2"/>
    <n v="3"/>
    <n v="1"/>
    <n v="0"/>
    <n v="0"/>
    <n v="0"/>
    <s v="Low"/>
    <s v="Low"/>
    <s v="new"/>
  </r>
  <r>
    <n v="26"/>
    <x v="1"/>
    <s v="Non-Travel"/>
    <n v="786"/>
    <x v="1"/>
    <n v="7"/>
    <n v="3"/>
    <s v="Medical"/>
    <x v="0"/>
    <n v="1693"/>
    <n v="4"/>
    <s v="Male"/>
    <n v="76"/>
    <n v="3"/>
    <n v="1"/>
    <s v="Laboratory Technician"/>
    <n v="4"/>
    <s v="Single"/>
    <n v="2570"/>
    <n v="11925"/>
    <n v="1"/>
    <s v="Y"/>
    <x v="1"/>
    <n v="20"/>
    <n v="4"/>
    <n v="3"/>
    <n v="80"/>
    <n v="0"/>
    <n v="7"/>
    <n v="5"/>
    <n v="3"/>
    <n v="7"/>
    <n v="7"/>
    <n v="5"/>
    <n v="7"/>
    <s v="Low"/>
    <s v="Low"/>
    <s v="Experienced"/>
  </r>
  <r>
    <n v="55"/>
    <x v="1"/>
    <s v="Travel_Rarely"/>
    <n v="1441"/>
    <x v="1"/>
    <n v="22"/>
    <n v="3"/>
    <s v="Technical Degree"/>
    <x v="0"/>
    <n v="1694"/>
    <n v="1"/>
    <s v="Male"/>
    <n v="94"/>
    <n v="2"/>
    <n v="1"/>
    <s v="Research Scientist"/>
    <n v="2"/>
    <s v="Divorced"/>
    <n v="3537"/>
    <n v="23737"/>
    <n v="5"/>
    <s v="Y"/>
    <x v="1"/>
    <n v="12"/>
    <n v="3"/>
    <n v="4"/>
    <n v="80"/>
    <n v="1"/>
    <n v="8"/>
    <n v="1"/>
    <n v="3"/>
    <n v="4"/>
    <n v="2"/>
    <n v="1"/>
    <n v="2"/>
    <s v="Low"/>
    <s v="Low"/>
    <s v="Experienced"/>
  </r>
  <r>
    <n v="34"/>
    <x v="1"/>
    <s v="Travel_Rarely"/>
    <n v="1157"/>
    <x v="1"/>
    <n v="5"/>
    <n v="2"/>
    <s v="Medical"/>
    <x v="0"/>
    <n v="1696"/>
    <n v="2"/>
    <s v="Male"/>
    <n v="57"/>
    <n v="2"/>
    <n v="2"/>
    <s v="Laboratory Technician"/>
    <n v="4"/>
    <s v="Married"/>
    <n v="3986"/>
    <n v="11912"/>
    <n v="1"/>
    <s v="Y"/>
    <x v="1"/>
    <n v="14"/>
    <n v="3"/>
    <n v="3"/>
    <n v="80"/>
    <n v="1"/>
    <n v="15"/>
    <n v="3"/>
    <n v="4"/>
    <n v="15"/>
    <n v="10"/>
    <n v="4"/>
    <n v="13"/>
    <s v="Low"/>
    <s v="Low"/>
    <s v="High"/>
  </r>
  <r>
    <n v="60"/>
    <x v="1"/>
    <s v="Travel_Rarely"/>
    <n v="370"/>
    <x v="1"/>
    <n v="1"/>
    <n v="4"/>
    <s v="Medical"/>
    <x v="0"/>
    <n v="1697"/>
    <n v="3"/>
    <s v="Male"/>
    <n v="92"/>
    <n v="1"/>
    <n v="3"/>
    <s v="Healthcare Representative"/>
    <n v="4"/>
    <s v="Divorced"/>
    <n v="10883"/>
    <n v="20467"/>
    <n v="3"/>
    <s v="Y"/>
    <x v="1"/>
    <n v="20"/>
    <n v="4"/>
    <n v="3"/>
    <n v="80"/>
    <n v="1"/>
    <n v="19"/>
    <n v="2"/>
    <n v="4"/>
    <n v="1"/>
    <n v="0"/>
    <n v="0"/>
    <n v="0"/>
    <s v="High"/>
    <s v="High"/>
    <s v="new"/>
  </r>
  <r>
    <n v="33"/>
    <x v="1"/>
    <s v="Travel_Rarely"/>
    <n v="267"/>
    <x v="1"/>
    <n v="21"/>
    <n v="3"/>
    <s v="Medical"/>
    <x v="0"/>
    <n v="1698"/>
    <n v="2"/>
    <s v="Male"/>
    <n v="79"/>
    <n v="4"/>
    <n v="1"/>
    <s v="Laboratory Technician"/>
    <n v="2"/>
    <s v="Married"/>
    <n v="2028"/>
    <n v="13637"/>
    <n v="1"/>
    <s v="Y"/>
    <x v="1"/>
    <n v="18"/>
    <n v="3"/>
    <n v="4"/>
    <n v="80"/>
    <n v="3"/>
    <n v="14"/>
    <n v="6"/>
    <n v="3"/>
    <n v="14"/>
    <n v="11"/>
    <n v="2"/>
    <n v="13"/>
    <s v="Low"/>
    <s v="Low"/>
    <s v="High"/>
  </r>
  <r>
    <n v="37"/>
    <x v="1"/>
    <s v="Travel_Frequently"/>
    <n v="1278"/>
    <x v="0"/>
    <n v="1"/>
    <n v="4"/>
    <s v="Medical"/>
    <x v="0"/>
    <n v="1700"/>
    <n v="3"/>
    <s v="Male"/>
    <n v="31"/>
    <n v="1"/>
    <n v="2"/>
    <s v="Sales Executive"/>
    <n v="4"/>
    <s v="Divorced"/>
    <n v="9525"/>
    <n v="7677"/>
    <n v="1"/>
    <s v="Y"/>
    <x v="1"/>
    <n v="14"/>
    <n v="3"/>
    <n v="3"/>
    <n v="80"/>
    <n v="2"/>
    <n v="6"/>
    <n v="2"/>
    <n v="2"/>
    <n v="6"/>
    <n v="3"/>
    <n v="1"/>
    <n v="3"/>
    <s v="High"/>
    <s v="High"/>
    <s v="Experienced"/>
  </r>
  <r>
    <n v="34"/>
    <x v="1"/>
    <s v="Travel_Rarely"/>
    <n v="678"/>
    <x v="1"/>
    <n v="19"/>
    <n v="3"/>
    <s v="Life Sciences"/>
    <x v="0"/>
    <n v="1701"/>
    <n v="2"/>
    <s v="Female"/>
    <n v="35"/>
    <n v="2"/>
    <n v="1"/>
    <s v="Research Scientist"/>
    <n v="4"/>
    <s v="Married"/>
    <n v="2929"/>
    <n v="20338"/>
    <n v="1"/>
    <s v="Y"/>
    <x v="1"/>
    <n v="12"/>
    <n v="3"/>
    <n v="2"/>
    <n v="80"/>
    <n v="0"/>
    <n v="10"/>
    <n v="3"/>
    <n v="3"/>
    <n v="10"/>
    <n v="9"/>
    <n v="8"/>
    <n v="7"/>
    <s v="Low"/>
    <s v="Low"/>
    <s v="High"/>
  </r>
  <r>
    <n v="23"/>
    <x v="0"/>
    <s v="Travel_Rarely"/>
    <n v="427"/>
    <x v="0"/>
    <n v="7"/>
    <n v="3"/>
    <s v="Life Sciences"/>
    <x v="0"/>
    <n v="1702"/>
    <n v="3"/>
    <s v="Male"/>
    <n v="99"/>
    <n v="3"/>
    <n v="1"/>
    <s v="Sales Representative"/>
    <n v="4"/>
    <s v="Divorced"/>
    <n v="2275"/>
    <n v="25103"/>
    <n v="1"/>
    <s v="Y"/>
    <x v="0"/>
    <n v="21"/>
    <n v="4"/>
    <n v="2"/>
    <n v="80"/>
    <n v="1"/>
    <n v="3"/>
    <n v="2"/>
    <n v="3"/>
    <n v="3"/>
    <n v="2"/>
    <n v="0"/>
    <n v="2"/>
    <s v="Low"/>
    <s v="Low"/>
    <s v="Experienced"/>
  </r>
  <r>
    <n v="44"/>
    <x v="1"/>
    <s v="Travel_Rarely"/>
    <n v="921"/>
    <x v="1"/>
    <n v="2"/>
    <n v="3"/>
    <s v="Life Sciences"/>
    <x v="0"/>
    <n v="1703"/>
    <n v="3"/>
    <s v="Female"/>
    <n v="96"/>
    <n v="4"/>
    <n v="3"/>
    <s v="Healthcare Representative"/>
    <n v="4"/>
    <s v="Married"/>
    <n v="7879"/>
    <n v="14810"/>
    <n v="1"/>
    <s v="Y"/>
    <x v="0"/>
    <n v="19"/>
    <n v="3"/>
    <n v="2"/>
    <n v="80"/>
    <n v="1"/>
    <n v="9"/>
    <n v="2"/>
    <n v="3"/>
    <n v="8"/>
    <n v="7"/>
    <n v="6"/>
    <n v="7"/>
    <s v="High"/>
    <s v="Medium"/>
    <s v="High"/>
  </r>
  <r>
    <n v="35"/>
    <x v="1"/>
    <s v="Travel_Frequently"/>
    <n v="146"/>
    <x v="1"/>
    <n v="2"/>
    <n v="4"/>
    <s v="Medical"/>
    <x v="0"/>
    <n v="1704"/>
    <n v="1"/>
    <s v="Male"/>
    <n v="79"/>
    <n v="2"/>
    <n v="1"/>
    <s v="Research Scientist"/>
    <n v="4"/>
    <s v="Single"/>
    <n v="4930"/>
    <n v="13970"/>
    <n v="0"/>
    <s v="Y"/>
    <x v="0"/>
    <n v="14"/>
    <n v="3"/>
    <n v="3"/>
    <n v="80"/>
    <n v="0"/>
    <n v="6"/>
    <n v="2"/>
    <n v="4"/>
    <n v="5"/>
    <n v="4"/>
    <n v="1"/>
    <n v="4"/>
    <s v="Low"/>
    <s v="Medium"/>
    <s v="Experienced"/>
  </r>
  <r>
    <n v="43"/>
    <x v="1"/>
    <s v="Travel_Rarely"/>
    <n v="1179"/>
    <x v="0"/>
    <n v="2"/>
    <n v="3"/>
    <s v="Medical"/>
    <x v="0"/>
    <n v="1706"/>
    <n v="4"/>
    <s v="Male"/>
    <n v="73"/>
    <n v="3"/>
    <n v="2"/>
    <s v="Sales Executive"/>
    <n v="4"/>
    <s v="Married"/>
    <n v="7847"/>
    <n v="6069"/>
    <n v="1"/>
    <s v="Y"/>
    <x v="0"/>
    <n v="17"/>
    <n v="3"/>
    <n v="1"/>
    <n v="80"/>
    <n v="1"/>
    <n v="10"/>
    <n v="3"/>
    <n v="3"/>
    <n v="10"/>
    <n v="9"/>
    <n v="8"/>
    <n v="8"/>
    <s v="High"/>
    <s v="Medium"/>
    <s v="High"/>
  </r>
  <r>
    <n v="24"/>
    <x v="1"/>
    <s v="Travel_Rarely"/>
    <n v="581"/>
    <x v="1"/>
    <n v="9"/>
    <n v="3"/>
    <s v="Medical"/>
    <x v="0"/>
    <n v="1707"/>
    <n v="3"/>
    <s v="Male"/>
    <n v="62"/>
    <n v="4"/>
    <n v="1"/>
    <s v="Research Scientist"/>
    <n v="3"/>
    <s v="Married"/>
    <n v="4401"/>
    <n v="17616"/>
    <n v="1"/>
    <s v="Y"/>
    <x v="1"/>
    <n v="16"/>
    <n v="3"/>
    <n v="4"/>
    <n v="80"/>
    <n v="1"/>
    <n v="5"/>
    <n v="1"/>
    <n v="3"/>
    <n v="5"/>
    <n v="3"/>
    <n v="0"/>
    <n v="4"/>
    <s v="Low"/>
    <s v="Medium"/>
    <s v="Experienced"/>
  </r>
  <r>
    <n v="41"/>
    <x v="1"/>
    <s v="Travel_Rarely"/>
    <n v="918"/>
    <x v="0"/>
    <n v="6"/>
    <n v="3"/>
    <s v="Marketing"/>
    <x v="0"/>
    <n v="1708"/>
    <n v="4"/>
    <s v="Male"/>
    <n v="35"/>
    <n v="3"/>
    <n v="3"/>
    <s v="Sales Executive"/>
    <n v="3"/>
    <s v="Single"/>
    <n v="9241"/>
    <n v="15869"/>
    <n v="1"/>
    <s v="Y"/>
    <x v="1"/>
    <n v="12"/>
    <n v="3"/>
    <n v="2"/>
    <n v="80"/>
    <n v="0"/>
    <n v="10"/>
    <n v="3"/>
    <n v="3"/>
    <n v="10"/>
    <n v="8"/>
    <n v="8"/>
    <n v="7"/>
    <s v="High"/>
    <s v="High"/>
    <s v="High"/>
  </r>
  <r>
    <n v="29"/>
    <x v="1"/>
    <s v="Travel_Rarely"/>
    <n v="1082"/>
    <x v="1"/>
    <n v="9"/>
    <n v="4"/>
    <s v="Medical"/>
    <x v="0"/>
    <n v="1709"/>
    <n v="4"/>
    <s v="Female"/>
    <n v="43"/>
    <n v="3"/>
    <n v="1"/>
    <s v="Laboratory Technician"/>
    <n v="3"/>
    <s v="Married"/>
    <n v="2974"/>
    <n v="25412"/>
    <n v="9"/>
    <s v="Y"/>
    <x v="1"/>
    <n v="17"/>
    <n v="3"/>
    <n v="3"/>
    <n v="80"/>
    <n v="1"/>
    <n v="9"/>
    <n v="2"/>
    <n v="3"/>
    <n v="5"/>
    <n v="3"/>
    <n v="1"/>
    <n v="2"/>
    <s v="Low"/>
    <s v="Low"/>
    <s v="Experienced"/>
  </r>
  <r>
    <n v="36"/>
    <x v="1"/>
    <s v="Travel_Rarely"/>
    <n v="530"/>
    <x v="0"/>
    <n v="2"/>
    <n v="4"/>
    <s v="Life Sciences"/>
    <x v="0"/>
    <n v="1710"/>
    <n v="3"/>
    <s v="Female"/>
    <n v="51"/>
    <n v="3"/>
    <n v="2"/>
    <s v="Sales Representative"/>
    <n v="4"/>
    <s v="Single"/>
    <n v="4502"/>
    <n v="7439"/>
    <n v="3"/>
    <s v="Y"/>
    <x v="1"/>
    <n v="15"/>
    <n v="3"/>
    <n v="3"/>
    <n v="80"/>
    <n v="0"/>
    <n v="17"/>
    <n v="2"/>
    <n v="2"/>
    <n v="13"/>
    <n v="7"/>
    <n v="6"/>
    <n v="7"/>
    <s v="Low"/>
    <s v="Medium"/>
    <s v="High"/>
  </r>
  <r>
    <n v="45"/>
    <x v="1"/>
    <s v="Non-Travel"/>
    <n v="1238"/>
    <x v="1"/>
    <n v="1"/>
    <n v="1"/>
    <s v="Life Sciences"/>
    <x v="0"/>
    <n v="1712"/>
    <n v="3"/>
    <s v="Male"/>
    <n v="74"/>
    <n v="2"/>
    <n v="3"/>
    <s v="Healthcare Representative"/>
    <n v="3"/>
    <s v="Married"/>
    <n v="10748"/>
    <n v="3395"/>
    <n v="3"/>
    <s v="Y"/>
    <x v="1"/>
    <n v="23"/>
    <n v="4"/>
    <n v="4"/>
    <n v="80"/>
    <n v="1"/>
    <n v="25"/>
    <n v="3"/>
    <n v="2"/>
    <n v="23"/>
    <n v="15"/>
    <n v="14"/>
    <n v="4"/>
    <s v="High"/>
    <s v="High"/>
    <s v="High"/>
  </r>
  <r>
    <n v="24"/>
    <x v="0"/>
    <s v="Travel_Rarely"/>
    <n v="240"/>
    <x v="2"/>
    <n v="22"/>
    <n v="1"/>
    <s v="Human Resources"/>
    <x v="0"/>
    <n v="1714"/>
    <n v="4"/>
    <s v="Male"/>
    <n v="58"/>
    <n v="1"/>
    <n v="1"/>
    <s v="Human Resources"/>
    <n v="3"/>
    <s v="Married"/>
    <n v="1555"/>
    <n v="11585"/>
    <n v="1"/>
    <s v="Y"/>
    <x v="1"/>
    <n v="11"/>
    <n v="3"/>
    <n v="3"/>
    <n v="80"/>
    <n v="1"/>
    <n v="1"/>
    <n v="2"/>
    <n v="3"/>
    <n v="1"/>
    <n v="0"/>
    <n v="0"/>
    <n v="0"/>
    <s v="Low"/>
    <s v="Low"/>
    <s v="new"/>
  </r>
  <r>
    <n v="47"/>
    <x v="0"/>
    <s v="Travel_Frequently"/>
    <n v="1093"/>
    <x v="0"/>
    <n v="9"/>
    <n v="3"/>
    <s v="Life Sciences"/>
    <x v="0"/>
    <n v="1716"/>
    <n v="3"/>
    <s v="Male"/>
    <n v="82"/>
    <n v="1"/>
    <n v="4"/>
    <s v="Sales Executive"/>
    <n v="3"/>
    <s v="Married"/>
    <n v="12936"/>
    <n v="24164"/>
    <n v="7"/>
    <s v="Y"/>
    <x v="1"/>
    <n v="11"/>
    <n v="3"/>
    <n v="3"/>
    <n v="80"/>
    <n v="0"/>
    <n v="25"/>
    <n v="3"/>
    <n v="1"/>
    <n v="23"/>
    <n v="5"/>
    <n v="14"/>
    <n v="10"/>
    <s v="High"/>
    <s v="High"/>
    <s v="High"/>
  </r>
  <r>
    <n v="26"/>
    <x v="1"/>
    <s v="Travel_Rarely"/>
    <n v="390"/>
    <x v="1"/>
    <n v="17"/>
    <n v="4"/>
    <s v="Medical"/>
    <x v="0"/>
    <n v="1718"/>
    <n v="4"/>
    <s v="Male"/>
    <n v="62"/>
    <n v="1"/>
    <n v="1"/>
    <s v="Laboratory Technician"/>
    <n v="3"/>
    <s v="Married"/>
    <n v="2305"/>
    <n v="6217"/>
    <n v="1"/>
    <s v="Y"/>
    <x v="1"/>
    <n v="15"/>
    <n v="3"/>
    <n v="3"/>
    <n v="80"/>
    <n v="3"/>
    <n v="3"/>
    <n v="3"/>
    <n v="4"/>
    <n v="3"/>
    <n v="2"/>
    <n v="0"/>
    <n v="2"/>
    <s v="Low"/>
    <s v="Low"/>
    <s v="Experienced"/>
  </r>
  <r>
    <n v="45"/>
    <x v="1"/>
    <s v="Travel_Rarely"/>
    <n v="1005"/>
    <x v="1"/>
    <n v="28"/>
    <n v="2"/>
    <s v="Technical Degree"/>
    <x v="0"/>
    <n v="1719"/>
    <n v="4"/>
    <s v="Female"/>
    <n v="48"/>
    <n v="2"/>
    <n v="4"/>
    <s v="Research Director"/>
    <n v="2"/>
    <s v="Single"/>
    <n v="16704"/>
    <n v="17119"/>
    <n v="1"/>
    <s v="Y"/>
    <x v="1"/>
    <n v="11"/>
    <n v="3"/>
    <n v="3"/>
    <n v="80"/>
    <n v="0"/>
    <n v="21"/>
    <n v="2"/>
    <n v="3"/>
    <n v="21"/>
    <n v="6"/>
    <n v="8"/>
    <n v="6"/>
    <s v="High"/>
    <s v="High"/>
    <s v="High"/>
  </r>
  <r>
    <n v="32"/>
    <x v="1"/>
    <s v="Travel_Frequently"/>
    <n v="585"/>
    <x v="1"/>
    <n v="10"/>
    <n v="3"/>
    <s v="Life Sciences"/>
    <x v="0"/>
    <n v="1720"/>
    <n v="1"/>
    <s v="Male"/>
    <n v="56"/>
    <n v="3"/>
    <n v="1"/>
    <s v="Research Scientist"/>
    <n v="3"/>
    <s v="Married"/>
    <n v="3433"/>
    <n v="17360"/>
    <n v="6"/>
    <s v="Y"/>
    <x v="1"/>
    <n v="13"/>
    <n v="3"/>
    <n v="1"/>
    <n v="80"/>
    <n v="1"/>
    <n v="10"/>
    <n v="3"/>
    <n v="2"/>
    <n v="5"/>
    <n v="2"/>
    <n v="1"/>
    <n v="3"/>
    <s v="Low"/>
    <s v="Low"/>
    <s v="Experienced"/>
  </r>
  <r>
    <n v="31"/>
    <x v="1"/>
    <s v="Travel_Rarely"/>
    <n v="741"/>
    <x v="1"/>
    <n v="2"/>
    <n v="4"/>
    <s v="Life Sciences"/>
    <x v="0"/>
    <n v="1721"/>
    <n v="2"/>
    <s v="Male"/>
    <n v="69"/>
    <n v="3"/>
    <n v="1"/>
    <s v="Laboratory Technician"/>
    <n v="3"/>
    <s v="Married"/>
    <n v="3477"/>
    <n v="18103"/>
    <n v="1"/>
    <s v="Y"/>
    <x v="1"/>
    <n v="14"/>
    <n v="3"/>
    <n v="4"/>
    <n v="80"/>
    <n v="1"/>
    <n v="6"/>
    <n v="2"/>
    <n v="4"/>
    <n v="5"/>
    <n v="2"/>
    <n v="0"/>
    <n v="3"/>
    <s v="Low"/>
    <s v="Low"/>
    <s v="Experienced"/>
  </r>
  <r>
    <n v="41"/>
    <x v="1"/>
    <s v="Non-Travel"/>
    <n v="552"/>
    <x v="2"/>
    <n v="4"/>
    <n v="3"/>
    <s v="Human Resources"/>
    <x v="0"/>
    <n v="1722"/>
    <n v="3"/>
    <s v="Male"/>
    <n v="60"/>
    <n v="1"/>
    <n v="2"/>
    <s v="Human Resources"/>
    <n v="2"/>
    <s v="Married"/>
    <n v="6430"/>
    <n v="20794"/>
    <n v="6"/>
    <s v="Y"/>
    <x v="1"/>
    <n v="19"/>
    <n v="3"/>
    <n v="2"/>
    <n v="80"/>
    <n v="1"/>
    <n v="10"/>
    <n v="4"/>
    <n v="3"/>
    <n v="3"/>
    <n v="2"/>
    <n v="1"/>
    <n v="2"/>
    <s v="Low"/>
    <s v="Medium"/>
    <s v="Experienced"/>
  </r>
  <r>
    <n v="40"/>
    <x v="1"/>
    <s v="Travel_Rarely"/>
    <n v="369"/>
    <x v="1"/>
    <n v="8"/>
    <n v="2"/>
    <s v="Life Sciences"/>
    <x v="0"/>
    <n v="1724"/>
    <n v="2"/>
    <s v="Female"/>
    <n v="92"/>
    <n v="3"/>
    <n v="2"/>
    <s v="Manufacturing Director"/>
    <n v="1"/>
    <s v="Married"/>
    <n v="6516"/>
    <n v="5041"/>
    <n v="2"/>
    <s v="Y"/>
    <x v="0"/>
    <n v="16"/>
    <n v="3"/>
    <n v="2"/>
    <n v="80"/>
    <n v="1"/>
    <n v="18"/>
    <n v="3"/>
    <n v="3"/>
    <n v="1"/>
    <n v="0"/>
    <n v="0"/>
    <n v="0"/>
    <s v="High"/>
    <s v="Medium"/>
    <s v="new"/>
  </r>
  <r>
    <n v="24"/>
    <x v="1"/>
    <s v="Travel_Rarely"/>
    <n v="506"/>
    <x v="1"/>
    <n v="29"/>
    <n v="1"/>
    <s v="Medical"/>
    <x v="0"/>
    <n v="1725"/>
    <n v="2"/>
    <s v="Male"/>
    <n v="91"/>
    <n v="3"/>
    <n v="1"/>
    <s v="Laboratory Technician"/>
    <n v="1"/>
    <s v="Divorced"/>
    <n v="3907"/>
    <n v="3622"/>
    <n v="1"/>
    <s v="Y"/>
    <x v="1"/>
    <n v="13"/>
    <n v="3"/>
    <n v="2"/>
    <n v="80"/>
    <n v="3"/>
    <n v="6"/>
    <n v="2"/>
    <n v="4"/>
    <n v="6"/>
    <n v="2"/>
    <n v="1"/>
    <n v="2"/>
    <s v="Low"/>
    <s v="Low"/>
    <s v="Experienced"/>
  </r>
  <r>
    <n v="46"/>
    <x v="1"/>
    <s v="Travel_Rarely"/>
    <n v="717"/>
    <x v="1"/>
    <n v="13"/>
    <n v="4"/>
    <s v="Life Sciences"/>
    <x v="0"/>
    <n v="1727"/>
    <n v="3"/>
    <s v="Male"/>
    <n v="34"/>
    <n v="3"/>
    <n v="2"/>
    <s v="Healthcare Representative"/>
    <n v="2"/>
    <s v="Single"/>
    <n v="5562"/>
    <n v="9697"/>
    <n v="6"/>
    <s v="Y"/>
    <x v="1"/>
    <n v="14"/>
    <n v="3"/>
    <n v="4"/>
    <n v="80"/>
    <n v="0"/>
    <n v="19"/>
    <n v="3"/>
    <n v="3"/>
    <n v="10"/>
    <n v="7"/>
    <n v="0"/>
    <n v="9"/>
    <s v="Low"/>
    <s v="Medium"/>
    <s v="High"/>
  </r>
  <r>
    <n v="35"/>
    <x v="1"/>
    <s v="Travel_Rarely"/>
    <n v="1370"/>
    <x v="1"/>
    <n v="27"/>
    <n v="4"/>
    <s v="Life Sciences"/>
    <x v="0"/>
    <n v="1728"/>
    <n v="4"/>
    <s v="Male"/>
    <n v="49"/>
    <n v="3"/>
    <n v="2"/>
    <s v="Manufacturing Director"/>
    <n v="3"/>
    <s v="Married"/>
    <n v="6883"/>
    <n v="5151"/>
    <n v="2"/>
    <s v="Y"/>
    <x v="1"/>
    <n v="16"/>
    <n v="3"/>
    <n v="2"/>
    <n v="80"/>
    <n v="1"/>
    <n v="17"/>
    <n v="3"/>
    <n v="3"/>
    <n v="7"/>
    <n v="7"/>
    <n v="0"/>
    <n v="7"/>
    <s v="High"/>
    <s v="Medium"/>
    <s v="Experienced"/>
  </r>
  <r>
    <n v="30"/>
    <x v="1"/>
    <s v="Travel_Rarely"/>
    <n v="793"/>
    <x v="1"/>
    <n v="16"/>
    <n v="1"/>
    <s v="Life Sciences"/>
    <x v="0"/>
    <n v="1729"/>
    <n v="2"/>
    <s v="Male"/>
    <n v="33"/>
    <n v="3"/>
    <n v="1"/>
    <s v="Research Scientist"/>
    <n v="4"/>
    <s v="Married"/>
    <n v="2862"/>
    <n v="3811"/>
    <n v="1"/>
    <s v="Y"/>
    <x v="1"/>
    <n v="12"/>
    <n v="3"/>
    <n v="2"/>
    <n v="80"/>
    <n v="1"/>
    <n v="10"/>
    <n v="2"/>
    <n v="2"/>
    <n v="10"/>
    <n v="0"/>
    <n v="0"/>
    <n v="8"/>
    <s v="Low"/>
    <s v="Low"/>
    <s v="High"/>
  </r>
  <r>
    <n v="47"/>
    <x v="1"/>
    <s v="Non-Travel"/>
    <n v="543"/>
    <x v="0"/>
    <n v="2"/>
    <n v="4"/>
    <s v="Marketing"/>
    <x v="0"/>
    <n v="1731"/>
    <n v="3"/>
    <s v="Male"/>
    <n v="87"/>
    <n v="3"/>
    <n v="2"/>
    <s v="Sales Executive"/>
    <n v="2"/>
    <s v="Married"/>
    <n v="4978"/>
    <n v="3536"/>
    <n v="7"/>
    <s v="Y"/>
    <x v="1"/>
    <n v="11"/>
    <n v="3"/>
    <n v="4"/>
    <n v="80"/>
    <n v="1"/>
    <n v="4"/>
    <n v="3"/>
    <n v="1"/>
    <n v="1"/>
    <n v="0"/>
    <n v="0"/>
    <n v="0"/>
    <s v="Low"/>
    <s v="Medium"/>
    <s v="new"/>
  </r>
  <r>
    <n v="46"/>
    <x v="1"/>
    <s v="Travel_Rarely"/>
    <n v="1277"/>
    <x v="0"/>
    <n v="2"/>
    <n v="3"/>
    <s v="Life Sciences"/>
    <x v="0"/>
    <n v="1732"/>
    <n v="3"/>
    <s v="Male"/>
    <n v="74"/>
    <n v="3"/>
    <n v="3"/>
    <s v="Sales Executive"/>
    <n v="4"/>
    <s v="Divorced"/>
    <n v="10368"/>
    <n v="5596"/>
    <n v="4"/>
    <s v="Y"/>
    <x v="0"/>
    <n v="12"/>
    <n v="3"/>
    <n v="2"/>
    <n v="80"/>
    <n v="1"/>
    <n v="13"/>
    <n v="5"/>
    <n v="2"/>
    <n v="10"/>
    <n v="6"/>
    <n v="0"/>
    <n v="3"/>
    <s v="High"/>
    <s v="High"/>
    <s v="High"/>
  </r>
  <r>
    <n v="36"/>
    <x v="0"/>
    <s v="Travel_Rarely"/>
    <n v="1456"/>
    <x v="0"/>
    <n v="13"/>
    <n v="5"/>
    <s v="Marketing"/>
    <x v="0"/>
    <n v="1733"/>
    <n v="2"/>
    <s v="Male"/>
    <n v="96"/>
    <n v="2"/>
    <n v="2"/>
    <s v="Sales Executive"/>
    <n v="1"/>
    <s v="Divorced"/>
    <n v="6134"/>
    <n v="8658"/>
    <n v="5"/>
    <s v="Y"/>
    <x v="0"/>
    <n v="13"/>
    <n v="3"/>
    <n v="2"/>
    <n v="80"/>
    <n v="3"/>
    <n v="16"/>
    <n v="3"/>
    <n v="3"/>
    <n v="2"/>
    <n v="2"/>
    <n v="2"/>
    <n v="2"/>
    <s v="Low"/>
    <s v="Medium"/>
    <s v="new"/>
  </r>
  <r>
    <n v="32"/>
    <x v="0"/>
    <s v="Travel_Rarely"/>
    <n v="964"/>
    <x v="0"/>
    <n v="1"/>
    <n v="2"/>
    <s v="Life Sciences"/>
    <x v="0"/>
    <n v="1734"/>
    <n v="1"/>
    <s v="Male"/>
    <n v="34"/>
    <n v="1"/>
    <n v="2"/>
    <s v="Sales Executive"/>
    <n v="2"/>
    <s v="Single"/>
    <n v="6735"/>
    <n v="12147"/>
    <n v="6"/>
    <s v="Y"/>
    <x v="1"/>
    <n v="15"/>
    <n v="3"/>
    <n v="2"/>
    <n v="80"/>
    <n v="0"/>
    <n v="10"/>
    <n v="2"/>
    <n v="3"/>
    <n v="0"/>
    <n v="0"/>
    <n v="0"/>
    <n v="0"/>
    <s v="High"/>
    <s v="Medium"/>
    <s v="new"/>
  </r>
  <r>
    <n v="23"/>
    <x v="1"/>
    <s v="Travel_Rarely"/>
    <n v="160"/>
    <x v="1"/>
    <n v="4"/>
    <n v="1"/>
    <s v="Medical"/>
    <x v="0"/>
    <n v="1735"/>
    <n v="3"/>
    <s v="Female"/>
    <n v="51"/>
    <n v="3"/>
    <n v="1"/>
    <s v="Laboratory Technician"/>
    <n v="2"/>
    <s v="Single"/>
    <n v="3295"/>
    <n v="12862"/>
    <n v="1"/>
    <s v="Y"/>
    <x v="1"/>
    <n v="13"/>
    <n v="3"/>
    <n v="3"/>
    <n v="80"/>
    <n v="0"/>
    <n v="3"/>
    <n v="3"/>
    <n v="1"/>
    <n v="3"/>
    <n v="2"/>
    <n v="1"/>
    <n v="2"/>
    <s v="Low"/>
    <s v="Low"/>
    <s v="Experienced"/>
  </r>
  <r>
    <n v="31"/>
    <x v="1"/>
    <s v="Travel_Frequently"/>
    <n v="163"/>
    <x v="1"/>
    <n v="24"/>
    <n v="1"/>
    <s v="Technical Degree"/>
    <x v="0"/>
    <n v="1736"/>
    <n v="4"/>
    <s v="Female"/>
    <n v="30"/>
    <n v="3"/>
    <n v="2"/>
    <s v="Manufacturing Director"/>
    <n v="4"/>
    <s v="Single"/>
    <n v="5238"/>
    <n v="6670"/>
    <n v="2"/>
    <s v="Y"/>
    <x v="1"/>
    <n v="20"/>
    <n v="4"/>
    <n v="4"/>
    <n v="80"/>
    <n v="0"/>
    <n v="9"/>
    <n v="3"/>
    <n v="2"/>
    <n v="5"/>
    <n v="4"/>
    <n v="1"/>
    <n v="4"/>
    <s v="Low"/>
    <s v="Medium"/>
    <s v="Experienced"/>
  </r>
  <r>
    <n v="39"/>
    <x v="1"/>
    <s v="Non-Travel"/>
    <n v="792"/>
    <x v="1"/>
    <n v="1"/>
    <n v="3"/>
    <s v="Life Sciences"/>
    <x v="0"/>
    <n v="1737"/>
    <n v="4"/>
    <s v="Male"/>
    <n v="77"/>
    <n v="3"/>
    <n v="2"/>
    <s v="Laboratory Technician"/>
    <n v="4"/>
    <s v="Married"/>
    <n v="6472"/>
    <n v="8989"/>
    <n v="1"/>
    <s v="Y"/>
    <x v="0"/>
    <n v="15"/>
    <n v="3"/>
    <n v="4"/>
    <n v="80"/>
    <n v="1"/>
    <n v="9"/>
    <n v="2"/>
    <n v="3"/>
    <n v="9"/>
    <n v="8"/>
    <n v="5"/>
    <n v="8"/>
    <s v="Low"/>
    <s v="Medium"/>
    <s v="High"/>
  </r>
  <r>
    <n v="32"/>
    <x v="1"/>
    <s v="Travel_Rarely"/>
    <n v="371"/>
    <x v="0"/>
    <n v="19"/>
    <n v="3"/>
    <s v="Life Sciences"/>
    <x v="0"/>
    <n v="1739"/>
    <n v="4"/>
    <s v="Male"/>
    <n v="80"/>
    <n v="1"/>
    <n v="3"/>
    <s v="Sales Executive"/>
    <n v="3"/>
    <s v="Married"/>
    <n v="9610"/>
    <n v="3840"/>
    <n v="3"/>
    <s v="Y"/>
    <x v="1"/>
    <n v="13"/>
    <n v="3"/>
    <n v="3"/>
    <n v="80"/>
    <n v="1"/>
    <n v="10"/>
    <n v="2"/>
    <n v="1"/>
    <n v="4"/>
    <n v="3"/>
    <n v="0"/>
    <n v="2"/>
    <s v="High"/>
    <s v="High"/>
    <s v="Experienced"/>
  </r>
  <r>
    <n v="40"/>
    <x v="1"/>
    <s v="Travel_Rarely"/>
    <n v="611"/>
    <x v="0"/>
    <n v="7"/>
    <n v="4"/>
    <s v="Medical"/>
    <x v="0"/>
    <n v="1740"/>
    <n v="2"/>
    <s v="Male"/>
    <n v="88"/>
    <n v="3"/>
    <n v="5"/>
    <s v="Manager"/>
    <n v="2"/>
    <s v="Single"/>
    <n v="19833"/>
    <n v="4349"/>
    <n v="1"/>
    <s v="Y"/>
    <x v="1"/>
    <n v="14"/>
    <n v="3"/>
    <n v="2"/>
    <n v="80"/>
    <n v="0"/>
    <n v="21"/>
    <n v="3"/>
    <n v="2"/>
    <n v="21"/>
    <n v="8"/>
    <n v="12"/>
    <n v="8"/>
    <s v="High"/>
    <s v="High"/>
    <s v="High"/>
  </r>
  <r>
    <n v="45"/>
    <x v="1"/>
    <s v="Travel_Rarely"/>
    <n v="176"/>
    <x v="2"/>
    <n v="4"/>
    <n v="3"/>
    <s v="Life Sciences"/>
    <x v="0"/>
    <n v="1744"/>
    <n v="3"/>
    <s v="Female"/>
    <n v="56"/>
    <n v="1"/>
    <n v="3"/>
    <s v="Human Resources"/>
    <n v="3"/>
    <s v="Married"/>
    <n v="9756"/>
    <n v="6595"/>
    <n v="4"/>
    <s v="Y"/>
    <x v="1"/>
    <n v="21"/>
    <n v="4"/>
    <n v="3"/>
    <n v="80"/>
    <n v="2"/>
    <n v="9"/>
    <n v="2"/>
    <n v="4"/>
    <n v="5"/>
    <n v="0"/>
    <n v="0"/>
    <n v="3"/>
    <s v="High"/>
    <s v="High"/>
    <s v="Experienced"/>
  </r>
  <r>
    <n v="30"/>
    <x v="1"/>
    <s v="Travel_Frequently"/>
    <n v="1312"/>
    <x v="1"/>
    <n v="2"/>
    <n v="4"/>
    <s v="Technical Degree"/>
    <x v="0"/>
    <n v="1745"/>
    <n v="4"/>
    <s v="Female"/>
    <n v="78"/>
    <n v="2"/>
    <n v="1"/>
    <s v="Research Scientist"/>
    <n v="1"/>
    <s v="Single"/>
    <n v="4968"/>
    <n v="26427"/>
    <n v="0"/>
    <s v="Y"/>
    <x v="1"/>
    <n v="16"/>
    <n v="3"/>
    <n v="4"/>
    <n v="80"/>
    <n v="0"/>
    <n v="10"/>
    <n v="2"/>
    <n v="3"/>
    <n v="9"/>
    <n v="7"/>
    <n v="0"/>
    <n v="7"/>
    <s v="Low"/>
    <s v="Medium"/>
    <s v="High"/>
  </r>
  <r>
    <n v="24"/>
    <x v="1"/>
    <s v="Travel_Frequently"/>
    <n v="897"/>
    <x v="2"/>
    <n v="10"/>
    <n v="3"/>
    <s v="Medical"/>
    <x v="0"/>
    <n v="1746"/>
    <n v="1"/>
    <s v="Male"/>
    <n v="59"/>
    <n v="3"/>
    <n v="1"/>
    <s v="Human Resources"/>
    <n v="4"/>
    <s v="Married"/>
    <n v="2145"/>
    <n v="2097"/>
    <n v="0"/>
    <s v="Y"/>
    <x v="1"/>
    <n v="14"/>
    <n v="3"/>
    <n v="4"/>
    <n v="80"/>
    <n v="1"/>
    <n v="3"/>
    <n v="2"/>
    <n v="3"/>
    <n v="2"/>
    <n v="2"/>
    <n v="2"/>
    <n v="1"/>
    <s v="Low"/>
    <s v="Low"/>
    <s v="new"/>
  </r>
  <r>
    <n v="30"/>
    <x v="0"/>
    <s v="Travel_Frequently"/>
    <n v="600"/>
    <x v="2"/>
    <n v="8"/>
    <n v="3"/>
    <s v="Human Resources"/>
    <x v="0"/>
    <n v="1747"/>
    <n v="3"/>
    <s v="Female"/>
    <n v="66"/>
    <n v="2"/>
    <n v="1"/>
    <s v="Human Resources"/>
    <n v="4"/>
    <s v="Divorced"/>
    <n v="2180"/>
    <n v="9732"/>
    <n v="6"/>
    <s v="Y"/>
    <x v="1"/>
    <n v="11"/>
    <n v="3"/>
    <n v="3"/>
    <n v="80"/>
    <n v="1"/>
    <n v="6"/>
    <n v="0"/>
    <n v="2"/>
    <n v="4"/>
    <n v="2"/>
    <n v="1"/>
    <n v="2"/>
    <s v="Low"/>
    <s v="Low"/>
    <s v="Experienced"/>
  </r>
  <r>
    <n v="31"/>
    <x v="1"/>
    <s v="Travel_Rarely"/>
    <n v="1003"/>
    <x v="0"/>
    <n v="5"/>
    <n v="3"/>
    <s v="Technical Degree"/>
    <x v="0"/>
    <n v="1749"/>
    <n v="1"/>
    <s v="Male"/>
    <n v="51"/>
    <n v="3"/>
    <n v="2"/>
    <s v="Sales Executive"/>
    <n v="3"/>
    <s v="Married"/>
    <n v="8346"/>
    <n v="20943"/>
    <n v="1"/>
    <s v="Y"/>
    <x v="1"/>
    <n v="19"/>
    <n v="3"/>
    <n v="3"/>
    <n v="80"/>
    <n v="1"/>
    <n v="6"/>
    <n v="3"/>
    <n v="3"/>
    <n v="5"/>
    <n v="2"/>
    <n v="0"/>
    <n v="2"/>
    <s v="High"/>
    <s v="High"/>
    <s v="Experienced"/>
  </r>
  <r>
    <n v="27"/>
    <x v="1"/>
    <s v="Travel_Rarely"/>
    <n v="1054"/>
    <x v="1"/>
    <n v="8"/>
    <n v="3"/>
    <s v="Medical"/>
    <x v="0"/>
    <n v="1751"/>
    <n v="3"/>
    <s v="Female"/>
    <n v="67"/>
    <n v="3"/>
    <n v="1"/>
    <s v="Research Scientist"/>
    <n v="4"/>
    <s v="Single"/>
    <n v="3445"/>
    <n v="6152"/>
    <n v="1"/>
    <s v="Y"/>
    <x v="1"/>
    <n v="11"/>
    <n v="3"/>
    <n v="3"/>
    <n v="80"/>
    <n v="0"/>
    <n v="6"/>
    <n v="5"/>
    <n v="2"/>
    <n v="6"/>
    <n v="2"/>
    <n v="1"/>
    <n v="4"/>
    <s v="Low"/>
    <s v="Low"/>
    <s v="Experienced"/>
  </r>
  <r>
    <n v="29"/>
    <x v="0"/>
    <s v="Travel_Rarely"/>
    <n v="428"/>
    <x v="0"/>
    <n v="9"/>
    <n v="3"/>
    <s v="Marketing"/>
    <x v="0"/>
    <n v="1752"/>
    <n v="2"/>
    <s v="Female"/>
    <n v="52"/>
    <n v="1"/>
    <n v="1"/>
    <s v="Sales Representative"/>
    <n v="2"/>
    <s v="Single"/>
    <n v="2760"/>
    <n v="14630"/>
    <n v="1"/>
    <s v="Y"/>
    <x v="1"/>
    <n v="13"/>
    <n v="3"/>
    <n v="3"/>
    <n v="80"/>
    <n v="0"/>
    <n v="2"/>
    <n v="3"/>
    <n v="3"/>
    <n v="2"/>
    <n v="2"/>
    <n v="2"/>
    <n v="2"/>
    <s v="Low"/>
    <s v="Low"/>
    <s v="new"/>
  </r>
  <r>
    <n v="29"/>
    <x v="1"/>
    <s v="Travel_Frequently"/>
    <n v="461"/>
    <x v="1"/>
    <n v="1"/>
    <n v="3"/>
    <s v="Life Sciences"/>
    <x v="0"/>
    <n v="1753"/>
    <n v="4"/>
    <s v="Male"/>
    <n v="70"/>
    <n v="4"/>
    <n v="2"/>
    <s v="Healthcare Representative"/>
    <n v="3"/>
    <s v="Single"/>
    <n v="6294"/>
    <n v="23060"/>
    <n v="8"/>
    <s v="Y"/>
    <x v="0"/>
    <n v="12"/>
    <n v="3"/>
    <n v="4"/>
    <n v="80"/>
    <n v="0"/>
    <n v="10"/>
    <n v="5"/>
    <n v="4"/>
    <n v="3"/>
    <n v="2"/>
    <n v="0"/>
    <n v="2"/>
    <s v="Low"/>
    <s v="Medium"/>
    <s v="Experienced"/>
  </r>
  <r>
    <n v="30"/>
    <x v="1"/>
    <s v="Travel_Rarely"/>
    <n v="979"/>
    <x v="0"/>
    <n v="15"/>
    <n v="2"/>
    <s v="Marketing"/>
    <x v="0"/>
    <n v="1754"/>
    <n v="3"/>
    <s v="Male"/>
    <n v="94"/>
    <n v="2"/>
    <n v="3"/>
    <s v="Sales Executive"/>
    <n v="1"/>
    <s v="Divorced"/>
    <n v="7140"/>
    <n v="3088"/>
    <n v="2"/>
    <s v="Y"/>
    <x v="1"/>
    <n v="11"/>
    <n v="3"/>
    <n v="1"/>
    <n v="80"/>
    <n v="1"/>
    <n v="12"/>
    <n v="2"/>
    <n v="3"/>
    <n v="7"/>
    <n v="7"/>
    <n v="1"/>
    <n v="7"/>
    <s v="High"/>
    <s v="Medium"/>
    <s v="Experienced"/>
  </r>
  <r>
    <n v="34"/>
    <x v="1"/>
    <s v="Travel_Rarely"/>
    <n v="181"/>
    <x v="1"/>
    <n v="2"/>
    <n v="4"/>
    <s v="Medical"/>
    <x v="0"/>
    <n v="1755"/>
    <n v="4"/>
    <s v="Male"/>
    <n v="97"/>
    <n v="4"/>
    <n v="1"/>
    <s v="Research Scientist"/>
    <n v="4"/>
    <s v="Married"/>
    <n v="2932"/>
    <n v="5586"/>
    <n v="0"/>
    <s v="Y"/>
    <x v="0"/>
    <n v="14"/>
    <n v="3"/>
    <n v="1"/>
    <n v="80"/>
    <n v="3"/>
    <n v="6"/>
    <n v="3"/>
    <n v="3"/>
    <n v="5"/>
    <n v="0"/>
    <n v="1"/>
    <n v="2"/>
    <s v="Low"/>
    <s v="Low"/>
    <s v="Experienced"/>
  </r>
  <r>
    <n v="33"/>
    <x v="1"/>
    <s v="Non-Travel"/>
    <n v="1283"/>
    <x v="0"/>
    <n v="2"/>
    <n v="3"/>
    <s v="Marketing"/>
    <x v="0"/>
    <n v="1756"/>
    <n v="4"/>
    <s v="Female"/>
    <n v="62"/>
    <n v="3"/>
    <n v="2"/>
    <s v="Sales Executive"/>
    <n v="2"/>
    <s v="Single"/>
    <n v="5147"/>
    <n v="10697"/>
    <n v="8"/>
    <s v="Y"/>
    <x v="1"/>
    <n v="15"/>
    <n v="3"/>
    <n v="4"/>
    <n v="80"/>
    <n v="0"/>
    <n v="13"/>
    <n v="2"/>
    <n v="2"/>
    <n v="11"/>
    <n v="7"/>
    <n v="1"/>
    <n v="7"/>
    <s v="Low"/>
    <s v="Medium"/>
    <s v="High"/>
  </r>
  <r>
    <n v="49"/>
    <x v="1"/>
    <s v="Travel_Rarely"/>
    <n v="1313"/>
    <x v="0"/>
    <n v="11"/>
    <n v="4"/>
    <s v="Marketing"/>
    <x v="0"/>
    <n v="1757"/>
    <n v="4"/>
    <s v="Female"/>
    <n v="80"/>
    <n v="3"/>
    <n v="2"/>
    <s v="Sales Executive"/>
    <n v="4"/>
    <s v="Single"/>
    <n v="4507"/>
    <n v="8191"/>
    <n v="3"/>
    <s v="Y"/>
    <x v="1"/>
    <n v="12"/>
    <n v="3"/>
    <n v="3"/>
    <n v="80"/>
    <n v="0"/>
    <n v="8"/>
    <n v="1"/>
    <n v="4"/>
    <n v="5"/>
    <n v="1"/>
    <n v="0"/>
    <n v="4"/>
    <s v="Low"/>
    <s v="Medium"/>
    <s v="Experienced"/>
  </r>
  <r>
    <n v="33"/>
    <x v="0"/>
    <s v="Travel_Rarely"/>
    <n v="211"/>
    <x v="0"/>
    <n v="16"/>
    <n v="3"/>
    <s v="Life Sciences"/>
    <x v="0"/>
    <n v="1758"/>
    <n v="1"/>
    <s v="Female"/>
    <n v="74"/>
    <n v="3"/>
    <n v="3"/>
    <s v="Sales Executive"/>
    <n v="1"/>
    <s v="Single"/>
    <n v="8564"/>
    <n v="10092"/>
    <n v="2"/>
    <s v="Y"/>
    <x v="0"/>
    <n v="20"/>
    <n v="4"/>
    <n v="3"/>
    <n v="80"/>
    <n v="0"/>
    <n v="11"/>
    <n v="2"/>
    <n v="2"/>
    <n v="0"/>
    <n v="0"/>
    <n v="0"/>
    <n v="0"/>
    <s v="High"/>
    <s v="High"/>
    <s v="new"/>
  </r>
  <r>
    <n v="38"/>
    <x v="1"/>
    <s v="Travel_Frequently"/>
    <n v="594"/>
    <x v="1"/>
    <n v="2"/>
    <n v="2"/>
    <s v="Medical"/>
    <x v="0"/>
    <n v="1760"/>
    <n v="3"/>
    <s v="Female"/>
    <n v="75"/>
    <n v="2"/>
    <n v="1"/>
    <s v="Laboratory Technician"/>
    <n v="2"/>
    <s v="Married"/>
    <n v="2468"/>
    <n v="15963"/>
    <n v="4"/>
    <s v="Y"/>
    <x v="1"/>
    <n v="14"/>
    <n v="3"/>
    <n v="2"/>
    <n v="80"/>
    <n v="1"/>
    <n v="9"/>
    <n v="4"/>
    <n v="2"/>
    <n v="6"/>
    <n v="1"/>
    <n v="0"/>
    <n v="5"/>
    <s v="Low"/>
    <s v="Low"/>
    <s v="Experienced"/>
  </r>
  <r>
    <n v="31"/>
    <x v="0"/>
    <s v="Travel_Rarely"/>
    <n v="1079"/>
    <x v="0"/>
    <n v="16"/>
    <n v="4"/>
    <s v="Marketing"/>
    <x v="0"/>
    <n v="1761"/>
    <n v="1"/>
    <s v="Male"/>
    <n v="70"/>
    <n v="3"/>
    <n v="3"/>
    <s v="Sales Executive"/>
    <n v="3"/>
    <s v="Married"/>
    <n v="8161"/>
    <n v="19002"/>
    <n v="2"/>
    <s v="Y"/>
    <x v="1"/>
    <n v="13"/>
    <n v="3"/>
    <n v="1"/>
    <n v="80"/>
    <n v="3"/>
    <n v="10"/>
    <n v="2"/>
    <n v="3"/>
    <n v="1"/>
    <n v="0"/>
    <n v="0"/>
    <n v="0"/>
    <s v="High"/>
    <s v="High"/>
    <s v="new"/>
  </r>
  <r>
    <n v="29"/>
    <x v="1"/>
    <s v="Travel_Rarely"/>
    <n v="590"/>
    <x v="1"/>
    <n v="4"/>
    <n v="3"/>
    <s v="Technical Degree"/>
    <x v="0"/>
    <n v="1762"/>
    <n v="4"/>
    <s v="Female"/>
    <n v="91"/>
    <n v="2"/>
    <n v="1"/>
    <s v="Research Scientist"/>
    <n v="1"/>
    <s v="Divorced"/>
    <n v="2109"/>
    <n v="10007"/>
    <n v="1"/>
    <s v="Y"/>
    <x v="1"/>
    <n v="13"/>
    <n v="3"/>
    <n v="3"/>
    <n v="80"/>
    <n v="1"/>
    <n v="1"/>
    <n v="2"/>
    <n v="3"/>
    <n v="1"/>
    <n v="0"/>
    <n v="0"/>
    <n v="0"/>
    <s v="Low"/>
    <s v="Low"/>
    <s v="new"/>
  </r>
  <r>
    <n v="30"/>
    <x v="1"/>
    <s v="Travel_Rarely"/>
    <n v="305"/>
    <x v="1"/>
    <n v="16"/>
    <n v="3"/>
    <s v="Life Sciences"/>
    <x v="0"/>
    <n v="1763"/>
    <n v="3"/>
    <s v="Male"/>
    <n v="58"/>
    <n v="4"/>
    <n v="2"/>
    <s v="Healthcare Representative"/>
    <n v="3"/>
    <s v="Married"/>
    <n v="5294"/>
    <n v="9128"/>
    <n v="3"/>
    <s v="Y"/>
    <x v="1"/>
    <n v="16"/>
    <n v="3"/>
    <n v="3"/>
    <n v="80"/>
    <n v="1"/>
    <n v="10"/>
    <n v="3"/>
    <n v="3"/>
    <n v="7"/>
    <n v="0"/>
    <n v="1"/>
    <n v="7"/>
    <s v="Low"/>
    <s v="Medium"/>
    <s v="Experienced"/>
  </r>
  <r>
    <n v="32"/>
    <x v="1"/>
    <s v="Non-Travel"/>
    <n v="953"/>
    <x v="1"/>
    <n v="5"/>
    <n v="4"/>
    <s v="Technical Degree"/>
    <x v="0"/>
    <n v="1764"/>
    <n v="2"/>
    <s v="Male"/>
    <n v="65"/>
    <n v="3"/>
    <n v="1"/>
    <s v="Research Scientist"/>
    <n v="2"/>
    <s v="Single"/>
    <n v="2718"/>
    <n v="17674"/>
    <n v="2"/>
    <s v="Y"/>
    <x v="1"/>
    <n v="14"/>
    <n v="3"/>
    <n v="2"/>
    <n v="80"/>
    <n v="0"/>
    <n v="12"/>
    <n v="3"/>
    <n v="3"/>
    <n v="7"/>
    <n v="7"/>
    <n v="0"/>
    <n v="7"/>
    <s v="Low"/>
    <s v="Low"/>
    <s v="Experienced"/>
  </r>
  <r>
    <n v="38"/>
    <x v="1"/>
    <s v="Travel_Rarely"/>
    <n v="833"/>
    <x v="1"/>
    <n v="18"/>
    <n v="3"/>
    <s v="Medical"/>
    <x v="0"/>
    <n v="1766"/>
    <n v="2"/>
    <s v="Male"/>
    <n v="60"/>
    <n v="1"/>
    <n v="2"/>
    <s v="Healthcare Representative"/>
    <n v="4"/>
    <s v="Married"/>
    <n v="5811"/>
    <n v="24539"/>
    <n v="3"/>
    <s v="Y"/>
    <x v="0"/>
    <n v="16"/>
    <n v="3"/>
    <n v="3"/>
    <n v="80"/>
    <n v="1"/>
    <n v="15"/>
    <n v="2"/>
    <n v="3"/>
    <n v="1"/>
    <n v="0"/>
    <n v="1"/>
    <n v="0"/>
    <s v="Low"/>
    <s v="Medium"/>
    <s v="new"/>
  </r>
  <r>
    <n v="43"/>
    <x v="0"/>
    <s v="Travel_Frequently"/>
    <n v="807"/>
    <x v="1"/>
    <n v="17"/>
    <n v="3"/>
    <s v="Technical Degree"/>
    <x v="0"/>
    <n v="1767"/>
    <n v="3"/>
    <s v="Male"/>
    <n v="38"/>
    <n v="2"/>
    <n v="1"/>
    <s v="Research Scientist"/>
    <n v="3"/>
    <s v="Married"/>
    <n v="2437"/>
    <n v="15587"/>
    <n v="9"/>
    <s v="Y"/>
    <x v="0"/>
    <n v="16"/>
    <n v="3"/>
    <n v="4"/>
    <n v="80"/>
    <n v="1"/>
    <n v="6"/>
    <n v="4"/>
    <n v="3"/>
    <n v="1"/>
    <n v="0"/>
    <n v="0"/>
    <n v="0"/>
    <s v="Low"/>
    <s v="Low"/>
    <s v="new"/>
  </r>
  <r>
    <n v="42"/>
    <x v="1"/>
    <s v="Travel_Rarely"/>
    <n v="855"/>
    <x v="1"/>
    <n v="12"/>
    <n v="3"/>
    <s v="Medical"/>
    <x v="0"/>
    <n v="1768"/>
    <n v="2"/>
    <s v="Male"/>
    <n v="57"/>
    <n v="3"/>
    <n v="1"/>
    <s v="Laboratory Technician"/>
    <n v="2"/>
    <s v="Divorced"/>
    <n v="2766"/>
    <n v="8952"/>
    <n v="8"/>
    <s v="Y"/>
    <x v="1"/>
    <n v="22"/>
    <n v="4"/>
    <n v="2"/>
    <n v="80"/>
    <n v="3"/>
    <n v="7"/>
    <n v="6"/>
    <n v="2"/>
    <n v="5"/>
    <n v="3"/>
    <n v="0"/>
    <n v="4"/>
    <s v="Low"/>
    <s v="Low"/>
    <s v="Experienced"/>
  </r>
  <r>
    <n v="55"/>
    <x v="1"/>
    <s v="Travel_Rarely"/>
    <n v="478"/>
    <x v="1"/>
    <n v="2"/>
    <n v="3"/>
    <s v="Medical"/>
    <x v="0"/>
    <n v="1770"/>
    <n v="3"/>
    <s v="Male"/>
    <n v="60"/>
    <n v="2"/>
    <n v="5"/>
    <s v="Research Director"/>
    <n v="1"/>
    <s v="Married"/>
    <n v="19038"/>
    <n v="19805"/>
    <n v="8"/>
    <s v="Y"/>
    <x v="1"/>
    <n v="12"/>
    <n v="3"/>
    <n v="2"/>
    <n v="80"/>
    <n v="3"/>
    <n v="34"/>
    <n v="2"/>
    <n v="3"/>
    <n v="1"/>
    <n v="0"/>
    <n v="0"/>
    <n v="0"/>
    <s v="High"/>
    <s v="High"/>
    <s v="new"/>
  </r>
  <r>
    <n v="33"/>
    <x v="1"/>
    <s v="Non-Travel"/>
    <n v="775"/>
    <x v="1"/>
    <n v="4"/>
    <n v="3"/>
    <s v="Technical Degree"/>
    <x v="0"/>
    <n v="1771"/>
    <n v="4"/>
    <s v="Male"/>
    <n v="90"/>
    <n v="3"/>
    <n v="2"/>
    <s v="Research Scientist"/>
    <n v="2"/>
    <s v="Divorced"/>
    <n v="3055"/>
    <n v="6194"/>
    <n v="5"/>
    <s v="Y"/>
    <x v="1"/>
    <n v="15"/>
    <n v="3"/>
    <n v="4"/>
    <n v="80"/>
    <n v="2"/>
    <n v="11"/>
    <n v="2"/>
    <n v="2"/>
    <n v="9"/>
    <n v="8"/>
    <n v="1"/>
    <n v="7"/>
    <s v="Low"/>
    <s v="Low"/>
    <s v="High"/>
  </r>
  <r>
    <n v="41"/>
    <x v="1"/>
    <s v="Travel_Rarely"/>
    <n v="548"/>
    <x v="1"/>
    <n v="9"/>
    <n v="4"/>
    <s v="Life Sciences"/>
    <x v="0"/>
    <n v="1772"/>
    <n v="3"/>
    <s v="Male"/>
    <n v="94"/>
    <n v="3"/>
    <n v="1"/>
    <s v="Laboratory Technician"/>
    <n v="1"/>
    <s v="Divorced"/>
    <n v="2289"/>
    <n v="20520"/>
    <n v="1"/>
    <s v="Y"/>
    <x v="1"/>
    <n v="20"/>
    <n v="4"/>
    <n v="2"/>
    <n v="80"/>
    <n v="2"/>
    <n v="5"/>
    <n v="2"/>
    <n v="3"/>
    <n v="5"/>
    <n v="3"/>
    <n v="0"/>
    <n v="4"/>
    <s v="Low"/>
    <s v="Low"/>
    <s v="Experienced"/>
  </r>
  <r>
    <n v="34"/>
    <x v="1"/>
    <s v="Non-Travel"/>
    <n v="1375"/>
    <x v="0"/>
    <n v="10"/>
    <n v="3"/>
    <s v="Life Sciences"/>
    <x v="0"/>
    <n v="1774"/>
    <n v="4"/>
    <s v="Male"/>
    <n v="87"/>
    <n v="3"/>
    <n v="2"/>
    <s v="Sales Executive"/>
    <n v="3"/>
    <s v="Divorced"/>
    <n v="4001"/>
    <n v="12313"/>
    <n v="1"/>
    <s v="Y"/>
    <x v="0"/>
    <n v="14"/>
    <n v="3"/>
    <n v="3"/>
    <n v="80"/>
    <n v="1"/>
    <n v="15"/>
    <n v="3"/>
    <n v="3"/>
    <n v="15"/>
    <n v="14"/>
    <n v="0"/>
    <n v="7"/>
    <s v="Low"/>
    <s v="Medium"/>
    <s v="High"/>
  </r>
  <r>
    <n v="53"/>
    <x v="1"/>
    <s v="Non-Travel"/>
    <n v="661"/>
    <x v="1"/>
    <n v="1"/>
    <n v="4"/>
    <s v="Medical"/>
    <x v="0"/>
    <n v="1775"/>
    <n v="1"/>
    <s v="Female"/>
    <n v="60"/>
    <n v="2"/>
    <n v="4"/>
    <s v="Manufacturing Director"/>
    <n v="3"/>
    <s v="Married"/>
    <n v="12965"/>
    <n v="22308"/>
    <n v="4"/>
    <s v="Y"/>
    <x v="0"/>
    <n v="20"/>
    <n v="4"/>
    <n v="4"/>
    <n v="80"/>
    <n v="3"/>
    <n v="27"/>
    <n v="2"/>
    <n v="2"/>
    <n v="3"/>
    <n v="2"/>
    <n v="0"/>
    <n v="2"/>
    <s v="High"/>
    <s v="High"/>
    <s v="Experienced"/>
  </r>
  <r>
    <n v="43"/>
    <x v="1"/>
    <s v="Travel_Rarely"/>
    <n v="244"/>
    <x v="2"/>
    <n v="2"/>
    <n v="3"/>
    <s v="Life Sciences"/>
    <x v="0"/>
    <n v="1778"/>
    <n v="2"/>
    <s v="Male"/>
    <n v="97"/>
    <n v="3"/>
    <n v="1"/>
    <s v="Human Resources"/>
    <n v="4"/>
    <s v="Single"/>
    <n v="3539"/>
    <n v="5033"/>
    <n v="0"/>
    <s v="Y"/>
    <x v="1"/>
    <n v="13"/>
    <n v="3"/>
    <n v="2"/>
    <n v="80"/>
    <n v="0"/>
    <n v="10"/>
    <n v="5"/>
    <n v="3"/>
    <n v="9"/>
    <n v="7"/>
    <n v="1"/>
    <n v="8"/>
    <s v="Low"/>
    <s v="Low"/>
    <s v="High"/>
  </r>
  <r>
    <n v="34"/>
    <x v="1"/>
    <s v="Travel_Rarely"/>
    <n v="511"/>
    <x v="0"/>
    <n v="3"/>
    <n v="2"/>
    <s v="Life Sciences"/>
    <x v="0"/>
    <n v="1779"/>
    <n v="4"/>
    <s v="Female"/>
    <n v="32"/>
    <n v="1"/>
    <n v="2"/>
    <s v="Sales Executive"/>
    <n v="4"/>
    <s v="Single"/>
    <n v="6029"/>
    <n v="25353"/>
    <n v="5"/>
    <s v="Y"/>
    <x v="1"/>
    <n v="12"/>
    <n v="3"/>
    <n v="1"/>
    <n v="80"/>
    <n v="0"/>
    <n v="6"/>
    <n v="3"/>
    <n v="3"/>
    <n v="2"/>
    <n v="2"/>
    <n v="2"/>
    <n v="2"/>
    <s v="Low"/>
    <s v="Medium"/>
    <s v="new"/>
  </r>
  <r>
    <n v="21"/>
    <x v="0"/>
    <s v="Travel_Rarely"/>
    <n v="337"/>
    <x v="0"/>
    <n v="7"/>
    <n v="1"/>
    <s v="Marketing"/>
    <x v="0"/>
    <n v="1780"/>
    <n v="2"/>
    <s v="Male"/>
    <n v="31"/>
    <n v="3"/>
    <n v="1"/>
    <s v="Sales Representative"/>
    <n v="2"/>
    <s v="Single"/>
    <n v="2679"/>
    <n v="4567"/>
    <n v="1"/>
    <s v="Y"/>
    <x v="1"/>
    <n v="13"/>
    <n v="3"/>
    <n v="2"/>
    <n v="80"/>
    <n v="0"/>
    <n v="1"/>
    <n v="3"/>
    <n v="3"/>
    <n v="1"/>
    <n v="0"/>
    <n v="1"/>
    <n v="0"/>
    <s v="Low"/>
    <s v="Low"/>
    <s v="new"/>
  </r>
  <r>
    <n v="38"/>
    <x v="1"/>
    <s v="Travel_Rarely"/>
    <n v="1153"/>
    <x v="1"/>
    <n v="6"/>
    <n v="2"/>
    <s v="Other"/>
    <x v="0"/>
    <n v="1782"/>
    <n v="4"/>
    <s v="Female"/>
    <n v="40"/>
    <n v="2"/>
    <n v="1"/>
    <s v="Laboratory Technician"/>
    <n v="3"/>
    <s v="Married"/>
    <n v="3702"/>
    <n v="16376"/>
    <n v="1"/>
    <s v="Y"/>
    <x v="1"/>
    <n v="11"/>
    <n v="3"/>
    <n v="2"/>
    <n v="80"/>
    <n v="1"/>
    <n v="5"/>
    <n v="3"/>
    <n v="3"/>
    <n v="5"/>
    <n v="4"/>
    <n v="0"/>
    <n v="4"/>
    <s v="Low"/>
    <s v="Low"/>
    <s v="Experienced"/>
  </r>
  <r>
    <n v="22"/>
    <x v="0"/>
    <s v="Travel_Rarely"/>
    <n v="1294"/>
    <x v="1"/>
    <n v="8"/>
    <n v="1"/>
    <s v="Medical"/>
    <x v="0"/>
    <n v="1783"/>
    <n v="3"/>
    <s v="Female"/>
    <n v="79"/>
    <n v="3"/>
    <n v="1"/>
    <s v="Laboratory Technician"/>
    <n v="1"/>
    <s v="Married"/>
    <n v="2398"/>
    <n v="15999"/>
    <n v="1"/>
    <s v="Y"/>
    <x v="0"/>
    <n v="17"/>
    <n v="3"/>
    <n v="3"/>
    <n v="80"/>
    <n v="0"/>
    <n v="1"/>
    <n v="6"/>
    <n v="3"/>
    <n v="1"/>
    <n v="0"/>
    <n v="0"/>
    <n v="0"/>
    <s v="Low"/>
    <s v="Low"/>
    <s v="new"/>
  </r>
  <r>
    <n v="31"/>
    <x v="1"/>
    <s v="Travel_Rarely"/>
    <n v="196"/>
    <x v="0"/>
    <n v="29"/>
    <n v="4"/>
    <s v="Marketing"/>
    <x v="0"/>
    <n v="1784"/>
    <n v="1"/>
    <s v="Female"/>
    <n v="91"/>
    <n v="2"/>
    <n v="2"/>
    <s v="Sales Executive"/>
    <n v="4"/>
    <s v="Married"/>
    <n v="5468"/>
    <n v="13402"/>
    <n v="1"/>
    <s v="Y"/>
    <x v="1"/>
    <n v="14"/>
    <n v="3"/>
    <n v="1"/>
    <n v="80"/>
    <n v="2"/>
    <n v="13"/>
    <n v="3"/>
    <n v="3"/>
    <n v="12"/>
    <n v="7"/>
    <n v="5"/>
    <n v="7"/>
    <s v="Low"/>
    <s v="Medium"/>
    <s v="High"/>
  </r>
  <r>
    <n v="51"/>
    <x v="1"/>
    <s v="Travel_Rarely"/>
    <n v="942"/>
    <x v="1"/>
    <n v="3"/>
    <n v="3"/>
    <s v="Technical Degree"/>
    <x v="0"/>
    <n v="1786"/>
    <n v="1"/>
    <s v="Female"/>
    <n v="53"/>
    <n v="3"/>
    <n v="3"/>
    <s v="Manager"/>
    <n v="3"/>
    <s v="Married"/>
    <n v="13116"/>
    <n v="22984"/>
    <n v="2"/>
    <s v="Y"/>
    <x v="1"/>
    <n v="11"/>
    <n v="3"/>
    <n v="4"/>
    <n v="80"/>
    <n v="0"/>
    <n v="15"/>
    <n v="2"/>
    <n v="3"/>
    <n v="2"/>
    <n v="2"/>
    <n v="2"/>
    <n v="2"/>
    <s v="High"/>
    <s v="High"/>
    <s v="new"/>
  </r>
  <r>
    <n v="37"/>
    <x v="1"/>
    <s v="Travel_Rarely"/>
    <n v="589"/>
    <x v="0"/>
    <n v="9"/>
    <n v="2"/>
    <s v="Marketing"/>
    <x v="0"/>
    <n v="1787"/>
    <n v="2"/>
    <s v="Male"/>
    <n v="46"/>
    <n v="2"/>
    <n v="2"/>
    <s v="Sales Executive"/>
    <n v="2"/>
    <s v="Married"/>
    <n v="4189"/>
    <n v="8800"/>
    <n v="1"/>
    <s v="Y"/>
    <x v="1"/>
    <n v="14"/>
    <n v="3"/>
    <n v="1"/>
    <n v="80"/>
    <n v="2"/>
    <n v="5"/>
    <n v="2"/>
    <n v="3"/>
    <n v="5"/>
    <n v="2"/>
    <n v="0"/>
    <n v="3"/>
    <s v="Low"/>
    <s v="Medium"/>
    <s v="Experienced"/>
  </r>
  <r>
    <n v="46"/>
    <x v="1"/>
    <s v="Travel_Rarely"/>
    <n v="734"/>
    <x v="1"/>
    <n v="2"/>
    <n v="4"/>
    <s v="Medical"/>
    <x v="0"/>
    <n v="1789"/>
    <n v="3"/>
    <s v="Male"/>
    <n v="46"/>
    <n v="3"/>
    <n v="5"/>
    <s v="Research Director"/>
    <n v="4"/>
    <s v="Divorced"/>
    <n v="19328"/>
    <n v="14218"/>
    <n v="7"/>
    <s v="Y"/>
    <x v="0"/>
    <n v="17"/>
    <n v="3"/>
    <n v="3"/>
    <n v="80"/>
    <n v="1"/>
    <n v="24"/>
    <n v="3"/>
    <n v="3"/>
    <n v="2"/>
    <n v="1"/>
    <n v="2"/>
    <n v="2"/>
    <s v="High"/>
    <s v="High"/>
    <s v="new"/>
  </r>
  <r>
    <n v="36"/>
    <x v="1"/>
    <s v="Travel_Rarely"/>
    <n v="1383"/>
    <x v="1"/>
    <n v="10"/>
    <n v="3"/>
    <s v="Life Sciences"/>
    <x v="0"/>
    <n v="1790"/>
    <n v="4"/>
    <s v="Male"/>
    <n v="90"/>
    <n v="3"/>
    <n v="3"/>
    <s v="Healthcare Representative"/>
    <n v="1"/>
    <s v="Married"/>
    <n v="8321"/>
    <n v="25949"/>
    <n v="7"/>
    <s v="Y"/>
    <x v="0"/>
    <n v="13"/>
    <n v="3"/>
    <n v="4"/>
    <n v="80"/>
    <n v="1"/>
    <n v="15"/>
    <n v="1"/>
    <n v="3"/>
    <n v="12"/>
    <n v="8"/>
    <n v="5"/>
    <n v="7"/>
    <s v="High"/>
    <s v="High"/>
    <s v="High"/>
  </r>
  <r>
    <n v="44"/>
    <x v="0"/>
    <s v="Travel_Frequently"/>
    <n v="429"/>
    <x v="1"/>
    <n v="1"/>
    <n v="2"/>
    <s v="Medical"/>
    <x v="0"/>
    <n v="1792"/>
    <n v="3"/>
    <s v="Male"/>
    <n v="99"/>
    <n v="3"/>
    <n v="1"/>
    <s v="Research Scientist"/>
    <n v="2"/>
    <s v="Divorced"/>
    <n v="2342"/>
    <n v="11092"/>
    <n v="1"/>
    <s v="Y"/>
    <x v="0"/>
    <n v="12"/>
    <n v="3"/>
    <n v="3"/>
    <n v="80"/>
    <n v="3"/>
    <n v="6"/>
    <n v="2"/>
    <n v="2"/>
    <n v="5"/>
    <n v="3"/>
    <n v="2"/>
    <n v="3"/>
    <s v="Low"/>
    <s v="Low"/>
    <s v="Experienced"/>
  </r>
  <r>
    <n v="37"/>
    <x v="1"/>
    <s v="Travel_Rarely"/>
    <n v="1239"/>
    <x v="2"/>
    <n v="8"/>
    <n v="2"/>
    <s v="Other"/>
    <x v="0"/>
    <n v="1794"/>
    <n v="3"/>
    <s v="Male"/>
    <n v="89"/>
    <n v="3"/>
    <n v="2"/>
    <s v="Human Resources"/>
    <n v="2"/>
    <s v="Divorced"/>
    <n v="4071"/>
    <n v="12832"/>
    <n v="2"/>
    <s v="Y"/>
    <x v="1"/>
    <n v="13"/>
    <n v="3"/>
    <n v="3"/>
    <n v="80"/>
    <n v="0"/>
    <n v="19"/>
    <n v="4"/>
    <n v="2"/>
    <n v="10"/>
    <n v="0"/>
    <n v="4"/>
    <n v="7"/>
    <s v="Low"/>
    <s v="Medium"/>
    <s v="High"/>
  </r>
  <r>
    <n v="35"/>
    <x v="0"/>
    <s v="Travel_Rarely"/>
    <n v="303"/>
    <x v="0"/>
    <n v="27"/>
    <n v="3"/>
    <s v="Life Sciences"/>
    <x v="0"/>
    <n v="1797"/>
    <n v="3"/>
    <s v="Male"/>
    <n v="84"/>
    <n v="3"/>
    <n v="2"/>
    <s v="Sales Executive"/>
    <n v="4"/>
    <s v="Single"/>
    <n v="5813"/>
    <n v="13492"/>
    <n v="1"/>
    <s v="Y"/>
    <x v="0"/>
    <n v="18"/>
    <n v="3"/>
    <n v="4"/>
    <n v="80"/>
    <n v="0"/>
    <n v="10"/>
    <n v="2"/>
    <n v="3"/>
    <n v="10"/>
    <n v="7"/>
    <n v="7"/>
    <n v="7"/>
    <s v="Low"/>
    <s v="Medium"/>
    <s v="High"/>
  </r>
  <r>
    <n v="33"/>
    <x v="1"/>
    <s v="Travel_Rarely"/>
    <n v="867"/>
    <x v="1"/>
    <n v="8"/>
    <n v="4"/>
    <s v="Life Sciences"/>
    <x v="0"/>
    <n v="1798"/>
    <n v="4"/>
    <s v="Male"/>
    <n v="90"/>
    <n v="4"/>
    <n v="1"/>
    <s v="Research Scientist"/>
    <n v="1"/>
    <s v="Married"/>
    <n v="3143"/>
    <n v="6076"/>
    <n v="6"/>
    <s v="Y"/>
    <x v="1"/>
    <n v="19"/>
    <n v="3"/>
    <n v="2"/>
    <n v="80"/>
    <n v="1"/>
    <n v="14"/>
    <n v="1"/>
    <n v="3"/>
    <n v="10"/>
    <n v="8"/>
    <n v="7"/>
    <n v="6"/>
    <s v="Low"/>
    <s v="Low"/>
    <s v="High"/>
  </r>
  <r>
    <n v="28"/>
    <x v="1"/>
    <s v="Travel_Rarely"/>
    <n v="1181"/>
    <x v="1"/>
    <n v="1"/>
    <n v="3"/>
    <s v="Life Sciences"/>
    <x v="0"/>
    <n v="1799"/>
    <n v="3"/>
    <s v="Male"/>
    <n v="82"/>
    <n v="3"/>
    <n v="1"/>
    <s v="Research Scientist"/>
    <n v="4"/>
    <s v="Married"/>
    <n v="2044"/>
    <n v="5531"/>
    <n v="1"/>
    <s v="Y"/>
    <x v="1"/>
    <n v="11"/>
    <n v="3"/>
    <n v="3"/>
    <n v="80"/>
    <n v="1"/>
    <n v="5"/>
    <n v="6"/>
    <n v="4"/>
    <n v="5"/>
    <n v="3"/>
    <n v="0"/>
    <n v="3"/>
    <s v="Low"/>
    <s v="Low"/>
    <s v="Experienced"/>
  </r>
  <r>
    <n v="39"/>
    <x v="1"/>
    <s v="Travel_Rarely"/>
    <n v="1253"/>
    <x v="1"/>
    <n v="10"/>
    <n v="1"/>
    <s v="Medical"/>
    <x v="0"/>
    <n v="1800"/>
    <n v="3"/>
    <s v="Male"/>
    <n v="65"/>
    <n v="3"/>
    <n v="3"/>
    <s v="Research Director"/>
    <n v="3"/>
    <s v="Single"/>
    <n v="13464"/>
    <n v="7914"/>
    <n v="7"/>
    <s v="Y"/>
    <x v="1"/>
    <n v="21"/>
    <n v="4"/>
    <n v="3"/>
    <n v="80"/>
    <n v="0"/>
    <n v="9"/>
    <n v="3"/>
    <n v="3"/>
    <n v="4"/>
    <n v="3"/>
    <n v="2"/>
    <n v="2"/>
    <s v="High"/>
    <s v="High"/>
    <s v="Experienced"/>
  </r>
  <r>
    <n v="46"/>
    <x v="1"/>
    <s v="Non-Travel"/>
    <n v="849"/>
    <x v="0"/>
    <n v="26"/>
    <n v="2"/>
    <s v="Life Sciences"/>
    <x v="0"/>
    <n v="1801"/>
    <n v="2"/>
    <s v="Male"/>
    <n v="98"/>
    <n v="2"/>
    <n v="2"/>
    <s v="Sales Executive"/>
    <n v="2"/>
    <s v="Single"/>
    <n v="7991"/>
    <n v="25166"/>
    <n v="8"/>
    <s v="Y"/>
    <x v="1"/>
    <n v="15"/>
    <n v="3"/>
    <n v="3"/>
    <n v="80"/>
    <n v="0"/>
    <n v="6"/>
    <n v="3"/>
    <n v="3"/>
    <n v="2"/>
    <n v="2"/>
    <n v="2"/>
    <n v="2"/>
    <s v="High"/>
    <s v="Medium"/>
    <s v="new"/>
  </r>
  <r>
    <n v="40"/>
    <x v="1"/>
    <s v="Travel_Rarely"/>
    <n v="616"/>
    <x v="1"/>
    <n v="2"/>
    <n v="2"/>
    <s v="Life Sciences"/>
    <x v="0"/>
    <n v="1802"/>
    <n v="3"/>
    <s v="Female"/>
    <n v="99"/>
    <n v="3"/>
    <n v="1"/>
    <s v="Laboratory Technician"/>
    <n v="1"/>
    <s v="Married"/>
    <n v="3377"/>
    <n v="25605"/>
    <n v="4"/>
    <s v="Y"/>
    <x v="1"/>
    <n v="17"/>
    <n v="3"/>
    <n v="4"/>
    <n v="80"/>
    <n v="1"/>
    <n v="7"/>
    <n v="5"/>
    <n v="2"/>
    <n v="4"/>
    <n v="3"/>
    <n v="0"/>
    <n v="2"/>
    <s v="Low"/>
    <s v="Low"/>
    <s v="Experienced"/>
  </r>
  <r>
    <n v="42"/>
    <x v="1"/>
    <s v="Travel_Rarely"/>
    <n v="1128"/>
    <x v="1"/>
    <n v="13"/>
    <n v="3"/>
    <s v="Medical"/>
    <x v="0"/>
    <n v="1803"/>
    <n v="2"/>
    <s v="Male"/>
    <n v="95"/>
    <n v="4"/>
    <n v="2"/>
    <s v="Healthcare Representative"/>
    <n v="1"/>
    <s v="Married"/>
    <n v="5538"/>
    <n v="5696"/>
    <n v="5"/>
    <s v="Y"/>
    <x v="1"/>
    <n v="18"/>
    <n v="3"/>
    <n v="3"/>
    <n v="80"/>
    <n v="2"/>
    <n v="10"/>
    <n v="2"/>
    <n v="2"/>
    <n v="0"/>
    <n v="0"/>
    <n v="0"/>
    <n v="0"/>
    <s v="Low"/>
    <s v="Medium"/>
    <s v="new"/>
  </r>
  <r>
    <n v="35"/>
    <x v="1"/>
    <s v="Non-Travel"/>
    <n v="1180"/>
    <x v="1"/>
    <n v="2"/>
    <n v="2"/>
    <s v="Medical"/>
    <x v="0"/>
    <n v="1804"/>
    <n v="2"/>
    <s v="Male"/>
    <n v="90"/>
    <n v="3"/>
    <n v="2"/>
    <s v="Manufacturing Director"/>
    <n v="4"/>
    <s v="Divorced"/>
    <n v="5762"/>
    <n v="24442"/>
    <n v="2"/>
    <s v="Y"/>
    <x v="1"/>
    <n v="14"/>
    <n v="3"/>
    <n v="3"/>
    <n v="80"/>
    <n v="1"/>
    <n v="15"/>
    <n v="6"/>
    <n v="3"/>
    <n v="7"/>
    <n v="7"/>
    <n v="1"/>
    <n v="7"/>
    <s v="Low"/>
    <s v="Medium"/>
    <s v="Experienced"/>
  </r>
  <r>
    <n v="38"/>
    <x v="1"/>
    <s v="Non-Travel"/>
    <n v="1336"/>
    <x v="2"/>
    <n v="2"/>
    <n v="3"/>
    <s v="Human Resources"/>
    <x v="0"/>
    <n v="1805"/>
    <n v="1"/>
    <s v="Male"/>
    <n v="100"/>
    <n v="3"/>
    <n v="1"/>
    <s v="Human Resources"/>
    <n v="2"/>
    <s v="Divorced"/>
    <n v="2592"/>
    <n v="7129"/>
    <n v="5"/>
    <s v="Y"/>
    <x v="1"/>
    <n v="13"/>
    <n v="3"/>
    <n v="4"/>
    <n v="80"/>
    <n v="3"/>
    <n v="13"/>
    <n v="3"/>
    <n v="3"/>
    <n v="11"/>
    <n v="10"/>
    <n v="3"/>
    <n v="8"/>
    <s v="Low"/>
    <s v="Low"/>
    <s v="High"/>
  </r>
  <r>
    <n v="34"/>
    <x v="0"/>
    <s v="Travel_Frequently"/>
    <n v="234"/>
    <x v="1"/>
    <n v="9"/>
    <n v="4"/>
    <s v="Life Sciences"/>
    <x v="0"/>
    <n v="1807"/>
    <n v="4"/>
    <s v="Male"/>
    <n v="93"/>
    <n v="3"/>
    <n v="2"/>
    <s v="Laboratory Technician"/>
    <n v="1"/>
    <s v="Married"/>
    <n v="5346"/>
    <n v="6208"/>
    <n v="4"/>
    <s v="Y"/>
    <x v="1"/>
    <n v="17"/>
    <n v="3"/>
    <n v="3"/>
    <n v="80"/>
    <n v="1"/>
    <n v="11"/>
    <n v="3"/>
    <n v="2"/>
    <n v="7"/>
    <n v="1"/>
    <n v="0"/>
    <n v="7"/>
    <s v="Low"/>
    <s v="Medium"/>
    <s v="Experienced"/>
  </r>
  <r>
    <n v="37"/>
    <x v="0"/>
    <s v="Travel_Rarely"/>
    <n v="370"/>
    <x v="1"/>
    <n v="10"/>
    <n v="4"/>
    <s v="Medical"/>
    <x v="0"/>
    <n v="1809"/>
    <n v="4"/>
    <s v="Male"/>
    <n v="58"/>
    <n v="3"/>
    <n v="2"/>
    <s v="Manufacturing Director"/>
    <n v="1"/>
    <s v="Single"/>
    <n v="4213"/>
    <n v="4992"/>
    <n v="1"/>
    <s v="Y"/>
    <x v="1"/>
    <n v="15"/>
    <n v="3"/>
    <n v="2"/>
    <n v="80"/>
    <n v="0"/>
    <n v="10"/>
    <n v="4"/>
    <n v="1"/>
    <n v="10"/>
    <n v="3"/>
    <n v="0"/>
    <n v="8"/>
    <s v="Low"/>
    <s v="Medium"/>
    <s v="High"/>
  </r>
  <r>
    <n v="39"/>
    <x v="1"/>
    <s v="Travel_Frequently"/>
    <n v="766"/>
    <x v="0"/>
    <n v="20"/>
    <n v="3"/>
    <s v="Life Sciences"/>
    <x v="0"/>
    <n v="1812"/>
    <n v="3"/>
    <s v="Male"/>
    <n v="83"/>
    <n v="3"/>
    <n v="2"/>
    <s v="Sales Executive"/>
    <n v="4"/>
    <s v="Divorced"/>
    <n v="4127"/>
    <n v="19188"/>
    <n v="2"/>
    <s v="Y"/>
    <x v="1"/>
    <n v="18"/>
    <n v="3"/>
    <n v="4"/>
    <n v="80"/>
    <n v="1"/>
    <n v="7"/>
    <n v="6"/>
    <n v="3"/>
    <n v="2"/>
    <n v="1"/>
    <n v="2"/>
    <n v="2"/>
    <s v="Low"/>
    <s v="Medium"/>
    <s v="new"/>
  </r>
  <r>
    <n v="43"/>
    <x v="1"/>
    <s v="Non-Travel"/>
    <n v="343"/>
    <x v="1"/>
    <n v="9"/>
    <n v="3"/>
    <s v="Life Sciences"/>
    <x v="0"/>
    <n v="1813"/>
    <n v="1"/>
    <s v="Male"/>
    <n v="52"/>
    <n v="3"/>
    <n v="1"/>
    <s v="Research Scientist"/>
    <n v="3"/>
    <s v="Single"/>
    <n v="2438"/>
    <n v="24978"/>
    <n v="4"/>
    <s v="Y"/>
    <x v="1"/>
    <n v="13"/>
    <n v="3"/>
    <n v="3"/>
    <n v="80"/>
    <n v="0"/>
    <n v="7"/>
    <n v="2"/>
    <n v="2"/>
    <n v="3"/>
    <n v="2"/>
    <n v="1"/>
    <n v="2"/>
    <s v="Low"/>
    <s v="Low"/>
    <s v="Experienced"/>
  </r>
  <r>
    <n v="41"/>
    <x v="1"/>
    <s v="Travel_Rarely"/>
    <n v="447"/>
    <x v="1"/>
    <n v="5"/>
    <n v="3"/>
    <s v="Life Sciences"/>
    <x v="0"/>
    <n v="1814"/>
    <n v="2"/>
    <s v="Male"/>
    <n v="85"/>
    <n v="4"/>
    <n v="2"/>
    <s v="Healthcare Representative"/>
    <n v="2"/>
    <s v="Single"/>
    <n v="6870"/>
    <n v="15530"/>
    <n v="3"/>
    <s v="Y"/>
    <x v="1"/>
    <n v="12"/>
    <n v="3"/>
    <n v="1"/>
    <n v="80"/>
    <n v="0"/>
    <n v="11"/>
    <n v="3"/>
    <n v="1"/>
    <n v="3"/>
    <n v="2"/>
    <n v="1"/>
    <n v="2"/>
    <s v="High"/>
    <s v="Medium"/>
    <s v="Experienced"/>
  </r>
  <r>
    <n v="41"/>
    <x v="1"/>
    <s v="Travel_Rarely"/>
    <n v="796"/>
    <x v="0"/>
    <n v="4"/>
    <n v="1"/>
    <s v="Marketing"/>
    <x v="0"/>
    <n v="1815"/>
    <n v="3"/>
    <s v="Female"/>
    <n v="81"/>
    <n v="3"/>
    <n v="3"/>
    <s v="Sales Executive"/>
    <n v="3"/>
    <s v="Divorced"/>
    <n v="10447"/>
    <n v="26458"/>
    <n v="0"/>
    <s v="Y"/>
    <x v="0"/>
    <n v="13"/>
    <n v="3"/>
    <n v="4"/>
    <n v="80"/>
    <n v="1"/>
    <n v="23"/>
    <n v="3"/>
    <n v="4"/>
    <n v="22"/>
    <n v="14"/>
    <n v="13"/>
    <n v="5"/>
    <s v="High"/>
    <s v="High"/>
    <s v="High"/>
  </r>
  <r>
    <n v="30"/>
    <x v="1"/>
    <s v="Travel_Rarely"/>
    <n v="1092"/>
    <x v="1"/>
    <n v="10"/>
    <n v="3"/>
    <s v="Medical"/>
    <x v="0"/>
    <n v="1816"/>
    <n v="1"/>
    <s v="Female"/>
    <n v="64"/>
    <n v="3"/>
    <n v="3"/>
    <s v="Manufacturing Director"/>
    <n v="3"/>
    <s v="Single"/>
    <n v="9667"/>
    <n v="2739"/>
    <n v="9"/>
    <s v="Y"/>
    <x v="1"/>
    <n v="14"/>
    <n v="3"/>
    <n v="2"/>
    <n v="80"/>
    <n v="0"/>
    <n v="9"/>
    <n v="3"/>
    <n v="3"/>
    <n v="7"/>
    <n v="7"/>
    <n v="0"/>
    <n v="2"/>
    <s v="High"/>
    <s v="High"/>
    <s v="Experienced"/>
  </r>
  <r>
    <n v="26"/>
    <x v="0"/>
    <s v="Travel_Rarely"/>
    <n v="920"/>
    <x v="2"/>
    <n v="20"/>
    <n v="2"/>
    <s v="Medical"/>
    <x v="0"/>
    <n v="1818"/>
    <n v="4"/>
    <s v="Female"/>
    <n v="69"/>
    <n v="3"/>
    <n v="1"/>
    <s v="Human Resources"/>
    <n v="2"/>
    <s v="Married"/>
    <n v="2148"/>
    <n v="6889"/>
    <n v="0"/>
    <s v="Y"/>
    <x v="0"/>
    <n v="11"/>
    <n v="3"/>
    <n v="3"/>
    <n v="80"/>
    <n v="0"/>
    <n v="6"/>
    <n v="3"/>
    <n v="3"/>
    <n v="5"/>
    <n v="1"/>
    <n v="1"/>
    <n v="4"/>
    <s v="Low"/>
    <s v="Low"/>
    <s v="Experienced"/>
  </r>
  <r>
    <n v="46"/>
    <x v="0"/>
    <s v="Travel_Rarely"/>
    <n v="261"/>
    <x v="1"/>
    <n v="21"/>
    <n v="2"/>
    <s v="Medical"/>
    <x v="0"/>
    <n v="1821"/>
    <n v="4"/>
    <s v="Female"/>
    <n v="66"/>
    <n v="3"/>
    <n v="2"/>
    <s v="Healthcare Representative"/>
    <n v="2"/>
    <s v="Married"/>
    <n v="8926"/>
    <n v="10842"/>
    <n v="4"/>
    <s v="Y"/>
    <x v="1"/>
    <n v="22"/>
    <n v="4"/>
    <n v="4"/>
    <n v="80"/>
    <n v="1"/>
    <n v="13"/>
    <n v="2"/>
    <n v="4"/>
    <n v="9"/>
    <n v="7"/>
    <n v="3"/>
    <n v="7"/>
    <s v="High"/>
    <s v="High"/>
    <s v="High"/>
  </r>
  <r>
    <n v="40"/>
    <x v="1"/>
    <s v="Travel_Rarely"/>
    <n v="1194"/>
    <x v="1"/>
    <n v="1"/>
    <n v="3"/>
    <s v="Life Sciences"/>
    <x v="0"/>
    <n v="1822"/>
    <n v="3"/>
    <s v="Female"/>
    <n v="52"/>
    <n v="3"/>
    <n v="2"/>
    <s v="Healthcare Representative"/>
    <n v="4"/>
    <s v="Divorced"/>
    <n v="6513"/>
    <n v="9060"/>
    <n v="4"/>
    <s v="Y"/>
    <x v="1"/>
    <n v="17"/>
    <n v="3"/>
    <n v="4"/>
    <n v="80"/>
    <n v="1"/>
    <n v="12"/>
    <n v="3"/>
    <n v="3"/>
    <n v="5"/>
    <n v="3"/>
    <n v="0"/>
    <n v="3"/>
    <s v="High"/>
    <s v="Medium"/>
    <s v="Experienced"/>
  </r>
  <r>
    <n v="34"/>
    <x v="1"/>
    <s v="Travel_Rarely"/>
    <n v="810"/>
    <x v="0"/>
    <n v="8"/>
    <n v="2"/>
    <s v="Technical Degree"/>
    <x v="0"/>
    <n v="1823"/>
    <n v="2"/>
    <s v="Male"/>
    <n v="92"/>
    <n v="4"/>
    <n v="2"/>
    <s v="Sales Executive"/>
    <n v="3"/>
    <s v="Married"/>
    <n v="6799"/>
    <n v="22128"/>
    <n v="1"/>
    <s v="Y"/>
    <x v="1"/>
    <n v="21"/>
    <n v="4"/>
    <n v="3"/>
    <n v="80"/>
    <n v="2"/>
    <n v="10"/>
    <n v="5"/>
    <n v="3"/>
    <n v="10"/>
    <n v="8"/>
    <n v="4"/>
    <n v="8"/>
    <s v="High"/>
    <s v="Medium"/>
    <s v="High"/>
  </r>
  <r>
    <n v="58"/>
    <x v="1"/>
    <s v="Non-Travel"/>
    <n v="350"/>
    <x v="0"/>
    <n v="2"/>
    <n v="3"/>
    <s v="Medical"/>
    <x v="0"/>
    <n v="1824"/>
    <n v="2"/>
    <s v="Male"/>
    <n v="52"/>
    <n v="3"/>
    <n v="4"/>
    <s v="Manager"/>
    <n v="2"/>
    <s v="Divorced"/>
    <n v="16291"/>
    <n v="22577"/>
    <n v="4"/>
    <s v="Y"/>
    <x v="1"/>
    <n v="22"/>
    <n v="4"/>
    <n v="4"/>
    <n v="80"/>
    <n v="1"/>
    <n v="37"/>
    <n v="0"/>
    <n v="2"/>
    <n v="16"/>
    <n v="9"/>
    <n v="14"/>
    <n v="14"/>
    <s v="High"/>
    <s v="High"/>
    <s v="High"/>
  </r>
  <r>
    <n v="35"/>
    <x v="1"/>
    <s v="Travel_Rarely"/>
    <n v="185"/>
    <x v="1"/>
    <n v="23"/>
    <n v="4"/>
    <s v="Medical"/>
    <x v="0"/>
    <n v="1826"/>
    <n v="2"/>
    <s v="Male"/>
    <n v="91"/>
    <n v="1"/>
    <n v="1"/>
    <s v="Laboratory Technician"/>
    <n v="3"/>
    <s v="Married"/>
    <n v="2705"/>
    <n v="9696"/>
    <n v="0"/>
    <s v="Y"/>
    <x v="1"/>
    <n v="16"/>
    <n v="3"/>
    <n v="2"/>
    <n v="80"/>
    <n v="1"/>
    <n v="6"/>
    <n v="2"/>
    <n v="4"/>
    <n v="5"/>
    <n v="4"/>
    <n v="0"/>
    <n v="3"/>
    <s v="Low"/>
    <s v="Low"/>
    <s v="Experienced"/>
  </r>
  <r>
    <n v="47"/>
    <x v="1"/>
    <s v="Travel_Rarely"/>
    <n v="1001"/>
    <x v="1"/>
    <n v="4"/>
    <n v="3"/>
    <s v="Life Sciences"/>
    <x v="0"/>
    <n v="1827"/>
    <n v="3"/>
    <s v="Female"/>
    <n v="92"/>
    <n v="2"/>
    <n v="3"/>
    <s v="Manufacturing Director"/>
    <n v="2"/>
    <s v="Divorced"/>
    <n v="10333"/>
    <n v="19271"/>
    <n v="8"/>
    <s v="Y"/>
    <x v="0"/>
    <n v="12"/>
    <n v="3"/>
    <n v="3"/>
    <n v="80"/>
    <n v="1"/>
    <n v="28"/>
    <n v="4"/>
    <n v="3"/>
    <n v="22"/>
    <n v="11"/>
    <n v="14"/>
    <n v="10"/>
    <s v="High"/>
    <s v="High"/>
    <s v="High"/>
  </r>
  <r>
    <n v="40"/>
    <x v="1"/>
    <s v="Travel_Rarely"/>
    <n v="750"/>
    <x v="1"/>
    <n v="12"/>
    <n v="3"/>
    <s v="Life Sciences"/>
    <x v="0"/>
    <n v="1829"/>
    <n v="2"/>
    <s v="Female"/>
    <n v="47"/>
    <n v="3"/>
    <n v="2"/>
    <s v="Healthcare Representative"/>
    <n v="1"/>
    <s v="Divorced"/>
    <n v="4448"/>
    <n v="10748"/>
    <n v="2"/>
    <s v="Y"/>
    <x v="1"/>
    <n v="12"/>
    <n v="3"/>
    <n v="2"/>
    <n v="80"/>
    <n v="1"/>
    <n v="15"/>
    <n v="3"/>
    <n v="3"/>
    <n v="7"/>
    <n v="4"/>
    <n v="7"/>
    <n v="7"/>
    <s v="Low"/>
    <s v="Medium"/>
    <s v="Experienced"/>
  </r>
  <r>
    <n v="54"/>
    <x v="1"/>
    <s v="Travel_Rarely"/>
    <n v="431"/>
    <x v="1"/>
    <n v="7"/>
    <n v="4"/>
    <s v="Medical"/>
    <x v="0"/>
    <n v="1830"/>
    <n v="4"/>
    <s v="Female"/>
    <n v="68"/>
    <n v="3"/>
    <n v="2"/>
    <s v="Research Scientist"/>
    <n v="4"/>
    <s v="Married"/>
    <n v="6854"/>
    <n v="15696"/>
    <n v="4"/>
    <s v="Y"/>
    <x v="1"/>
    <n v="15"/>
    <n v="3"/>
    <n v="2"/>
    <n v="80"/>
    <n v="1"/>
    <n v="14"/>
    <n v="2"/>
    <n v="2"/>
    <n v="7"/>
    <n v="1"/>
    <n v="1"/>
    <n v="7"/>
    <s v="High"/>
    <s v="Medium"/>
    <s v="Experienced"/>
  </r>
  <r>
    <n v="31"/>
    <x v="1"/>
    <s v="Travel_Frequently"/>
    <n v="1125"/>
    <x v="0"/>
    <n v="7"/>
    <n v="4"/>
    <s v="Marketing"/>
    <x v="0"/>
    <n v="1833"/>
    <n v="1"/>
    <s v="Female"/>
    <n v="68"/>
    <n v="3"/>
    <n v="3"/>
    <s v="Sales Executive"/>
    <n v="1"/>
    <s v="Married"/>
    <n v="9637"/>
    <n v="8277"/>
    <n v="2"/>
    <s v="Y"/>
    <x v="1"/>
    <n v="14"/>
    <n v="3"/>
    <n v="4"/>
    <n v="80"/>
    <n v="2"/>
    <n v="9"/>
    <n v="3"/>
    <n v="3"/>
    <n v="3"/>
    <n v="2"/>
    <n v="2"/>
    <n v="2"/>
    <s v="High"/>
    <s v="High"/>
    <s v="Experienced"/>
  </r>
  <r>
    <n v="28"/>
    <x v="1"/>
    <s v="Travel_Rarely"/>
    <n v="1217"/>
    <x v="1"/>
    <n v="1"/>
    <n v="3"/>
    <s v="Medical"/>
    <x v="0"/>
    <n v="1834"/>
    <n v="3"/>
    <s v="Female"/>
    <n v="67"/>
    <n v="3"/>
    <n v="1"/>
    <s v="Research Scientist"/>
    <n v="1"/>
    <s v="Married"/>
    <n v="3591"/>
    <n v="12719"/>
    <n v="1"/>
    <s v="Y"/>
    <x v="1"/>
    <n v="25"/>
    <n v="4"/>
    <n v="3"/>
    <n v="80"/>
    <n v="1"/>
    <n v="3"/>
    <n v="3"/>
    <n v="3"/>
    <n v="3"/>
    <n v="2"/>
    <n v="1"/>
    <n v="2"/>
    <s v="Low"/>
    <s v="Low"/>
    <s v="Experienced"/>
  </r>
  <r>
    <n v="38"/>
    <x v="1"/>
    <s v="Travel_Rarely"/>
    <n v="723"/>
    <x v="0"/>
    <n v="2"/>
    <n v="4"/>
    <s v="Marketing"/>
    <x v="0"/>
    <n v="1835"/>
    <n v="2"/>
    <s v="Female"/>
    <n v="77"/>
    <n v="1"/>
    <n v="2"/>
    <s v="Sales Representative"/>
    <n v="4"/>
    <s v="Married"/>
    <n v="5405"/>
    <n v="4244"/>
    <n v="2"/>
    <s v="Y"/>
    <x v="0"/>
    <n v="20"/>
    <n v="4"/>
    <n v="1"/>
    <n v="80"/>
    <n v="2"/>
    <n v="20"/>
    <n v="4"/>
    <n v="2"/>
    <n v="4"/>
    <n v="2"/>
    <n v="0"/>
    <n v="3"/>
    <s v="Low"/>
    <s v="Medium"/>
    <s v="Experienced"/>
  </r>
  <r>
    <n v="26"/>
    <x v="1"/>
    <s v="Travel_Rarely"/>
    <n v="572"/>
    <x v="0"/>
    <n v="10"/>
    <n v="3"/>
    <s v="Medical"/>
    <x v="0"/>
    <n v="1836"/>
    <n v="3"/>
    <s v="Male"/>
    <n v="46"/>
    <n v="3"/>
    <n v="2"/>
    <s v="Sales Executive"/>
    <n v="4"/>
    <s v="Single"/>
    <n v="4684"/>
    <n v="9125"/>
    <n v="1"/>
    <s v="Y"/>
    <x v="1"/>
    <n v="13"/>
    <n v="3"/>
    <n v="1"/>
    <n v="80"/>
    <n v="0"/>
    <n v="5"/>
    <n v="4"/>
    <n v="3"/>
    <n v="5"/>
    <n v="3"/>
    <n v="1"/>
    <n v="2"/>
    <s v="Low"/>
    <s v="Medium"/>
    <s v="Experienced"/>
  </r>
  <r>
    <n v="58"/>
    <x v="1"/>
    <s v="Travel_Frequently"/>
    <n v="1216"/>
    <x v="1"/>
    <n v="15"/>
    <n v="4"/>
    <s v="Life Sciences"/>
    <x v="0"/>
    <n v="1837"/>
    <n v="1"/>
    <s v="Male"/>
    <n v="87"/>
    <n v="3"/>
    <n v="4"/>
    <s v="Research Director"/>
    <n v="3"/>
    <s v="Married"/>
    <n v="15787"/>
    <n v="21624"/>
    <n v="2"/>
    <s v="Y"/>
    <x v="0"/>
    <n v="14"/>
    <n v="3"/>
    <n v="2"/>
    <n v="80"/>
    <n v="0"/>
    <n v="23"/>
    <n v="3"/>
    <n v="3"/>
    <n v="2"/>
    <n v="2"/>
    <n v="2"/>
    <n v="2"/>
    <s v="High"/>
    <s v="High"/>
    <s v="new"/>
  </r>
  <r>
    <n v="18"/>
    <x v="1"/>
    <s v="Non-Travel"/>
    <n v="1431"/>
    <x v="1"/>
    <n v="14"/>
    <n v="3"/>
    <s v="Medical"/>
    <x v="0"/>
    <n v="1839"/>
    <n v="2"/>
    <s v="Female"/>
    <n v="33"/>
    <n v="3"/>
    <n v="1"/>
    <s v="Research Scientist"/>
    <n v="3"/>
    <s v="Single"/>
    <n v="1514"/>
    <n v="8018"/>
    <n v="1"/>
    <s v="Y"/>
    <x v="1"/>
    <n v="16"/>
    <n v="3"/>
    <n v="3"/>
    <n v="80"/>
    <n v="0"/>
    <n v="0"/>
    <n v="4"/>
    <n v="1"/>
    <n v="0"/>
    <n v="0"/>
    <n v="0"/>
    <n v="0"/>
    <s v="Low"/>
    <s v="Low"/>
    <s v="new"/>
  </r>
  <r>
    <n v="31"/>
    <x v="0"/>
    <s v="Travel_Rarely"/>
    <n v="359"/>
    <x v="2"/>
    <n v="18"/>
    <n v="5"/>
    <s v="Human Resources"/>
    <x v="0"/>
    <n v="1842"/>
    <n v="4"/>
    <s v="Male"/>
    <n v="89"/>
    <n v="4"/>
    <n v="1"/>
    <s v="Human Resources"/>
    <n v="1"/>
    <s v="Married"/>
    <n v="2956"/>
    <n v="21495"/>
    <n v="0"/>
    <s v="Y"/>
    <x v="1"/>
    <n v="17"/>
    <n v="3"/>
    <n v="3"/>
    <n v="80"/>
    <n v="0"/>
    <n v="2"/>
    <n v="4"/>
    <n v="3"/>
    <n v="1"/>
    <n v="0"/>
    <n v="0"/>
    <n v="0"/>
    <s v="Low"/>
    <s v="Low"/>
    <s v="new"/>
  </r>
  <r>
    <n v="29"/>
    <x v="0"/>
    <s v="Travel_Rarely"/>
    <n v="350"/>
    <x v="2"/>
    <n v="13"/>
    <n v="3"/>
    <s v="Human Resources"/>
    <x v="0"/>
    <n v="1844"/>
    <n v="1"/>
    <s v="Male"/>
    <n v="56"/>
    <n v="2"/>
    <n v="1"/>
    <s v="Human Resources"/>
    <n v="1"/>
    <s v="Divorced"/>
    <n v="2335"/>
    <n v="3157"/>
    <n v="4"/>
    <s v="Y"/>
    <x v="0"/>
    <n v="15"/>
    <n v="3"/>
    <n v="4"/>
    <n v="80"/>
    <n v="3"/>
    <n v="4"/>
    <n v="3"/>
    <n v="3"/>
    <n v="2"/>
    <n v="2"/>
    <n v="2"/>
    <n v="0"/>
    <s v="Low"/>
    <s v="Low"/>
    <s v="new"/>
  </r>
  <r>
    <n v="45"/>
    <x v="1"/>
    <s v="Non-Travel"/>
    <n v="589"/>
    <x v="0"/>
    <n v="2"/>
    <n v="4"/>
    <s v="Life Sciences"/>
    <x v="0"/>
    <n v="1845"/>
    <n v="3"/>
    <s v="Female"/>
    <n v="67"/>
    <n v="3"/>
    <n v="2"/>
    <s v="Sales Executive"/>
    <n v="3"/>
    <s v="Married"/>
    <n v="5154"/>
    <n v="19665"/>
    <n v="4"/>
    <s v="Y"/>
    <x v="1"/>
    <n v="22"/>
    <n v="4"/>
    <n v="2"/>
    <n v="80"/>
    <n v="2"/>
    <n v="10"/>
    <n v="3"/>
    <n v="4"/>
    <n v="8"/>
    <n v="7"/>
    <n v="5"/>
    <n v="7"/>
    <s v="Low"/>
    <s v="Medium"/>
    <s v="High"/>
  </r>
  <r>
    <n v="36"/>
    <x v="1"/>
    <s v="Travel_Rarely"/>
    <n v="430"/>
    <x v="1"/>
    <n v="2"/>
    <n v="4"/>
    <s v="Other"/>
    <x v="0"/>
    <n v="1847"/>
    <n v="4"/>
    <s v="Female"/>
    <n v="73"/>
    <n v="3"/>
    <n v="2"/>
    <s v="Research Scientist"/>
    <n v="2"/>
    <s v="Married"/>
    <n v="6962"/>
    <n v="19573"/>
    <n v="4"/>
    <s v="Y"/>
    <x v="0"/>
    <n v="22"/>
    <n v="4"/>
    <n v="4"/>
    <n v="80"/>
    <n v="1"/>
    <n v="15"/>
    <n v="2"/>
    <n v="3"/>
    <n v="1"/>
    <n v="0"/>
    <n v="0"/>
    <n v="0"/>
    <s v="High"/>
    <s v="Medium"/>
    <s v="new"/>
  </r>
  <r>
    <n v="43"/>
    <x v="1"/>
    <s v="Travel_Frequently"/>
    <n v="1422"/>
    <x v="0"/>
    <n v="2"/>
    <n v="4"/>
    <s v="Life Sciences"/>
    <x v="0"/>
    <n v="1849"/>
    <n v="1"/>
    <s v="Male"/>
    <n v="92"/>
    <n v="3"/>
    <n v="2"/>
    <s v="Sales Executive"/>
    <n v="4"/>
    <s v="Married"/>
    <n v="5675"/>
    <n v="19246"/>
    <n v="1"/>
    <s v="Y"/>
    <x v="1"/>
    <n v="20"/>
    <n v="4"/>
    <n v="3"/>
    <n v="80"/>
    <n v="1"/>
    <n v="7"/>
    <n v="5"/>
    <n v="3"/>
    <n v="7"/>
    <n v="7"/>
    <n v="7"/>
    <n v="7"/>
    <s v="Low"/>
    <s v="Medium"/>
    <s v="Experienced"/>
  </r>
  <r>
    <n v="27"/>
    <x v="1"/>
    <s v="Travel_Frequently"/>
    <n v="1297"/>
    <x v="1"/>
    <n v="5"/>
    <n v="2"/>
    <s v="Life Sciences"/>
    <x v="0"/>
    <n v="1850"/>
    <n v="4"/>
    <s v="Female"/>
    <n v="53"/>
    <n v="3"/>
    <n v="1"/>
    <s v="Laboratory Technician"/>
    <n v="4"/>
    <s v="Single"/>
    <n v="2379"/>
    <n v="19826"/>
    <n v="0"/>
    <s v="Y"/>
    <x v="0"/>
    <n v="14"/>
    <n v="3"/>
    <n v="3"/>
    <n v="80"/>
    <n v="0"/>
    <n v="6"/>
    <n v="3"/>
    <n v="2"/>
    <n v="5"/>
    <n v="4"/>
    <n v="0"/>
    <n v="2"/>
    <s v="Low"/>
    <s v="Low"/>
    <s v="Experienced"/>
  </r>
  <r>
    <n v="29"/>
    <x v="1"/>
    <s v="Travel_Frequently"/>
    <n v="574"/>
    <x v="1"/>
    <n v="20"/>
    <n v="1"/>
    <s v="Medical"/>
    <x v="0"/>
    <n v="1852"/>
    <n v="4"/>
    <s v="Male"/>
    <n v="40"/>
    <n v="3"/>
    <n v="1"/>
    <s v="Laboratory Technician"/>
    <n v="4"/>
    <s v="Married"/>
    <n v="3812"/>
    <n v="7003"/>
    <n v="1"/>
    <s v="Y"/>
    <x v="1"/>
    <n v="13"/>
    <n v="3"/>
    <n v="2"/>
    <n v="80"/>
    <n v="0"/>
    <n v="11"/>
    <n v="3"/>
    <n v="4"/>
    <n v="11"/>
    <n v="8"/>
    <n v="3"/>
    <n v="10"/>
    <s v="Low"/>
    <s v="Low"/>
    <s v="High"/>
  </r>
  <r>
    <n v="32"/>
    <x v="1"/>
    <s v="Travel_Frequently"/>
    <n v="1318"/>
    <x v="0"/>
    <n v="10"/>
    <n v="4"/>
    <s v="Marketing"/>
    <x v="0"/>
    <n v="1853"/>
    <n v="4"/>
    <s v="Male"/>
    <n v="79"/>
    <n v="3"/>
    <n v="2"/>
    <s v="Sales Executive"/>
    <n v="4"/>
    <s v="Single"/>
    <n v="4648"/>
    <n v="26075"/>
    <n v="8"/>
    <s v="Y"/>
    <x v="1"/>
    <n v="13"/>
    <n v="3"/>
    <n v="3"/>
    <n v="80"/>
    <n v="0"/>
    <n v="4"/>
    <n v="2"/>
    <n v="4"/>
    <n v="0"/>
    <n v="0"/>
    <n v="0"/>
    <n v="0"/>
    <s v="Low"/>
    <s v="Medium"/>
    <s v="new"/>
  </r>
  <r>
    <n v="42"/>
    <x v="1"/>
    <s v="Non-Travel"/>
    <n v="355"/>
    <x v="1"/>
    <n v="10"/>
    <n v="4"/>
    <s v="Technical Degree"/>
    <x v="0"/>
    <n v="1854"/>
    <n v="3"/>
    <s v="Male"/>
    <n v="38"/>
    <n v="3"/>
    <n v="1"/>
    <s v="Research Scientist"/>
    <n v="3"/>
    <s v="Married"/>
    <n v="2936"/>
    <n v="6161"/>
    <n v="3"/>
    <s v="Y"/>
    <x v="1"/>
    <n v="22"/>
    <n v="4"/>
    <n v="2"/>
    <n v="80"/>
    <n v="2"/>
    <n v="10"/>
    <n v="1"/>
    <n v="2"/>
    <n v="6"/>
    <n v="3"/>
    <n v="3"/>
    <n v="3"/>
    <s v="Low"/>
    <s v="Low"/>
    <s v="Experienced"/>
  </r>
  <r>
    <n v="47"/>
    <x v="1"/>
    <s v="Travel_Rarely"/>
    <n v="207"/>
    <x v="1"/>
    <n v="9"/>
    <n v="4"/>
    <s v="Life Sciences"/>
    <x v="0"/>
    <n v="1856"/>
    <n v="2"/>
    <s v="Female"/>
    <n v="64"/>
    <n v="3"/>
    <n v="1"/>
    <s v="Laboratory Technician"/>
    <n v="3"/>
    <s v="Single"/>
    <n v="2105"/>
    <n v="5411"/>
    <n v="4"/>
    <s v="Y"/>
    <x v="1"/>
    <n v="12"/>
    <n v="3"/>
    <n v="3"/>
    <n v="80"/>
    <n v="0"/>
    <n v="7"/>
    <n v="2"/>
    <n v="3"/>
    <n v="2"/>
    <n v="2"/>
    <n v="2"/>
    <n v="0"/>
    <s v="Low"/>
    <s v="Low"/>
    <s v="new"/>
  </r>
  <r>
    <n v="46"/>
    <x v="1"/>
    <s v="Travel_Rarely"/>
    <n v="706"/>
    <x v="1"/>
    <n v="2"/>
    <n v="2"/>
    <s v="Life Sciences"/>
    <x v="0"/>
    <n v="1857"/>
    <n v="4"/>
    <s v="Male"/>
    <n v="82"/>
    <n v="3"/>
    <n v="3"/>
    <s v="Manufacturing Director"/>
    <n v="4"/>
    <s v="Divorced"/>
    <n v="8578"/>
    <n v="19989"/>
    <n v="3"/>
    <s v="Y"/>
    <x v="1"/>
    <n v="14"/>
    <n v="3"/>
    <n v="3"/>
    <n v="80"/>
    <n v="1"/>
    <n v="12"/>
    <n v="4"/>
    <n v="2"/>
    <n v="9"/>
    <n v="8"/>
    <n v="4"/>
    <n v="7"/>
    <s v="High"/>
    <s v="High"/>
    <s v="High"/>
  </r>
  <r>
    <n v="28"/>
    <x v="1"/>
    <s v="Non-Travel"/>
    <n v="280"/>
    <x v="2"/>
    <n v="1"/>
    <n v="2"/>
    <s v="Life Sciences"/>
    <x v="0"/>
    <n v="1858"/>
    <n v="3"/>
    <s v="Male"/>
    <n v="43"/>
    <n v="3"/>
    <n v="1"/>
    <s v="Human Resources"/>
    <n v="4"/>
    <s v="Divorced"/>
    <n v="2706"/>
    <n v="10494"/>
    <n v="1"/>
    <s v="Y"/>
    <x v="1"/>
    <n v="15"/>
    <n v="3"/>
    <n v="2"/>
    <n v="80"/>
    <n v="1"/>
    <n v="3"/>
    <n v="2"/>
    <n v="3"/>
    <n v="3"/>
    <n v="2"/>
    <n v="2"/>
    <n v="2"/>
    <s v="Low"/>
    <s v="Low"/>
    <s v="Experienced"/>
  </r>
  <r>
    <n v="29"/>
    <x v="1"/>
    <s v="Travel_Rarely"/>
    <n v="726"/>
    <x v="1"/>
    <n v="29"/>
    <n v="1"/>
    <s v="Life Sciences"/>
    <x v="0"/>
    <n v="1859"/>
    <n v="4"/>
    <s v="Male"/>
    <n v="93"/>
    <n v="1"/>
    <n v="2"/>
    <s v="Healthcare Representative"/>
    <n v="3"/>
    <s v="Divorced"/>
    <n v="6384"/>
    <n v="21143"/>
    <n v="8"/>
    <s v="Y"/>
    <x v="1"/>
    <n v="17"/>
    <n v="3"/>
    <n v="4"/>
    <n v="80"/>
    <n v="2"/>
    <n v="11"/>
    <n v="3"/>
    <n v="3"/>
    <n v="7"/>
    <n v="0"/>
    <n v="1"/>
    <n v="6"/>
    <s v="Low"/>
    <s v="Medium"/>
    <s v="Experienced"/>
  </r>
  <r>
    <n v="42"/>
    <x v="1"/>
    <s v="Travel_Rarely"/>
    <n v="1142"/>
    <x v="1"/>
    <n v="8"/>
    <n v="3"/>
    <s v="Life Sciences"/>
    <x v="0"/>
    <n v="1860"/>
    <n v="4"/>
    <s v="Male"/>
    <n v="81"/>
    <n v="3"/>
    <n v="1"/>
    <s v="Laboratory Technician"/>
    <n v="3"/>
    <s v="Single"/>
    <n v="3968"/>
    <n v="13624"/>
    <n v="4"/>
    <s v="Y"/>
    <x v="1"/>
    <n v="13"/>
    <n v="3"/>
    <n v="4"/>
    <n v="80"/>
    <n v="0"/>
    <n v="8"/>
    <n v="3"/>
    <n v="3"/>
    <n v="0"/>
    <n v="0"/>
    <n v="0"/>
    <n v="0"/>
    <s v="Low"/>
    <s v="Low"/>
    <s v="new"/>
  </r>
  <r>
    <n v="32"/>
    <x v="0"/>
    <s v="Travel_Rarely"/>
    <n v="414"/>
    <x v="0"/>
    <n v="2"/>
    <n v="4"/>
    <s v="Marketing"/>
    <x v="0"/>
    <n v="1862"/>
    <n v="3"/>
    <s v="Male"/>
    <n v="82"/>
    <n v="2"/>
    <n v="2"/>
    <s v="Sales Executive"/>
    <n v="2"/>
    <s v="Single"/>
    <n v="9907"/>
    <n v="26186"/>
    <n v="7"/>
    <s v="Y"/>
    <x v="0"/>
    <n v="12"/>
    <n v="3"/>
    <n v="3"/>
    <n v="80"/>
    <n v="0"/>
    <n v="7"/>
    <n v="3"/>
    <n v="2"/>
    <n v="2"/>
    <n v="2"/>
    <n v="2"/>
    <n v="2"/>
    <s v="High"/>
    <s v="High"/>
    <s v="new"/>
  </r>
  <r>
    <n v="46"/>
    <x v="1"/>
    <s v="Travel_Rarely"/>
    <n v="1319"/>
    <x v="0"/>
    <n v="3"/>
    <n v="3"/>
    <s v="Technical Degree"/>
    <x v="0"/>
    <n v="1863"/>
    <n v="1"/>
    <s v="Female"/>
    <n v="45"/>
    <n v="4"/>
    <n v="4"/>
    <s v="Sales Executive"/>
    <n v="1"/>
    <s v="Divorced"/>
    <n v="13225"/>
    <n v="7739"/>
    <n v="2"/>
    <s v="Y"/>
    <x v="1"/>
    <n v="12"/>
    <n v="3"/>
    <n v="4"/>
    <n v="80"/>
    <n v="1"/>
    <n v="25"/>
    <n v="5"/>
    <n v="3"/>
    <n v="19"/>
    <n v="17"/>
    <n v="2"/>
    <n v="8"/>
    <s v="High"/>
    <s v="High"/>
    <s v="High"/>
  </r>
  <r>
    <n v="27"/>
    <x v="1"/>
    <s v="Travel_Rarely"/>
    <n v="728"/>
    <x v="0"/>
    <n v="23"/>
    <n v="1"/>
    <s v="Medical"/>
    <x v="0"/>
    <n v="1864"/>
    <n v="2"/>
    <s v="Female"/>
    <n v="36"/>
    <n v="2"/>
    <n v="2"/>
    <s v="Sales Representative"/>
    <n v="3"/>
    <s v="Married"/>
    <n v="3540"/>
    <n v="7018"/>
    <n v="1"/>
    <s v="Y"/>
    <x v="1"/>
    <n v="21"/>
    <n v="4"/>
    <n v="4"/>
    <n v="80"/>
    <n v="1"/>
    <n v="9"/>
    <n v="5"/>
    <n v="3"/>
    <n v="9"/>
    <n v="8"/>
    <n v="5"/>
    <n v="8"/>
    <s v="Low"/>
    <s v="Low"/>
    <s v="High"/>
  </r>
  <r>
    <n v="29"/>
    <x v="1"/>
    <s v="Travel_Rarely"/>
    <n v="352"/>
    <x v="2"/>
    <n v="6"/>
    <n v="1"/>
    <s v="Medical"/>
    <x v="0"/>
    <n v="1865"/>
    <n v="4"/>
    <s v="Male"/>
    <n v="87"/>
    <n v="2"/>
    <n v="1"/>
    <s v="Human Resources"/>
    <n v="2"/>
    <s v="Married"/>
    <n v="2804"/>
    <n v="15434"/>
    <n v="1"/>
    <s v="Y"/>
    <x v="1"/>
    <n v="11"/>
    <n v="3"/>
    <n v="4"/>
    <n v="80"/>
    <n v="0"/>
    <n v="1"/>
    <n v="3"/>
    <n v="3"/>
    <n v="1"/>
    <n v="0"/>
    <n v="0"/>
    <n v="0"/>
    <s v="Low"/>
    <s v="Low"/>
    <s v="new"/>
  </r>
  <r>
    <n v="43"/>
    <x v="1"/>
    <s v="Travel_Rarely"/>
    <n v="823"/>
    <x v="1"/>
    <n v="6"/>
    <n v="3"/>
    <s v="Medical"/>
    <x v="0"/>
    <n v="1866"/>
    <n v="1"/>
    <s v="Female"/>
    <n v="81"/>
    <n v="2"/>
    <n v="5"/>
    <s v="Manager"/>
    <n v="3"/>
    <s v="Married"/>
    <n v="19392"/>
    <n v="22539"/>
    <n v="7"/>
    <s v="Y"/>
    <x v="1"/>
    <n v="13"/>
    <n v="3"/>
    <n v="4"/>
    <n v="80"/>
    <n v="0"/>
    <n v="21"/>
    <n v="2"/>
    <n v="3"/>
    <n v="16"/>
    <n v="12"/>
    <n v="6"/>
    <n v="14"/>
    <s v="High"/>
    <s v="High"/>
    <s v="High"/>
  </r>
  <r>
    <n v="48"/>
    <x v="1"/>
    <s v="Travel_Rarely"/>
    <n v="1224"/>
    <x v="1"/>
    <n v="10"/>
    <n v="3"/>
    <s v="Life Sciences"/>
    <x v="0"/>
    <n v="1867"/>
    <n v="4"/>
    <s v="Male"/>
    <n v="91"/>
    <n v="2"/>
    <n v="5"/>
    <s v="Research Director"/>
    <n v="2"/>
    <s v="Married"/>
    <n v="19665"/>
    <n v="13583"/>
    <n v="4"/>
    <s v="Y"/>
    <x v="1"/>
    <n v="12"/>
    <n v="3"/>
    <n v="4"/>
    <n v="80"/>
    <n v="0"/>
    <n v="29"/>
    <n v="3"/>
    <n v="3"/>
    <n v="22"/>
    <n v="10"/>
    <n v="12"/>
    <n v="9"/>
    <s v="High"/>
    <s v="High"/>
    <s v="High"/>
  </r>
  <r>
    <n v="29"/>
    <x v="0"/>
    <s v="Travel_Frequently"/>
    <n v="459"/>
    <x v="1"/>
    <n v="24"/>
    <n v="2"/>
    <s v="Life Sciences"/>
    <x v="0"/>
    <n v="1868"/>
    <n v="4"/>
    <s v="Male"/>
    <n v="73"/>
    <n v="2"/>
    <n v="1"/>
    <s v="Research Scientist"/>
    <n v="4"/>
    <s v="Single"/>
    <n v="2439"/>
    <n v="14753"/>
    <n v="1"/>
    <s v="Y"/>
    <x v="0"/>
    <n v="24"/>
    <n v="4"/>
    <n v="2"/>
    <n v="80"/>
    <n v="0"/>
    <n v="1"/>
    <n v="3"/>
    <n v="2"/>
    <n v="1"/>
    <n v="0"/>
    <n v="1"/>
    <n v="0"/>
    <s v="Low"/>
    <s v="Low"/>
    <s v="new"/>
  </r>
  <r>
    <n v="46"/>
    <x v="0"/>
    <s v="Travel_Rarely"/>
    <n v="1254"/>
    <x v="0"/>
    <n v="10"/>
    <n v="3"/>
    <s v="Life Sciences"/>
    <x v="0"/>
    <n v="1869"/>
    <n v="3"/>
    <s v="Female"/>
    <n v="64"/>
    <n v="3"/>
    <n v="3"/>
    <s v="Sales Executive"/>
    <n v="2"/>
    <s v="Married"/>
    <n v="7314"/>
    <n v="14011"/>
    <n v="5"/>
    <s v="Y"/>
    <x v="1"/>
    <n v="21"/>
    <n v="4"/>
    <n v="3"/>
    <n v="80"/>
    <n v="3"/>
    <n v="14"/>
    <n v="2"/>
    <n v="3"/>
    <n v="8"/>
    <n v="7"/>
    <n v="0"/>
    <n v="7"/>
    <s v="High"/>
    <s v="Medium"/>
    <s v="High"/>
  </r>
  <r>
    <n v="27"/>
    <x v="1"/>
    <s v="Travel_Frequently"/>
    <n v="1131"/>
    <x v="1"/>
    <n v="15"/>
    <n v="3"/>
    <s v="Life Sciences"/>
    <x v="0"/>
    <n v="1870"/>
    <n v="4"/>
    <s v="Female"/>
    <n v="77"/>
    <n v="2"/>
    <n v="1"/>
    <s v="Research Scientist"/>
    <n v="1"/>
    <s v="Married"/>
    <n v="4774"/>
    <n v="23844"/>
    <n v="0"/>
    <s v="Y"/>
    <x v="1"/>
    <n v="19"/>
    <n v="3"/>
    <n v="4"/>
    <n v="80"/>
    <n v="1"/>
    <n v="8"/>
    <n v="2"/>
    <n v="2"/>
    <n v="7"/>
    <n v="6"/>
    <n v="7"/>
    <n v="3"/>
    <s v="Low"/>
    <s v="Medium"/>
    <s v="Experienced"/>
  </r>
  <r>
    <n v="39"/>
    <x v="1"/>
    <s v="Travel_Rarely"/>
    <n v="835"/>
    <x v="1"/>
    <n v="19"/>
    <n v="4"/>
    <s v="Other"/>
    <x v="0"/>
    <n v="1871"/>
    <n v="4"/>
    <s v="Male"/>
    <n v="41"/>
    <n v="3"/>
    <n v="2"/>
    <s v="Research Scientist"/>
    <n v="4"/>
    <s v="Divorced"/>
    <n v="3902"/>
    <n v="5141"/>
    <n v="8"/>
    <s v="Y"/>
    <x v="1"/>
    <n v="14"/>
    <n v="3"/>
    <n v="2"/>
    <n v="80"/>
    <n v="3"/>
    <n v="7"/>
    <n v="2"/>
    <n v="3"/>
    <n v="2"/>
    <n v="2"/>
    <n v="2"/>
    <n v="2"/>
    <s v="Low"/>
    <s v="Low"/>
    <s v="new"/>
  </r>
  <r>
    <n v="55"/>
    <x v="1"/>
    <s v="Travel_Rarely"/>
    <n v="836"/>
    <x v="1"/>
    <n v="2"/>
    <n v="4"/>
    <s v="Technical Degree"/>
    <x v="0"/>
    <n v="1873"/>
    <n v="2"/>
    <s v="Male"/>
    <n v="98"/>
    <n v="2"/>
    <n v="1"/>
    <s v="Research Scientist"/>
    <n v="4"/>
    <s v="Married"/>
    <n v="2662"/>
    <n v="7975"/>
    <n v="8"/>
    <s v="Y"/>
    <x v="1"/>
    <n v="20"/>
    <n v="4"/>
    <n v="2"/>
    <n v="80"/>
    <n v="1"/>
    <n v="19"/>
    <n v="2"/>
    <n v="4"/>
    <n v="5"/>
    <n v="2"/>
    <n v="0"/>
    <n v="4"/>
    <s v="Low"/>
    <s v="Low"/>
    <s v="Experienced"/>
  </r>
  <r>
    <n v="28"/>
    <x v="1"/>
    <s v="Travel_Rarely"/>
    <n v="1172"/>
    <x v="0"/>
    <n v="3"/>
    <n v="3"/>
    <s v="Medical"/>
    <x v="0"/>
    <n v="1875"/>
    <n v="2"/>
    <s v="Female"/>
    <n v="78"/>
    <n v="3"/>
    <n v="1"/>
    <s v="Sales Representative"/>
    <n v="2"/>
    <s v="Married"/>
    <n v="2856"/>
    <n v="3692"/>
    <n v="1"/>
    <s v="Y"/>
    <x v="1"/>
    <n v="19"/>
    <n v="3"/>
    <n v="4"/>
    <n v="80"/>
    <n v="1"/>
    <n v="1"/>
    <n v="3"/>
    <n v="3"/>
    <n v="1"/>
    <n v="0"/>
    <n v="0"/>
    <n v="0"/>
    <s v="Low"/>
    <s v="Low"/>
    <s v="new"/>
  </r>
  <r>
    <n v="30"/>
    <x v="0"/>
    <s v="Travel_Rarely"/>
    <n v="945"/>
    <x v="0"/>
    <n v="9"/>
    <n v="3"/>
    <s v="Medical"/>
    <x v="0"/>
    <n v="1876"/>
    <n v="2"/>
    <s v="Male"/>
    <n v="89"/>
    <n v="3"/>
    <n v="1"/>
    <s v="Sales Representative"/>
    <n v="4"/>
    <s v="Single"/>
    <n v="1081"/>
    <n v="16019"/>
    <n v="1"/>
    <s v="Y"/>
    <x v="1"/>
    <n v="13"/>
    <n v="3"/>
    <n v="3"/>
    <n v="80"/>
    <n v="0"/>
    <n v="1"/>
    <n v="3"/>
    <n v="2"/>
    <n v="1"/>
    <n v="0"/>
    <n v="0"/>
    <n v="0"/>
    <s v="Low"/>
    <s v="Low"/>
    <s v="new"/>
  </r>
  <r>
    <n v="22"/>
    <x v="0"/>
    <s v="Travel_Rarely"/>
    <n v="391"/>
    <x v="1"/>
    <n v="7"/>
    <n v="1"/>
    <s v="Life Sciences"/>
    <x v="0"/>
    <n v="1878"/>
    <n v="4"/>
    <s v="Male"/>
    <n v="75"/>
    <n v="3"/>
    <n v="1"/>
    <s v="Research Scientist"/>
    <n v="2"/>
    <s v="Single"/>
    <n v="2472"/>
    <n v="26092"/>
    <n v="1"/>
    <s v="Y"/>
    <x v="0"/>
    <n v="23"/>
    <n v="4"/>
    <n v="1"/>
    <n v="80"/>
    <n v="0"/>
    <n v="1"/>
    <n v="2"/>
    <n v="3"/>
    <n v="1"/>
    <n v="0"/>
    <n v="0"/>
    <n v="0"/>
    <s v="Low"/>
    <s v="Low"/>
    <s v="new"/>
  </r>
  <r>
    <n v="36"/>
    <x v="1"/>
    <s v="Travel_Rarely"/>
    <n v="1266"/>
    <x v="0"/>
    <n v="10"/>
    <n v="4"/>
    <s v="Technical Degree"/>
    <x v="0"/>
    <n v="1880"/>
    <n v="2"/>
    <s v="Female"/>
    <n v="63"/>
    <n v="2"/>
    <n v="2"/>
    <s v="Sales Executive"/>
    <n v="3"/>
    <s v="Married"/>
    <n v="5673"/>
    <n v="6060"/>
    <n v="1"/>
    <s v="Y"/>
    <x v="0"/>
    <n v="13"/>
    <n v="3"/>
    <n v="1"/>
    <n v="80"/>
    <n v="1"/>
    <n v="10"/>
    <n v="4"/>
    <n v="3"/>
    <n v="10"/>
    <n v="9"/>
    <n v="1"/>
    <n v="7"/>
    <s v="Low"/>
    <s v="Medium"/>
    <s v="High"/>
  </r>
  <r>
    <n v="31"/>
    <x v="1"/>
    <s v="Travel_Rarely"/>
    <n v="311"/>
    <x v="1"/>
    <n v="20"/>
    <n v="3"/>
    <s v="Life Sciences"/>
    <x v="0"/>
    <n v="1881"/>
    <n v="2"/>
    <s v="Male"/>
    <n v="89"/>
    <n v="3"/>
    <n v="2"/>
    <s v="Laboratory Technician"/>
    <n v="3"/>
    <s v="Divorced"/>
    <n v="4197"/>
    <n v="18624"/>
    <n v="1"/>
    <s v="Y"/>
    <x v="1"/>
    <n v="11"/>
    <n v="3"/>
    <n v="1"/>
    <n v="80"/>
    <n v="1"/>
    <n v="10"/>
    <n v="2"/>
    <n v="3"/>
    <n v="10"/>
    <n v="8"/>
    <n v="0"/>
    <n v="2"/>
    <s v="Low"/>
    <s v="Medium"/>
    <s v="High"/>
  </r>
  <r>
    <n v="34"/>
    <x v="1"/>
    <s v="Travel_Rarely"/>
    <n v="1480"/>
    <x v="0"/>
    <n v="4"/>
    <n v="3"/>
    <s v="Life Sciences"/>
    <x v="0"/>
    <n v="1882"/>
    <n v="3"/>
    <s v="Male"/>
    <n v="64"/>
    <n v="3"/>
    <n v="3"/>
    <s v="Sales Executive"/>
    <n v="4"/>
    <s v="Married"/>
    <n v="9713"/>
    <n v="24444"/>
    <n v="2"/>
    <s v="Y"/>
    <x v="0"/>
    <n v="13"/>
    <n v="3"/>
    <n v="4"/>
    <n v="80"/>
    <n v="3"/>
    <n v="9"/>
    <n v="3"/>
    <n v="3"/>
    <n v="5"/>
    <n v="3"/>
    <n v="1"/>
    <n v="0"/>
    <s v="High"/>
    <s v="High"/>
    <s v="Experienced"/>
  </r>
  <r>
    <n v="29"/>
    <x v="1"/>
    <s v="Travel_Rarely"/>
    <n v="592"/>
    <x v="1"/>
    <n v="7"/>
    <n v="3"/>
    <s v="Life Sciences"/>
    <x v="0"/>
    <n v="1883"/>
    <n v="4"/>
    <s v="Male"/>
    <n v="59"/>
    <n v="3"/>
    <n v="1"/>
    <s v="Laboratory Technician"/>
    <n v="1"/>
    <s v="Single"/>
    <n v="2062"/>
    <n v="19384"/>
    <n v="3"/>
    <s v="Y"/>
    <x v="1"/>
    <n v="14"/>
    <n v="3"/>
    <n v="2"/>
    <n v="80"/>
    <n v="0"/>
    <n v="11"/>
    <n v="2"/>
    <n v="3"/>
    <n v="3"/>
    <n v="2"/>
    <n v="1"/>
    <n v="2"/>
    <s v="Low"/>
    <s v="Low"/>
    <s v="Experienced"/>
  </r>
  <r>
    <n v="37"/>
    <x v="1"/>
    <s v="Travel_Rarely"/>
    <n v="783"/>
    <x v="1"/>
    <n v="7"/>
    <n v="4"/>
    <s v="Medical"/>
    <x v="0"/>
    <n v="1885"/>
    <n v="4"/>
    <s v="Male"/>
    <n v="78"/>
    <n v="3"/>
    <n v="2"/>
    <s v="Research Scientist"/>
    <n v="1"/>
    <s v="Married"/>
    <n v="4284"/>
    <n v="13588"/>
    <n v="5"/>
    <s v="Y"/>
    <x v="0"/>
    <n v="22"/>
    <n v="4"/>
    <n v="3"/>
    <n v="80"/>
    <n v="1"/>
    <n v="16"/>
    <n v="2"/>
    <n v="3"/>
    <n v="5"/>
    <n v="3"/>
    <n v="0"/>
    <n v="4"/>
    <s v="Low"/>
    <s v="Medium"/>
    <s v="Experienced"/>
  </r>
  <r>
    <n v="35"/>
    <x v="1"/>
    <s v="Travel_Rarely"/>
    <n v="219"/>
    <x v="1"/>
    <n v="16"/>
    <n v="2"/>
    <s v="Other"/>
    <x v="0"/>
    <n v="1886"/>
    <n v="4"/>
    <s v="Female"/>
    <n v="44"/>
    <n v="2"/>
    <n v="2"/>
    <s v="Manufacturing Director"/>
    <n v="2"/>
    <s v="Married"/>
    <n v="4788"/>
    <n v="25388"/>
    <n v="0"/>
    <s v="Y"/>
    <x v="0"/>
    <n v="11"/>
    <n v="3"/>
    <n v="4"/>
    <n v="80"/>
    <n v="0"/>
    <n v="4"/>
    <n v="2"/>
    <n v="3"/>
    <n v="3"/>
    <n v="2"/>
    <n v="0"/>
    <n v="2"/>
    <s v="Low"/>
    <s v="Medium"/>
    <s v="Experienced"/>
  </r>
  <r>
    <n v="45"/>
    <x v="1"/>
    <s v="Travel_Rarely"/>
    <n v="556"/>
    <x v="1"/>
    <n v="25"/>
    <n v="2"/>
    <s v="Life Sciences"/>
    <x v="0"/>
    <n v="1888"/>
    <n v="2"/>
    <s v="Female"/>
    <n v="93"/>
    <n v="2"/>
    <n v="2"/>
    <s v="Manufacturing Director"/>
    <n v="4"/>
    <s v="Married"/>
    <n v="5906"/>
    <n v="23888"/>
    <n v="0"/>
    <s v="Y"/>
    <x v="1"/>
    <n v="13"/>
    <n v="3"/>
    <n v="4"/>
    <n v="80"/>
    <n v="2"/>
    <n v="10"/>
    <n v="2"/>
    <n v="2"/>
    <n v="9"/>
    <n v="8"/>
    <n v="3"/>
    <n v="8"/>
    <s v="Low"/>
    <s v="Medium"/>
    <s v="High"/>
  </r>
  <r>
    <n v="36"/>
    <x v="1"/>
    <s v="Travel_Frequently"/>
    <n v="1213"/>
    <x v="2"/>
    <n v="2"/>
    <n v="1"/>
    <s v="Human Resources"/>
    <x v="0"/>
    <n v="1890"/>
    <n v="2"/>
    <s v="Male"/>
    <n v="94"/>
    <n v="2"/>
    <n v="2"/>
    <s v="Human Resources"/>
    <n v="4"/>
    <s v="Single"/>
    <n v="3886"/>
    <n v="4223"/>
    <n v="1"/>
    <s v="Y"/>
    <x v="1"/>
    <n v="21"/>
    <n v="4"/>
    <n v="4"/>
    <n v="80"/>
    <n v="0"/>
    <n v="10"/>
    <n v="2"/>
    <n v="2"/>
    <n v="10"/>
    <n v="1"/>
    <n v="0"/>
    <n v="8"/>
    <s v="Low"/>
    <s v="Low"/>
    <s v="High"/>
  </r>
  <r>
    <n v="40"/>
    <x v="1"/>
    <s v="Travel_Rarely"/>
    <n v="1137"/>
    <x v="1"/>
    <n v="1"/>
    <n v="4"/>
    <s v="Life Sciences"/>
    <x v="0"/>
    <n v="1892"/>
    <n v="1"/>
    <s v="Male"/>
    <n v="98"/>
    <n v="3"/>
    <n v="4"/>
    <s v="Manager"/>
    <n v="1"/>
    <s v="Divorced"/>
    <n v="16823"/>
    <n v="18991"/>
    <n v="2"/>
    <s v="Y"/>
    <x v="1"/>
    <n v="11"/>
    <n v="3"/>
    <n v="1"/>
    <n v="80"/>
    <n v="1"/>
    <n v="22"/>
    <n v="3"/>
    <n v="3"/>
    <n v="19"/>
    <n v="7"/>
    <n v="11"/>
    <n v="16"/>
    <s v="High"/>
    <s v="High"/>
    <s v="High"/>
  </r>
  <r>
    <n v="26"/>
    <x v="1"/>
    <s v="Travel_Rarely"/>
    <n v="482"/>
    <x v="1"/>
    <n v="1"/>
    <n v="2"/>
    <s v="Life Sciences"/>
    <x v="0"/>
    <n v="1893"/>
    <n v="2"/>
    <s v="Female"/>
    <n v="90"/>
    <n v="2"/>
    <n v="1"/>
    <s v="Research Scientist"/>
    <n v="3"/>
    <s v="Married"/>
    <n v="2933"/>
    <n v="14908"/>
    <n v="1"/>
    <s v="Y"/>
    <x v="0"/>
    <n v="13"/>
    <n v="3"/>
    <n v="3"/>
    <n v="80"/>
    <n v="1"/>
    <n v="1"/>
    <n v="3"/>
    <n v="2"/>
    <n v="1"/>
    <n v="0"/>
    <n v="1"/>
    <n v="0"/>
    <s v="Low"/>
    <s v="Low"/>
    <s v="new"/>
  </r>
  <r>
    <n v="27"/>
    <x v="1"/>
    <s v="Travel_Rarely"/>
    <n v="511"/>
    <x v="0"/>
    <n v="2"/>
    <n v="2"/>
    <s v="Medical"/>
    <x v="0"/>
    <n v="1898"/>
    <n v="1"/>
    <s v="Female"/>
    <n v="89"/>
    <n v="4"/>
    <n v="2"/>
    <s v="Sales Executive"/>
    <n v="3"/>
    <s v="Single"/>
    <n v="6500"/>
    <n v="26997"/>
    <n v="0"/>
    <s v="Y"/>
    <x v="1"/>
    <n v="14"/>
    <n v="3"/>
    <n v="2"/>
    <n v="80"/>
    <n v="0"/>
    <n v="9"/>
    <n v="5"/>
    <n v="2"/>
    <n v="8"/>
    <n v="7"/>
    <n v="0"/>
    <n v="7"/>
    <s v="High"/>
    <s v="Medium"/>
    <s v="High"/>
  </r>
  <r>
    <n v="48"/>
    <x v="1"/>
    <s v="Travel_Frequently"/>
    <n v="117"/>
    <x v="1"/>
    <n v="22"/>
    <n v="3"/>
    <s v="Medical"/>
    <x v="0"/>
    <n v="1900"/>
    <n v="4"/>
    <s v="Female"/>
    <n v="58"/>
    <n v="3"/>
    <n v="4"/>
    <s v="Manager"/>
    <n v="4"/>
    <s v="Divorced"/>
    <n v="17174"/>
    <n v="2437"/>
    <n v="3"/>
    <s v="Y"/>
    <x v="1"/>
    <n v="11"/>
    <n v="3"/>
    <n v="2"/>
    <n v="80"/>
    <n v="1"/>
    <n v="24"/>
    <n v="3"/>
    <n v="3"/>
    <n v="22"/>
    <n v="17"/>
    <n v="4"/>
    <n v="7"/>
    <s v="High"/>
    <s v="High"/>
    <s v="High"/>
  </r>
  <r>
    <n v="44"/>
    <x v="1"/>
    <s v="Travel_Rarely"/>
    <n v="170"/>
    <x v="1"/>
    <n v="1"/>
    <n v="4"/>
    <s v="Life Sciences"/>
    <x v="0"/>
    <n v="1903"/>
    <n v="2"/>
    <s v="Male"/>
    <n v="78"/>
    <n v="4"/>
    <n v="2"/>
    <s v="Healthcare Representative"/>
    <n v="1"/>
    <s v="Married"/>
    <n v="5033"/>
    <n v="9364"/>
    <n v="2"/>
    <s v="Y"/>
    <x v="1"/>
    <n v="15"/>
    <n v="3"/>
    <n v="4"/>
    <n v="80"/>
    <n v="1"/>
    <n v="10"/>
    <n v="5"/>
    <n v="3"/>
    <n v="2"/>
    <n v="0"/>
    <n v="2"/>
    <n v="2"/>
    <s v="Low"/>
    <s v="Medium"/>
    <s v="new"/>
  </r>
  <r>
    <n v="34"/>
    <x v="0"/>
    <s v="Non-Travel"/>
    <n v="967"/>
    <x v="1"/>
    <n v="16"/>
    <n v="4"/>
    <s v="Technical Degree"/>
    <x v="0"/>
    <n v="1905"/>
    <n v="4"/>
    <s v="Male"/>
    <n v="85"/>
    <n v="1"/>
    <n v="1"/>
    <s v="Research Scientist"/>
    <n v="1"/>
    <s v="Married"/>
    <n v="2307"/>
    <n v="14460"/>
    <n v="1"/>
    <s v="Y"/>
    <x v="0"/>
    <n v="23"/>
    <n v="4"/>
    <n v="2"/>
    <n v="80"/>
    <n v="1"/>
    <n v="5"/>
    <n v="2"/>
    <n v="3"/>
    <n v="5"/>
    <n v="2"/>
    <n v="3"/>
    <n v="0"/>
    <s v="Low"/>
    <s v="Low"/>
    <s v="Experienced"/>
  </r>
  <r>
    <n v="56"/>
    <x v="0"/>
    <s v="Travel_Rarely"/>
    <n v="1162"/>
    <x v="1"/>
    <n v="24"/>
    <n v="2"/>
    <s v="Life Sciences"/>
    <x v="0"/>
    <n v="1907"/>
    <n v="1"/>
    <s v="Male"/>
    <n v="97"/>
    <n v="3"/>
    <n v="1"/>
    <s v="Laboratory Technician"/>
    <n v="4"/>
    <s v="Single"/>
    <n v="2587"/>
    <n v="10261"/>
    <n v="1"/>
    <s v="Y"/>
    <x v="1"/>
    <n v="16"/>
    <n v="3"/>
    <n v="4"/>
    <n v="80"/>
    <n v="0"/>
    <n v="5"/>
    <n v="3"/>
    <n v="3"/>
    <n v="4"/>
    <n v="2"/>
    <n v="1"/>
    <n v="0"/>
    <s v="Low"/>
    <s v="Low"/>
    <s v="Experienced"/>
  </r>
  <r>
    <n v="36"/>
    <x v="1"/>
    <s v="Travel_Rarely"/>
    <n v="335"/>
    <x v="0"/>
    <n v="17"/>
    <n v="2"/>
    <s v="Marketing"/>
    <x v="0"/>
    <n v="1908"/>
    <n v="3"/>
    <s v="Male"/>
    <n v="33"/>
    <n v="2"/>
    <n v="2"/>
    <s v="Sales Executive"/>
    <n v="2"/>
    <s v="Married"/>
    <n v="5507"/>
    <n v="16822"/>
    <n v="2"/>
    <s v="Y"/>
    <x v="1"/>
    <n v="16"/>
    <n v="3"/>
    <n v="3"/>
    <n v="80"/>
    <n v="2"/>
    <n v="12"/>
    <n v="1"/>
    <n v="1"/>
    <n v="4"/>
    <n v="2"/>
    <n v="1"/>
    <n v="3"/>
    <s v="Low"/>
    <s v="Medium"/>
    <s v="Experienced"/>
  </r>
  <r>
    <n v="41"/>
    <x v="1"/>
    <s v="Travel_Rarely"/>
    <n v="337"/>
    <x v="0"/>
    <n v="8"/>
    <n v="3"/>
    <s v="Marketing"/>
    <x v="0"/>
    <n v="1909"/>
    <n v="3"/>
    <s v="Female"/>
    <n v="54"/>
    <n v="3"/>
    <n v="2"/>
    <s v="Sales Executive"/>
    <n v="2"/>
    <s v="Married"/>
    <n v="4393"/>
    <n v="26841"/>
    <n v="5"/>
    <s v="Y"/>
    <x v="1"/>
    <n v="21"/>
    <n v="4"/>
    <n v="3"/>
    <n v="80"/>
    <n v="1"/>
    <n v="14"/>
    <n v="3"/>
    <n v="3"/>
    <n v="5"/>
    <n v="4"/>
    <n v="1"/>
    <n v="4"/>
    <s v="Low"/>
    <s v="Medium"/>
    <s v="Experienced"/>
  </r>
  <r>
    <n v="42"/>
    <x v="1"/>
    <s v="Travel_Rarely"/>
    <n v="1396"/>
    <x v="1"/>
    <n v="6"/>
    <n v="3"/>
    <s v="Medical"/>
    <x v="0"/>
    <n v="1911"/>
    <n v="3"/>
    <s v="Male"/>
    <n v="83"/>
    <n v="3"/>
    <n v="3"/>
    <s v="Research Director"/>
    <n v="1"/>
    <s v="Married"/>
    <n v="13348"/>
    <n v="14842"/>
    <n v="9"/>
    <s v="Y"/>
    <x v="1"/>
    <n v="13"/>
    <n v="3"/>
    <n v="2"/>
    <n v="80"/>
    <n v="1"/>
    <n v="18"/>
    <n v="3"/>
    <n v="4"/>
    <n v="13"/>
    <n v="7"/>
    <n v="5"/>
    <n v="7"/>
    <s v="High"/>
    <s v="High"/>
    <s v="High"/>
  </r>
  <r>
    <n v="31"/>
    <x v="1"/>
    <s v="Travel_Rarely"/>
    <n v="1079"/>
    <x v="0"/>
    <n v="10"/>
    <n v="2"/>
    <s v="Medical"/>
    <x v="0"/>
    <n v="1912"/>
    <n v="3"/>
    <s v="Female"/>
    <n v="86"/>
    <n v="3"/>
    <n v="2"/>
    <s v="Sales Executive"/>
    <n v="4"/>
    <s v="Divorced"/>
    <n v="6583"/>
    <n v="20115"/>
    <n v="2"/>
    <s v="Y"/>
    <x v="0"/>
    <n v="11"/>
    <n v="3"/>
    <n v="4"/>
    <n v="80"/>
    <n v="1"/>
    <n v="8"/>
    <n v="2"/>
    <n v="3"/>
    <n v="5"/>
    <n v="2"/>
    <n v="1"/>
    <n v="4"/>
    <s v="High"/>
    <s v="Medium"/>
    <s v="Experienced"/>
  </r>
  <r>
    <n v="34"/>
    <x v="1"/>
    <s v="Travel_Rarely"/>
    <n v="735"/>
    <x v="0"/>
    <n v="3"/>
    <n v="1"/>
    <s v="Medical"/>
    <x v="0"/>
    <n v="1915"/>
    <n v="4"/>
    <s v="Female"/>
    <n v="75"/>
    <n v="2"/>
    <n v="2"/>
    <s v="Sales Executive"/>
    <n v="4"/>
    <s v="Married"/>
    <n v="8103"/>
    <n v="16495"/>
    <n v="3"/>
    <s v="Y"/>
    <x v="0"/>
    <n v="12"/>
    <n v="3"/>
    <n v="3"/>
    <n v="80"/>
    <n v="0"/>
    <n v="9"/>
    <n v="3"/>
    <n v="2"/>
    <n v="4"/>
    <n v="2"/>
    <n v="0"/>
    <n v="1"/>
    <s v="High"/>
    <s v="High"/>
    <s v="Experienced"/>
  </r>
  <r>
    <n v="31"/>
    <x v="1"/>
    <s v="Travel_Rarely"/>
    <n v="471"/>
    <x v="1"/>
    <n v="4"/>
    <n v="3"/>
    <s v="Medical"/>
    <x v="0"/>
    <n v="1916"/>
    <n v="1"/>
    <s v="Female"/>
    <n v="62"/>
    <n v="4"/>
    <n v="1"/>
    <s v="Laboratory Technician"/>
    <n v="3"/>
    <s v="Divorced"/>
    <n v="3978"/>
    <n v="16031"/>
    <n v="8"/>
    <s v="Y"/>
    <x v="1"/>
    <n v="12"/>
    <n v="3"/>
    <n v="2"/>
    <n v="80"/>
    <n v="1"/>
    <n v="4"/>
    <n v="0"/>
    <n v="2"/>
    <n v="2"/>
    <n v="2"/>
    <n v="2"/>
    <n v="2"/>
    <s v="Low"/>
    <s v="Low"/>
    <s v="new"/>
  </r>
  <r>
    <n v="26"/>
    <x v="1"/>
    <s v="Travel_Frequently"/>
    <n v="1096"/>
    <x v="1"/>
    <n v="6"/>
    <n v="3"/>
    <s v="Other"/>
    <x v="0"/>
    <n v="1918"/>
    <n v="3"/>
    <s v="Male"/>
    <n v="61"/>
    <n v="4"/>
    <n v="1"/>
    <s v="Laboratory Technician"/>
    <n v="4"/>
    <s v="Married"/>
    <n v="2544"/>
    <n v="7102"/>
    <n v="0"/>
    <s v="Y"/>
    <x v="1"/>
    <n v="18"/>
    <n v="3"/>
    <n v="1"/>
    <n v="80"/>
    <n v="1"/>
    <n v="8"/>
    <n v="3"/>
    <n v="3"/>
    <n v="7"/>
    <n v="7"/>
    <n v="7"/>
    <n v="7"/>
    <s v="Low"/>
    <s v="Low"/>
    <s v="Experienced"/>
  </r>
  <r>
    <n v="45"/>
    <x v="1"/>
    <s v="Travel_Frequently"/>
    <n v="1297"/>
    <x v="1"/>
    <n v="1"/>
    <n v="4"/>
    <s v="Medical"/>
    <x v="0"/>
    <n v="1922"/>
    <n v="2"/>
    <s v="Male"/>
    <n v="44"/>
    <n v="3"/>
    <n v="2"/>
    <s v="Healthcare Representative"/>
    <n v="3"/>
    <s v="Single"/>
    <n v="5399"/>
    <n v="14511"/>
    <n v="4"/>
    <s v="Y"/>
    <x v="1"/>
    <n v="12"/>
    <n v="3"/>
    <n v="3"/>
    <n v="80"/>
    <n v="0"/>
    <n v="12"/>
    <n v="3"/>
    <n v="3"/>
    <n v="4"/>
    <n v="2"/>
    <n v="0"/>
    <n v="3"/>
    <s v="Low"/>
    <s v="Medium"/>
    <s v="Experienced"/>
  </r>
  <r>
    <n v="33"/>
    <x v="1"/>
    <s v="Travel_Rarely"/>
    <n v="217"/>
    <x v="0"/>
    <n v="10"/>
    <n v="4"/>
    <s v="Marketing"/>
    <x v="0"/>
    <n v="1924"/>
    <n v="2"/>
    <s v="Male"/>
    <n v="43"/>
    <n v="3"/>
    <n v="2"/>
    <s v="Sales Executive"/>
    <n v="3"/>
    <s v="Single"/>
    <n v="5487"/>
    <n v="10410"/>
    <n v="1"/>
    <s v="Y"/>
    <x v="1"/>
    <n v="14"/>
    <n v="3"/>
    <n v="2"/>
    <n v="80"/>
    <n v="0"/>
    <n v="10"/>
    <n v="2"/>
    <n v="2"/>
    <n v="10"/>
    <n v="4"/>
    <n v="0"/>
    <n v="9"/>
    <s v="Low"/>
    <s v="Medium"/>
    <s v="High"/>
  </r>
  <r>
    <n v="28"/>
    <x v="1"/>
    <s v="Travel_Frequently"/>
    <n v="783"/>
    <x v="0"/>
    <n v="1"/>
    <n v="2"/>
    <s v="Life Sciences"/>
    <x v="0"/>
    <n v="1927"/>
    <n v="3"/>
    <s v="Male"/>
    <n v="42"/>
    <n v="2"/>
    <n v="2"/>
    <s v="Sales Executive"/>
    <n v="4"/>
    <s v="Married"/>
    <n v="6834"/>
    <n v="19255"/>
    <n v="1"/>
    <s v="Y"/>
    <x v="0"/>
    <n v="12"/>
    <n v="3"/>
    <n v="3"/>
    <n v="80"/>
    <n v="1"/>
    <n v="7"/>
    <n v="2"/>
    <n v="3"/>
    <n v="7"/>
    <n v="7"/>
    <n v="0"/>
    <n v="7"/>
    <s v="High"/>
    <s v="Medium"/>
    <s v="Experienced"/>
  </r>
  <r>
    <n v="29"/>
    <x v="0"/>
    <s v="Travel_Frequently"/>
    <n v="746"/>
    <x v="0"/>
    <n v="24"/>
    <n v="3"/>
    <s v="Technical Degree"/>
    <x v="0"/>
    <n v="1928"/>
    <n v="3"/>
    <s v="Male"/>
    <n v="45"/>
    <n v="4"/>
    <n v="1"/>
    <s v="Sales Representative"/>
    <n v="1"/>
    <s v="Single"/>
    <n v="1091"/>
    <n v="10642"/>
    <n v="1"/>
    <s v="Y"/>
    <x v="1"/>
    <n v="17"/>
    <n v="3"/>
    <n v="4"/>
    <n v="80"/>
    <n v="0"/>
    <n v="1"/>
    <n v="3"/>
    <n v="3"/>
    <n v="1"/>
    <n v="0"/>
    <n v="0"/>
    <n v="0"/>
    <s v="Low"/>
    <s v="Low"/>
    <s v="new"/>
  </r>
  <r>
    <n v="39"/>
    <x v="1"/>
    <s v="Non-Travel"/>
    <n v="1251"/>
    <x v="0"/>
    <n v="21"/>
    <n v="4"/>
    <s v="Life Sciences"/>
    <x v="0"/>
    <n v="1929"/>
    <n v="1"/>
    <s v="Female"/>
    <n v="32"/>
    <n v="1"/>
    <n v="2"/>
    <s v="Sales Executive"/>
    <n v="3"/>
    <s v="Married"/>
    <n v="5736"/>
    <n v="3987"/>
    <n v="6"/>
    <s v="Y"/>
    <x v="1"/>
    <n v="19"/>
    <n v="3"/>
    <n v="3"/>
    <n v="80"/>
    <n v="1"/>
    <n v="10"/>
    <n v="1"/>
    <n v="3"/>
    <n v="3"/>
    <n v="2"/>
    <n v="1"/>
    <n v="2"/>
    <s v="Low"/>
    <s v="Medium"/>
    <s v="Experienced"/>
  </r>
  <r>
    <n v="27"/>
    <x v="1"/>
    <s v="Travel_Rarely"/>
    <n v="1354"/>
    <x v="1"/>
    <n v="2"/>
    <n v="4"/>
    <s v="Technical Degree"/>
    <x v="0"/>
    <n v="1931"/>
    <n v="2"/>
    <s v="Male"/>
    <n v="41"/>
    <n v="3"/>
    <n v="1"/>
    <s v="Research Scientist"/>
    <n v="2"/>
    <s v="Married"/>
    <n v="2226"/>
    <n v="6073"/>
    <n v="1"/>
    <s v="Y"/>
    <x v="1"/>
    <n v="11"/>
    <n v="3"/>
    <n v="3"/>
    <n v="80"/>
    <n v="1"/>
    <n v="6"/>
    <n v="3"/>
    <n v="2"/>
    <n v="5"/>
    <n v="3"/>
    <n v="1"/>
    <n v="2"/>
    <s v="Low"/>
    <s v="Low"/>
    <s v="Experienced"/>
  </r>
  <r>
    <n v="34"/>
    <x v="1"/>
    <s v="Travel_Frequently"/>
    <n v="735"/>
    <x v="1"/>
    <n v="22"/>
    <n v="4"/>
    <s v="Other"/>
    <x v="0"/>
    <n v="1932"/>
    <n v="3"/>
    <s v="Male"/>
    <n v="86"/>
    <n v="2"/>
    <n v="2"/>
    <s v="Research Scientist"/>
    <n v="4"/>
    <s v="Married"/>
    <n v="5747"/>
    <n v="26496"/>
    <n v="1"/>
    <s v="Y"/>
    <x v="0"/>
    <n v="15"/>
    <n v="3"/>
    <n v="2"/>
    <n v="80"/>
    <n v="0"/>
    <n v="16"/>
    <n v="3"/>
    <n v="3"/>
    <n v="15"/>
    <n v="10"/>
    <n v="6"/>
    <n v="11"/>
    <s v="Low"/>
    <s v="Medium"/>
    <s v="High"/>
  </r>
  <r>
    <n v="28"/>
    <x v="0"/>
    <s v="Travel_Rarely"/>
    <n v="1475"/>
    <x v="0"/>
    <n v="13"/>
    <n v="2"/>
    <s v="Marketing"/>
    <x v="0"/>
    <n v="1933"/>
    <n v="4"/>
    <s v="Female"/>
    <n v="84"/>
    <n v="3"/>
    <n v="2"/>
    <s v="Sales Executive"/>
    <n v="3"/>
    <s v="Single"/>
    <n v="9854"/>
    <n v="23352"/>
    <n v="3"/>
    <s v="Y"/>
    <x v="0"/>
    <n v="11"/>
    <n v="3"/>
    <n v="4"/>
    <n v="80"/>
    <n v="0"/>
    <n v="6"/>
    <n v="0"/>
    <n v="3"/>
    <n v="2"/>
    <n v="0"/>
    <n v="2"/>
    <n v="2"/>
    <s v="High"/>
    <s v="High"/>
    <s v="new"/>
  </r>
  <r>
    <n v="47"/>
    <x v="1"/>
    <s v="Non-Travel"/>
    <n v="1169"/>
    <x v="1"/>
    <n v="14"/>
    <n v="4"/>
    <s v="Technical Degree"/>
    <x v="0"/>
    <n v="1934"/>
    <n v="3"/>
    <s v="Male"/>
    <n v="64"/>
    <n v="3"/>
    <n v="2"/>
    <s v="Research Scientist"/>
    <n v="2"/>
    <s v="Married"/>
    <n v="5467"/>
    <n v="2125"/>
    <n v="8"/>
    <s v="Y"/>
    <x v="1"/>
    <n v="18"/>
    <n v="3"/>
    <n v="3"/>
    <n v="80"/>
    <n v="1"/>
    <n v="16"/>
    <n v="4"/>
    <n v="4"/>
    <n v="8"/>
    <n v="7"/>
    <n v="1"/>
    <n v="7"/>
    <s v="Low"/>
    <s v="Medium"/>
    <s v="High"/>
  </r>
  <r>
    <n v="56"/>
    <x v="1"/>
    <s v="Travel_Rarely"/>
    <n v="1443"/>
    <x v="0"/>
    <n v="11"/>
    <n v="5"/>
    <s v="Marketing"/>
    <x v="0"/>
    <n v="1935"/>
    <n v="4"/>
    <s v="Female"/>
    <n v="89"/>
    <n v="2"/>
    <n v="2"/>
    <s v="Sales Executive"/>
    <n v="1"/>
    <s v="Married"/>
    <n v="5380"/>
    <n v="20328"/>
    <n v="4"/>
    <s v="Y"/>
    <x v="1"/>
    <n v="16"/>
    <n v="3"/>
    <n v="3"/>
    <n v="80"/>
    <n v="1"/>
    <n v="6"/>
    <n v="3"/>
    <n v="3"/>
    <n v="0"/>
    <n v="0"/>
    <n v="0"/>
    <n v="0"/>
    <s v="Low"/>
    <s v="Medium"/>
    <s v="new"/>
  </r>
  <r>
    <n v="39"/>
    <x v="1"/>
    <s v="Travel_Rarely"/>
    <n v="867"/>
    <x v="1"/>
    <n v="9"/>
    <n v="2"/>
    <s v="Medical"/>
    <x v="0"/>
    <n v="1936"/>
    <n v="1"/>
    <s v="Male"/>
    <n v="87"/>
    <n v="3"/>
    <n v="2"/>
    <s v="Manufacturing Director"/>
    <n v="1"/>
    <s v="Married"/>
    <n v="5151"/>
    <n v="12315"/>
    <n v="1"/>
    <s v="Y"/>
    <x v="1"/>
    <n v="25"/>
    <n v="4"/>
    <n v="4"/>
    <n v="80"/>
    <n v="1"/>
    <n v="10"/>
    <n v="3"/>
    <n v="3"/>
    <n v="10"/>
    <n v="0"/>
    <n v="7"/>
    <n v="9"/>
    <s v="Low"/>
    <s v="Medium"/>
    <s v="High"/>
  </r>
  <r>
    <n v="38"/>
    <x v="1"/>
    <s v="Travel_Frequently"/>
    <n v="1394"/>
    <x v="1"/>
    <n v="8"/>
    <n v="3"/>
    <s v="Medical"/>
    <x v="0"/>
    <n v="1937"/>
    <n v="4"/>
    <s v="Female"/>
    <n v="58"/>
    <n v="2"/>
    <n v="2"/>
    <s v="Research Scientist"/>
    <n v="2"/>
    <s v="Divorced"/>
    <n v="2133"/>
    <n v="18115"/>
    <n v="1"/>
    <s v="Y"/>
    <x v="0"/>
    <n v="16"/>
    <n v="3"/>
    <n v="3"/>
    <n v="80"/>
    <n v="1"/>
    <n v="20"/>
    <n v="3"/>
    <n v="3"/>
    <n v="20"/>
    <n v="11"/>
    <n v="0"/>
    <n v="7"/>
    <s v="Low"/>
    <s v="Low"/>
    <s v="High"/>
  </r>
  <r>
    <n v="58"/>
    <x v="1"/>
    <s v="Travel_Rarely"/>
    <n v="605"/>
    <x v="0"/>
    <n v="21"/>
    <n v="3"/>
    <s v="Life Sciences"/>
    <x v="0"/>
    <n v="1938"/>
    <n v="4"/>
    <s v="Female"/>
    <n v="72"/>
    <n v="3"/>
    <n v="4"/>
    <s v="Manager"/>
    <n v="4"/>
    <s v="Married"/>
    <n v="17875"/>
    <n v="11761"/>
    <n v="4"/>
    <s v="Y"/>
    <x v="0"/>
    <n v="13"/>
    <n v="3"/>
    <n v="3"/>
    <n v="80"/>
    <n v="1"/>
    <n v="29"/>
    <n v="2"/>
    <n v="2"/>
    <n v="1"/>
    <n v="0"/>
    <n v="0"/>
    <n v="0"/>
    <s v="High"/>
    <s v="High"/>
    <s v="new"/>
  </r>
  <r>
    <n v="32"/>
    <x v="0"/>
    <s v="Travel_Frequently"/>
    <n v="238"/>
    <x v="1"/>
    <n v="5"/>
    <n v="2"/>
    <s v="Life Sciences"/>
    <x v="0"/>
    <n v="1939"/>
    <n v="1"/>
    <s v="Female"/>
    <n v="47"/>
    <n v="4"/>
    <n v="1"/>
    <s v="Research Scientist"/>
    <n v="3"/>
    <s v="Single"/>
    <n v="2432"/>
    <n v="15318"/>
    <n v="3"/>
    <s v="Y"/>
    <x v="0"/>
    <n v="14"/>
    <n v="3"/>
    <n v="1"/>
    <n v="80"/>
    <n v="0"/>
    <n v="8"/>
    <n v="2"/>
    <n v="3"/>
    <n v="4"/>
    <n v="1"/>
    <n v="0"/>
    <n v="3"/>
    <s v="Low"/>
    <s v="Low"/>
    <s v="Experienced"/>
  </r>
  <r>
    <n v="38"/>
    <x v="1"/>
    <s v="Travel_Rarely"/>
    <n v="1206"/>
    <x v="1"/>
    <n v="9"/>
    <n v="2"/>
    <s v="Life Sciences"/>
    <x v="0"/>
    <n v="1940"/>
    <n v="2"/>
    <s v="Male"/>
    <n v="71"/>
    <n v="3"/>
    <n v="1"/>
    <s v="Research Scientist"/>
    <n v="4"/>
    <s v="Divorced"/>
    <n v="4771"/>
    <n v="14293"/>
    <n v="2"/>
    <s v="Y"/>
    <x v="1"/>
    <n v="19"/>
    <n v="3"/>
    <n v="4"/>
    <n v="80"/>
    <n v="2"/>
    <n v="10"/>
    <n v="0"/>
    <n v="4"/>
    <n v="5"/>
    <n v="2"/>
    <n v="0"/>
    <n v="3"/>
    <s v="Low"/>
    <s v="Medium"/>
    <s v="Experienced"/>
  </r>
  <r>
    <n v="49"/>
    <x v="1"/>
    <s v="Travel_Frequently"/>
    <n v="1064"/>
    <x v="1"/>
    <n v="2"/>
    <n v="1"/>
    <s v="Life Sciences"/>
    <x v="0"/>
    <n v="1941"/>
    <n v="2"/>
    <s v="Male"/>
    <n v="42"/>
    <n v="3"/>
    <n v="5"/>
    <s v="Research Director"/>
    <n v="4"/>
    <s v="Married"/>
    <n v="19161"/>
    <n v="13738"/>
    <n v="3"/>
    <s v="Y"/>
    <x v="1"/>
    <n v="15"/>
    <n v="3"/>
    <n v="4"/>
    <n v="80"/>
    <n v="0"/>
    <n v="28"/>
    <n v="3"/>
    <n v="3"/>
    <n v="5"/>
    <n v="4"/>
    <n v="4"/>
    <n v="3"/>
    <s v="High"/>
    <s v="High"/>
    <s v="Experienced"/>
  </r>
  <r>
    <n v="42"/>
    <x v="1"/>
    <s v="Travel_Rarely"/>
    <n v="419"/>
    <x v="0"/>
    <n v="12"/>
    <n v="4"/>
    <s v="Marketing"/>
    <x v="0"/>
    <n v="1943"/>
    <n v="2"/>
    <s v="Male"/>
    <n v="77"/>
    <n v="3"/>
    <n v="2"/>
    <s v="Sales Executive"/>
    <n v="4"/>
    <s v="Divorced"/>
    <n v="5087"/>
    <n v="2900"/>
    <n v="3"/>
    <s v="Y"/>
    <x v="0"/>
    <n v="12"/>
    <n v="3"/>
    <n v="3"/>
    <n v="80"/>
    <n v="2"/>
    <n v="14"/>
    <n v="4"/>
    <n v="3"/>
    <n v="0"/>
    <n v="0"/>
    <n v="0"/>
    <n v="0"/>
    <s v="Low"/>
    <s v="Medium"/>
    <s v="new"/>
  </r>
  <r>
    <n v="27"/>
    <x v="0"/>
    <s v="Travel_Frequently"/>
    <n v="1337"/>
    <x v="2"/>
    <n v="22"/>
    <n v="3"/>
    <s v="Human Resources"/>
    <x v="0"/>
    <n v="1944"/>
    <n v="1"/>
    <s v="Female"/>
    <n v="58"/>
    <n v="2"/>
    <n v="1"/>
    <s v="Human Resources"/>
    <n v="2"/>
    <s v="Married"/>
    <n v="2863"/>
    <n v="19555"/>
    <n v="1"/>
    <s v="Y"/>
    <x v="1"/>
    <n v="12"/>
    <n v="3"/>
    <n v="1"/>
    <n v="80"/>
    <n v="0"/>
    <n v="1"/>
    <n v="2"/>
    <n v="3"/>
    <n v="1"/>
    <n v="0"/>
    <n v="0"/>
    <n v="0"/>
    <s v="Low"/>
    <s v="Low"/>
    <s v="new"/>
  </r>
  <r>
    <n v="35"/>
    <x v="1"/>
    <s v="Travel_Rarely"/>
    <n v="682"/>
    <x v="0"/>
    <n v="18"/>
    <n v="4"/>
    <s v="Medical"/>
    <x v="0"/>
    <n v="1945"/>
    <n v="2"/>
    <s v="Male"/>
    <n v="71"/>
    <n v="3"/>
    <n v="2"/>
    <s v="Sales Executive"/>
    <n v="1"/>
    <s v="Married"/>
    <n v="5561"/>
    <n v="15975"/>
    <n v="0"/>
    <s v="Y"/>
    <x v="1"/>
    <n v="16"/>
    <n v="3"/>
    <n v="4"/>
    <n v="80"/>
    <n v="1"/>
    <n v="6"/>
    <n v="2"/>
    <n v="1"/>
    <n v="5"/>
    <n v="3"/>
    <n v="0"/>
    <n v="4"/>
    <s v="Low"/>
    <s v="Medium"/>
    <s v="Experienced"/>
  </r>
  <r>
    <n v="28"/>
    <x v="1"/>
    <s v="Non-Travel"/>
    <n v="1103"/>
    <x v="1"/>
    <n v="16"/>
    <n v="3"/>
    <s v="Medical"/>
    <x v="0"/>
    <n v="1947"/>
    <n v="3"/>
    <s v="Male"/>
    <n v="49"/>
    <n v="3"/>
    <n v="1"/>
    <s v="Research Scientist"/>
    <n v="3"/>
    <s v="Single"/>
    <n v="2144"/>
    <n v="2122"/>
    <n v="1"/>
    <s v="Y"/>
    <x v="1"/>
    <n v="14"/>
    <n v="3"/>
    <n v="3"/>
    <n v="80"/>
    <n v="0"/>
    <n v="5"/>
    <n v="3"/>
    <n v="2"/>
    <n v="5"/>
    <n v="3"/>
    <n v="1"/>
    <n v="4"/>
    <s v="Low"/>
    <s v="Low"/>
    <s v="Experienced"/>
  </r>
  <r>
    <n v="31"/>
    <x v="1"/>
    <s v="Non-Travel"/>
    <n v="976"/>
    <x v="1"/>
    <n v="3"/>
    <n v="2"/>
    <s v="Medical"/>
    <x v="0"/>
    <n v="1948"/>
    <n v="3"/>
    <s v="Male"/>
    <n v="48"/>
    <n v="3"/>
    <n v="1"/>
    <s v="Research Scientist"/>
    <n v="1"/>
    <s v="Divorced"/>
    <n v="3065"/>
    <n v="3995"/>
    <n v="1"/>
    <s v="Y"/>
    <x v="0"/>
    <n v="13"/>
    <n v="3"/>
    <n v="4"/>
    <n v="80"/>
    <n v="1"/>
    <n v="4"/>
    <n v="3"/>
    <n v="4"/>
    <n v="4"/>
    <n v="2"/>
    <n v="2"/>
    <n v="3"/>
    <s v="Low"/>
    <s v="Low"/>
    <s v="Experienced"/>
  </r>
  <r>
    <n v="36"/>
    <x v="1"/>
    <s v="Non-Travel"/>
    <n v="1351"/>
    <x v="1"/>
    <n v="9"/>
    <n v="4"/>
    <s v="Life Sciences"/>
    <x v="0"/>
    <n v="1949"/>
    <n v="1"/>
    <s v="Male"/>
    <n v="66"/>
    <n v="4"/>
    <n v="1"/>
    <s v="Laboratory Technician"/>
    <n v="2"/>
    <s v="Married"/>
    <n v="2810"/>
    <n v="9238"/>
    <n v="1"/>
    <s v="Y"/>
    <x v="1"/>
    <n v="22"/>
    <n v="4"/>
    <n v="2"/>
    <n v="80"/>
    <n v="0"/>
    <n v="5"/>
    <n v="3"/>
    <n v="3"/>
    <n v="5"/>
    <n v="4"/>
    <n v="0"/>
    <n v="2"/>
    <s v="Low"/>
    <s v="Low"/>
    <s v="Experienced"/>
  </r>
  <r>
    <n v="34"/>
    <x v="1"/>
    <s v="Travel_Rarely"/>
    <n v="937"/>
    <x v="0"/>
    <n v="1"/>
    <n v="3"/>
    <s v="Marketing"/>
    <x v="0"/>
    <n v="1950"/>
    <n v="1"/>
    <s v="Male"/>
    <n v="32"/>
    <n v="3"/>
    <n v="3"/>
    <s v="Sales Executive"/>
    <n v="4"/>
    <s v="Single"/>
    <n v="9888"/>
    <n v="6770"/>
    <n v="1"/>
    <s v="Y"/>
    <x v="1"/>
    <n v="21"/>
    <n v="4"/>
    <n v="1"/>
    <n v="80"/>
    <n v="0"/>
    <n v="14"/>
    <n v="3"/>
    <n v="2"/>
    <n v="14"/>
    <n v="8"/>
    <n v="2"/>
    <n v="1"/>
    <s v="High"/>
    <s v="High"/>
    <s v="High"/>
  </r>
  <r>
    <n v="34"/>
    <x v="1"/>
    <s v="Travel_Rarely"/>
    <n v="1239"/>
    <x v="0"/>
    <n v="13"/>
    <n v="4"/>
    <s v="Medical"/>
    <x v="0"/>
    <n v="1951"/>
    <n v="4"/>
    <s v="Male"/>
    <n v="39"/>
    <n v="3"/>
    <n v="3"/>
    <s v="Sales Executive"/>
    <n v="3"/>
    <s v="Divorced"/>
    <n v="8628"/>
    <n v="22914"/>
    <n v="1"/>
    <s v="Y"/>
    <x v="1"/>
    <n v="18"/>
    <n v="3"/>
    <n v="3"/>
    <n v="80"/>
    <n v="1"/>
    <n v="9"/>
    <n v="2"/>
    <n v="2"/>
    <n v="8"/>
    <n v="7"/>
    <n v="1"/>
    <n v="1"/>
    <s v="High"/>
    <s v="High"/>
    <s v="High"/>
  </r>
  <r>
    <n v="26"/>
    <x v="1"/>
    <s v="Travel_Rarely"/>
    <n v="157"/>
    <x v="1"/>
    <n v="1"/>
    <n v="3"/>
    <s v="Medical"/>
    <x v="0"/>
    <n v="1952"/>
    <n v="3"/>
    <s v="Male"/>
    <n v="95"/>
    <n v="3"/>
    <n v="1"/>
    <s v="Laboratory Technician"/>
    <n v="1"/>
    <s v="Single"/>
    <n v="2867"/>
    <n v="20006"/>
    <n v="0"/>
    <s v="Y"/>
    <x v="1"/>
    <n v="13"/>
    <n v="3"/>
    <n v="4"/>
    <n v="80"/>
    <n v="0"/>
    <n v="8"/>
    <n v="6"/>
    <n v="2"/>
    <n v="7"/>
    <n v="7"/>
    <n v="7"/>
    <n v="6"/>
    <s v="Low"/>
    <s v="Low"/>
    <s v="Experienced"/>
  </r>
  <r>
    <n v="29"/>
    <x v="1"/>
    <s v="Travel_Rarely"/>
    <n v="136"/>
    <x v="1"/>
    <n v="1"/>
    <n v="3"/>
    <s v="Life Sciences"/>
    <x v="0"/>
    <n v="1954"/>
    <n v="1"/>
    <s v="Male"/>
    <n v="89"/>
    <n v="3"/>
    <n v="2"/>
    <s v="Healthcare Representative"/>
    <n v="1"/>
    <s v="Married"/>
    <n v="5373"/>
    <n v="6225"/>
    <n v="0"/>
    <s v="Y"/>
    <x v="1"/>
    <n v="12"/>
    <n v="3"/>
    <n v="1"/>
    <n v="80"/>
    <n v="1"/>
    <n v="6"/>
    <n v="5"/>
    <n v="2"/>
    <n v="5"/>
    <n v="3"/>
    <n v="0"/>
    <n v="2"/>
    <s v="Low"/>
    <s v="Medium"/>
    <s v="Experienced"/>
  </r>
  <r>
    <n v="32"/>
    <x v="1"/>
    <s v="Non-Travel"/>
    <n v="1146"/>
    <x v="1"/>
    <n v="15"/>
    <n v="4"/>
    <s v="Medical"/>
    <x v="0"/>
    <n v="1955"/>
    <n v="3"/>
    <s v="Female"/>
    <n v="34"/>
    <n v="3"/>
    <n v="2"/>
    <s v="Healthcare Representative"/>
    <n v="4"/>
    <s v="Divorced"/>
    <n v="6667"/>
    <n v="16542"/>
    <n v="5"/>
    <s v="Y"/>
    <x v="1"/>
    <n v="18"/>
    <n v="3"/>
    <n v="2"/>
    <n v="80"/>
    <n v="1"/>
    <n v="9"/>
    <n v="6"/>
    <n v="3"/>
    <n v="5"/>
    <n v="1"/>
    <n v="1"/>
    <n v="2"/>
    <s v="High"/>
    <s v="Medium"/>
    <s v="Experienced"/>
  </r>
  <r>
    <n v="31"/>
    <x v="1"/>
    <s v="Travel_Frequently"/>
    <n v="1125"/>
    <x v="1"/>
    <n v="1"/>
    <n v="3"/>
    <s v="Life Sciences"/>
    <x v="0"/>
    <n v="1956"/>
    <n v="4"/>
    <s v="Male"/>
    <n v="48"/>
    <n v="1"/>
    <n v="2"/>
    <s v="Research Scientist"/>
    <n v="1"/>
    <s v="Married"/>
    <n v="5003"/>
    <n v="5771"/>
    <n v="1"/>
    <s v="Y"/>
    <x v="1"/>
    <n v="21"/>
    <n v="4"/>
    <n v="2"/>
    <n v="80"/>
    <n v="0"/>
    <n v="10"/>
    <n v="6"/>
    <n v="3"/>
    <n v="10"/>
    <n v="8"/>
    <n v="8"/>
    <n v="7"/>
    <s v="Low"/>
    <s v="Medium"/>
    <s v="High"/>
  </r>
  <r>
    <n v="28"/>
    <x v="0"/>
    <s v="Travel_Rarely"/>
    <n v="1404"/>
    <x v="1"/>
    <n v="17"/>
    <n v="3"/>
    <s v="Technical Degree"/>
    <x v="0"/>
    <n v="1960"/>
    <n v="3"/>
    <s v="Male"/>
    <n v="32"/>
    <n v="2"/>
    <n v="1"/>
    <s v="Laboratory Technician"/>
    <n v="4"/>
    <s v="Divorced"/>
    <n v="2367"/>
    <n v="18779"/>
    <n v="5"/>
    <s v="Y"/>
    <x v="1"/>
    <n v="12"/>
    <n v="3"/>
    <n v="1"/>
    <n v="80"/>
    <n v="1"/>
    <n v="6"/>
    <n v="2"/>
    <n v="2"/>
    <n v="4"/>
    <n v="1"/>
    <n v="0"/>
    <n v="3"/>
    <s v="Low"/>
    <s v="Low"/>
    <s v="Experienced"/>
  </r>
  <r>
    <n v="38"/>
    <x v="1"/>
    <s v="Travel_Rarely"/>
    <n v="1404"/>
    <x v="0"/>
    <n v="1"/>
    <n v="3"/>
    <s v="Life Sciences"/>
    <x v="0"/>
    <n v="1961"/>
    <n v="1"/>
    <s v="Male"/>
    <n v="59"/>
    <n v="2"/>
    <n v="1"/>
    <s v="Sales Representative"/>
    <n v="1"/>
    <s v="Single"/>
    <n v="2858"/>
    <n v="11473"/>
    <n v="4"/>
    <s v="Y"/>
    <x v="1"/>
    <n v="14"/>
    <n v="3"/>
    <n v="1"/>
    <n v="80"/>
    <n v="0"/>
    <n v="20"/>
    <n v="3"/>
    <n v="2"/>
    <n v="1"/>
    <n v="0"/>
    <n v="0"/>
    <n v="0"/>
    <s v="Low"/>
    <s v="Low"/>
    <s v="new"/>
  </r>
  <r>
    <n v="35"/>
    <x v="1"/>
    <s v="Travel_Rarely"/>
    <n v="1224"/>
    <x v="0"/>
    <n v="7"/>
    <n v="4"/>
    <s v="Life Sciences"/>
    <x v="0"/>
    <n v="1962"/>
    <n v="3"/>
    <s v="Female"/>
    <n v="55"/>
    <n v="3"/>
    <n v="2"/>
    <s v="Sales Executive"/>
    <n v="4"/>
    <s v="Married"/>
    <n v="5204"/>
    <n v="13586"/>
    <n v="1"/>
    <s v="Y"/>
    <x v="0"/>
    <n v="11"/>
    <n v="3"/>
    <n v="4"/>
    <n v="80"/>
    <n v="0"/>
    <n v="10"/>
    <n v="2"/>
    <n v="3"/>
    <n v="10"/>
    <n v="8"/>
    <n v="0"/>
    <n v="9"/>
    <s v="Low"/>
    <s v="Medium"/>
    <s v="High"/>
  </r>
  <r>
    <n v="27"/>
    <x v="1"/>
    <s v="Travel_Rarely"/>
    <n v="954"/>
    <x v="0"/>
    <n v="9"/>
    <n v="3"/>
    <s v="Marketing"/>
    <x v="0"/>
    <n v="1965"/>
    <n v="4"/>
    <s v="Male"/>
    <n v="44"/>
    <n v="3"/>
    <n v="2"/>
    <s v="Sales Executive"/>
    <n v="4"/>
    <s v="Single"/>
    <n v="4105"/>
    <n v="5099"/>
    <n v="1"/>
    <s v="Y"/>
    <x v="1"/>
    <n v="14"/>
    <n v="3"/>
    <n v="1"/>
    <n v="80"/>
    <n v="0"/>
    <n v="7"/>
    <n v="5"/>
    <n v="3"/>
    <n v="7"/>
    <n v="7"/>
    <n v="0"/>
    <n v="7"/>
    <s v="Low"/>
    <s v="Medium"/>
    <s v="Experienced"/>
  </r>
  <r>
    <n v="32"/>
    <x v="1"/>
    <s v="Travel_Rarely"/>
    <n v="1373"/>
    <x v="1"/>
    <n v="5"/>
    <n v="4"/>
    <s v="Life Sciences"/>
    <x v="0"/>
    <n v="1966"/>
    <n v="4"/>
    <s v="Male"/>
    <n v="56"/>
    <n v="2"/>
    <n v="2"/>
    <s v="Manufacturing Director"/>
    <n v="4"/>
    <s v="Single"/>
    <n v="9679"/>
    <n v="10138"/>
    <n v="8"/>
    <s v="Y"/>
    <x v="1"/>
    <n v="24"/>
    <n v="4"/>
    <n v="2"/>
    <n v="80"/>
    <n v="0"/>
    <n v="8"/>
    <n v="1"/>
    <n v="3"/>
    <n v="1"/>
    <n v="0"/>
    <n v="0"/>
    <n v="0"/>
    <s v="High"/>
    <s v="High"/>
    <s v="new"/>
  </r>
  <r>
    <n v="31"/>
    <x v="0"/>
    <s v="Travel_Frequently"/>
    <n v="754"/>
    <x v="0"/>
    <n v="26"/>
    <n v="4"/>
    <s v="Marketing"/>
    <x v="0"/>
    <n v="1967"/>
    <n v="1"/>
    <s v="Male"/>
    <n v="63"/>
    <n v="3"/>
    <n v="2"/>
    <s v="Sales Executive"/>
    <n v="4"/>
    <s v="Married"/>
    <n v="5617"/>
    <n v="21075"/>
    <n v="1"/>
    <s v="Y"/>
    <x v="0"/>
    <n v="11"/>
    <n v="3"/>
    <n v="3"/>
    <n v="80"/>
    <n v="0"/>
    <n v="10"/>
    <n v="4"/>
    <n v="3"/>
    <n v="10"/>
    <n v="7"/>
    <n v="0"/>
    <n v="8"/>
    <s v="Low"/>
    <s v="Medium"/>
    <s v="High"/>
  </r>
  <r>
    <n v="53"/>
    <x v="0"/>
    <s v="Travel_Rarely"/>
    <n v="1168"/>
    <x v="0"/>
    <n v="24"/>
    <n v="4"/>
    <s v="Life Sciences"/>
    <x v="0"/>
    <n v="1968"/>
    <n v="1"/>
    <s v="Male"/>
    <n v="66"/>
    <n v="3"/>
    <n v="3"/>
    <s v="Sales Executive"/>
    <n v="1"/>
    <s v="Single"/>
    <n v="10448"/>
    <n v="5843"/>
    <n v="6"/>
    <s v="Y"/>
    <x v="0"/>
    <n v="13"/>
    <n v="3"/>
    <n v="2"/>
    <n v="80"/>
    <n v="0"/>
    <n v="15"/>
    <n v="2"/>
    <n v="2"/>
    <n v="2"/>
    <n v="2"/>
    <n v="2"/>
    <n v="2"/>
    <s v="High"/>
    <s v="High"/>
    <s v="new"/>
  </r>
  <r>
    <n v="54"/>
    <x v="1"/>
    <s v="Travel_Rarely"/>
    <n v="155"/>
    <x v="1"/>
    <n v="9"/>
    <n v="2"/>
    <s v="Life Sciences"/>
    <x v="0"/>
    <n v="1969"/>
    <n v="1"/>
    <s v="Female"/>
    <n v="67"/>
    <n v="3"/>
    <n v="2"/>
    <s v="Research Scientist"/>
    <n v="3"/>
    <s v="Married"/>
    <n v="2897"/>
    <n v="22474"/>
    <n v="3"/>
    <s v="Y"/>
    <x v="1"/>
    <n v="11"/>
    <n v="3"/>
    <n v="3"/>
    <n v="80"/>
    <n v="2"/>
    <n v="9"/>
    <n v="6"/>
    <n v="2"/>
    <n v="4"/>
    <n v="3"/>
    <n v="2"/>
    <n v="3"/>
    <s v="Low"/>
    <s v="Low"/>
    <s v="Experienced"/>
  </r>
  <r>
    <n v="33"/>
    <x v="1"/>
    <s v="Travel_Frequently"/>
    <n v="1303"/>
    <x v="1"/>
    <n v="7"/>
    <n v="2"/>
    <s v="Life Sciences"/>
    <x v="0"/>
    <n v="1970"/>
    <n v="4"/>
    <s v="Male"/>
    <n v="36"/>
    <n v="3"/>
    <n v="2"/>
    <s v="Healthcare Representative"/>
    <n v="3"/>
    <s v="Divorced"/>
    <n v="5968"/>
    <n v="18079"/>
    <n v="1"/>
    <s v="Y"/>
    <x v="1"/>
    <n v="20"/>
    <n v="4"/>
    <n v="3"/>
    <n v="80"/>
    <n v="3"/>
    <n v="9"/>
    <n v="2"/>
    <n v="3"/>
    <n v="9"/>
    <n v="7"/>
    <n v="2"/>
    <n v="8"/>
    <s v="Low"/>
    <s v="Medium"/>
    <s v="High"/>
  </r>
  <r>
    <n v="43"/>
    <x v="1"/>
    <s v="Travel_Rarely"/>
    <n v="574"/>
    <x v="1"/>
    <n v="11"/>
    <n v="3"/>
    <s v="Life Sciences"/>
    <x v="0"/>
    <n v="1971"/>
    <n v="1"/>
    <s v="Male"/>
    <n v="30"/>
    <n v="3"/>
    <n v="3"/>
    <s v="Healthcare Representative"/>
    <n v="3"/>
    <s v="Married"/>
    <n v="7510"/>
    <n v="16873"/>
    <n v="1"/>
    <s v="Y"/>
    <x v="1"/>
    <n v="17"/>
    <n v="3"/>
    <n v="2"/>
    <n v="80"/>
    <n v="1"/>
    <n v="10"/>
    <n v="1"/>
    <n v="3"/>
    <n v="10"/>
    <n v="9"/>
    <n v="0"/>
    <n v="9"/>
    <s v="High"/>
    <s v="Medium"/>
    <s v="High"/>
  </r>
  <r>
    <n v="38"/>
    <x v="1"/>
    <s v="Travel_Frequently"/>
    <n v="1444"/>
    <x v="2"/>
    <n v="1"/>
    <n v="4"/>
    <s v="Other"/>
    <x v="0"/>
    <n v="1972"/>
    <n v="4"/>
    <s v="Male"/>
    <n v="88"/>
    <n v="3"/>
    <n v="1"/>
    <s v="Human Resources"/>
    <n v="2"/>
    <s v="Married"/>
    <n v="2991"/>
    <n v="5224"/>
    <n v="0"/>
    <s v="Y"/>
    <x v="0"/>
    <n v="11"/>
    <n v="3"/>
    <n v="2"/>
    <n v="80"/>
    <n v="1"/>
    <n v="7"/>
    <n v="2"/>
    <n v="3"/>
    <n v="6"/>
    <n v="2"/>
    <n v="1"/>
    <n v="2"/>
    <s v="Low"/>
    <s v="Low"/>
    <s v="Experienced"/>
  </r>
  <r>
    <n v="55"/>
    <x v="1"/>
    <s v="Travel_Rarely"/>
    <n v="189"/>
    <x v="2"/>
    <n v="26"/>
    <n v="4"/>
    <s v="Human Resources"/>
    <x v="0"/>
    <n v="1973"/>
    <n v="3"/>
    <s v="Male"/>
    <n v="71"/>
    <n v="4"/>
    <n v="5"/>
    <s v="Manager"/>
    <n v="2"/>
    <s v="Married"/>
    <n v="19636"/>
    <n v="25811"/>
    <n v="4"/>
    <s v="Y"/>
    <x v="0"/>
    <n v="18"/>
    <n v="3"/>
    <n v="1"/>
    <n v="80"/>
    <n v="1"/>
    <n v="35"/>
    <n v="0"/>
    <n v="3"/>
    <n v="10"/>
    <n v="9"/>
    <n v="1"/>
    <n v="4"/>
    <s v="High"/>
    <s v="High"/>
    <s v="High"/>
  </r>
  <r>
    <n v="31"/>
    <x v="1"/>
    <s v="Travel_Rarely"/>
    <n v="1276"/>
    <x v="1"/>
    <n v="2"/>
    <n v="1"/>
    <s v="Medical"/>
    <x v="0"/>
    <n v="1974"/>
    <n v="4"/>
    <s v="Female"/>
    <n v="59"/>
    <n v="1"/>
    <n v="1"/>
    <s v="Laboratory Technician"/>
    <n v="4"/>
    <s v="Divorced"/>
    <n v="1129"/>
    <n v="17536"/>
    <n v="1"/>
    <s v="Y"/>
    <x v="0"/>
    <n v="11"/>
    <n v="3"/>
    <n v="3"/>
    <n v="80"/>
    <n v="3"/>
    <n v="1"/>
    <n v="4"/>
    <n v="3"/>
    <n v="1"/>
    <n v="0"/>
    <n v="0"/>
    <n v="0"/>
    <s v="Low"/>
    <s v="Low"/>
    <s v="new"/>
  </r>
  <r>
    <n v="39"/>
    <x v="1"/>
    <s v="Travel_Rarely"/>
    <n v="119"/>
    <x v="0"/>
    <n v="15"/>
    <n v="4"/>
    <s v="Marketing"/>
    <x v="0"/>
    <n v="1975"/>
    <n v="2"/>
    <s v="Male"/>
    <n v="77"/>
    <n v="3"/>
    <n v="4"/>
    <s v="Sales Executive"/>
    <n v="1"/>
    <s v="Single"/>
    <n v="13341"/>
    <n v="25098"/>
    <n v="0"/>
    <s v="Y"/>
    <x v="1"/>
    <n v="12"/>
    <n v="3"/>
    <n v="1"/>
    <n v="80"/>
    <n v="0"/>
    <n v="21"/>
    <n v="3"/>
    <n v="3"/>
    <n v="20"/>
    <n v="8"/>
    <n v="11"/>
    <n v="10"/>
    <s v="High"/>
    <s v="High"/>
    <s v="High"/>
  </r>
  <r>
    <n v="42"/>
    <x v="1"/>
    <s v="Non-Travel"/>
    <n v="335"/>
    <x v="1"/>
    <n v="23"/>
    <n v="2"/>
    <s v="Life Sciences"/>
    <x v="0"/>
    <n v="1976"/>
    <n v="4"/>
    <s v="Male"/>
    <n v="37"/>
    <n v="2"/>
    <n v="2"/>
    <s v="Research Scientist"/>
    <n v="3"/>
    <s v="Single"/>
    <n v="4332"/>
    <n v="14811"/>
    <n v="1"/>
    <s v="Y"/>
    <x v="1"/>
    <n v="12"/>
    <n v="3"/>
    <n v="4"/>
    <n v="80"/>
    <n v="0"/>
    <n v="20"/>
    <n v="2"/>
    <n v="3"/>
    <n v="20"/>
    <n v="9"/>
    <n v="3"/>
    <n v="7"/>
    <s v="Low"/>
    <s v="Medium"/>
    <s v="High"/>
  </r>
  <r>
    <n v="31"/>
    <x v="1"/>
    <s v="Non-Travel"/>
    <n v="697"/>
    <x v="1"/>
    <n v="10"/>
    <n v="3"/>
    <s v="Medical"/>
    <x v="0"/>
    <n v="1979"/>
    <n v="3"/>
    <s v="Female"/>
    <n v="40"/>
    <n v="3"/>
    <n v="3"/>
    <s v="Research Director"/>
    <n v="3"/>
    <s v="Married"/>
    <n v="11031"/>
    <n v="26862"/>
    <n v="4"/>
    <s v="Y"/>
    <x v="1"/>
    <n v="20"/>
    <n v="4"/>
    <n v="3"/>
    <n v="80"/>
    <n v="1"/>
    <n v="13"/>
    <n v="2"/>
    <n v="4"/>
    <n v="11"/>
    <n v="7"/>
    <n v="4"/>
    <n v="8"/>
    <s v="High"/>
    <s v="High"/>
    <s v="High"/>
  </r>
  <r>
    <n v="54"/>
    <x v="1"/>
    <s v="Travel_Rarely"/>
    <n v="157"/>
    <x v="1"/>
    <n v="10"/>
    <n v="3"/>
    <s v="Medical"/>
    <x v="0"/>
    <n v="1980"/>
    <n v="3"/>
    <s v="Female"/>
    <n v="77"/>
    <n v="3"/>
    <n v="2"/>
    <s v="Manufacturing Director"/>
    <n v="1"/>
    <s v="Single"/>
    <n v="4440"/>
    <n v="25198"/>
    <n v="6"/>
    <s v="Y"/>
    <x v="0"/>
    <n v="19"/>
    <n v="3"/>
    <n v="4"/>
    <n v="80"/>
    <n v="0"/>
    <n v="9"/>
    <n v="3"/>
    <n v="3"/>
    <n v="5"/>
    <n v="2"/>
    <n v="1"/>
    <n v="4"/>
    <s v="Low"/>
    <s v="Medium"/>
    <s v="Experienced"/>
  </r>
  <r>
    <n v="24"/>
    <x v="1"/>
    <s v="Travel_Rarely"/>
    <n v="771"/>
    <x v="1"/>
    <n v="1"/>
    <n v="2"/>
    <s v="Life Sciences"/>
    <x v="0"/>
    <n v="1981"/>
    <n v="2"/>
    <s v="Male"/>
    <n v="45"/>
    <n v="2"/>
    <n v="2"/>
    <s v="Healthcare Representative"/>
    <n v="3"/>
    <s v="Single"/>
    <n v="4617"/>
    <n v="14120"/>
    <n v="1"/>
    <s v="Y"/>
    <x v="1"/>
    <n v="12"/>
    <n v="3"/>
    <n v="2"/>
    <n v="80"/>
    <n v="0"/>
    <n v="4"/>
    <n v="2"/>
    <n v="2"/>
    <n v="4"/>
    <n v="3"/>
    <n v="1"/>
    <n v="2"/>
    <s v="Low"/>
    <s v="Medium"/>
    <s v="Experienced"/>
  </r>
  <r>
    <n v="23"/>
    <x v="1"/>
    <s v="Travel_Rarely"/>
    <n v="571"/>
    <x v="1"/>
    <n v="12"/>
    <n v="2"/>
    <s v="Other"/>
    <x v="0"/>
    <n v="1982"/>
    <n v="4"/>
    <s v="Male"/>
    <n v="78"/>
    <n v="3"/>
    <n v="1"/>
    <s v="Laboratory Technician"/>
    <n v="4"/>
    <s v="Single"/>
    <n v="2647"/>
    <n v="13672"/>
    <n v="1"/>
    <s v="Y"/>
    <x v="1"/>
    <n v="13"/>
    <n v="3"/>
    <n v="3"/>
    <n v="80"/>
    <n v="0"/>
    <n v="5"/>
    <n v="6"/>
    <n v="4"/>
    <n v="5"/>
    <n v="2"/>
    <n v="1"/>
    <n v="4"/>
    <s v="Low"/>
    <s v="Low"/>
    <s v="Experienced"/>
  </r>
  <r>
    <n v="40"/>
    <x v="1"/>
    <s v="Travel_Frequently"/>
    <n v="692"/>
    <x v="1"/>
    <n v="11"/>
    <n v="3"/>
    <s v="Technical Degree"/>
    <x v="0"/>
    <n v="1985"/>
    <n v="4"/>
    <s v="Female"/>
    <n v="73"/>
    <n v="3"/>
    <n v="2"/>
    <s v="Laboratory Technician"/>
    <n v="3"/>
    <s v="Married"/>
    <n v="6323"/>
    <n v="26849"/>
    <n v="1"/>
    <s v="Y"/>
    <x v="1"/>
    <n v="11"/>
    <n v="3"/>
    <n v="1"/>
    <n v="80"/>
    <n v="1"/>
    <n v="10"/>
    <n v="2"/>
    <n v="4"/>
    <n v="10"/>
    <n v="9"/>
    <n v="9"/>
    <n v="4"/>
    <s v="Low"/>
    <s v="Medium"/>
    <s v="High"/>
  </r>
  <r>
    <n v="40"/>
    <x v="1"/>
    <s v="Travel_Rarely"/>
    <n v="444"/>
    <x v="0"/>
    <n v="2"/>
    <n v="2"/>
    <s v="Marketing"/>
    <x v="0"/>
    <n v="1986"/>
    <n v="2"/>
    <s v="Female"/>
    <n v="92"/>
    <n v="3"/>
    <n v="2"/>
    <s v="Sales Executive"/>
    <n v="2"/>
    <s v="Married"/>
    <n v="5677"/>
    <n v="4258"/>
    <n v="3"/>
    <s v="Y"/>
    <x v="1"/>
    <n v="14"/>
    <n v="3"/>
    <n v="3"/>
    <n v="80"/>
    <n v="1"/>
    <n v="15"/>
    <n v="4"/>
    <n v="3"/>
    <n v="11"/>
    <n v="8"/>
    <n v="5"/>
    <n v="10"/>
    <s v="Low"/>
    <s v="Medium"/>
    <s v="High"/>
  </r>
  <r>
    <n v="25"/>
    <x v="1"/>
    <s v="Travel_Rarely"/>
    <n v="309"/>
    <x v="2"/>
    <n v="2"/>
    <n v="3"/>
    <s v="Human Resources"/>
    <x v="0"/>
    <n v="1987"/>
    <n v="3"/>
    <s v="Female"/>
    <n v="82"/>
    <n v="3"/>
    <n v="1"/>
    <s v="Human Resources"/>
    <n v="2"/>
    <s v="Married"/>
    <n v="2187"/>
    <n v="19655"/>
    <n v="4"/>
    <s v="Y"/>
    <x v="1"/>
    <n v="14"/>
    <n v="3"/>
    <n v="3"/>
    <n v="80"/>
    <n v="0"/>
    <n v="6"/>
    <n v="3"/>
    <n v="3"/>
    <n v="2"/>
    <n v="0"/>
    <n v="1"/>
    <n v="2"/>
    <s v="Low"/>
    <s v="Low"/>
    <s v="new"/>
  </r>
  <r>
    <n v="30"/>
    <x v="1"/>
    <s v="Travel_Rarely"/>
    <n v="911"/>
    <x v="1"/>
    <n v="1"/>
    <n v="2"/>
    <s v="Medical"/>
    <x v="0"/>
    <n v="1989"/>
    <n v="4"/>
    <s v="Male"/>
    <n v="76"/>
    <n v="3"/>
    <n v="1"/>
    <s v="Laboratory Technician"/>
    <n v="2"/>
    <s v="Married"/>
    <n v="3748"/>
    <n v="4077"/>
    <n v="1"/>
    <s v="Y"/>
    <x v="1"/>
    <n v="13"/>
    <n v="3"/>
    <n v="3"/>
    <n v="80"/>
    <n v="0"/>
    <n v="12"/>
    <n v="6"/>
    <n v="2"/>
    <n v="12"/>
    <n v="8"/>
    <n v="1"/>
    <n v="7"/>
    <s v="Low"/>
    <s v="Low"/>
    <s v="High"/>
  </r>
  <r>
    <n v="25"/>
    <x v="1"/>
    <s v="Travel_Rarely"/>
    <n v="977"/>
    <x v="1"/>
    <n v="2"/>
    <n v="1"/>
    <s v="Other"/>
    <x v="0"/>
    <n v="1992"/>
    <n v="4"/>
    <s v="Male"/>
    <n v="57"/>
    <n v="3"/>
    <n v="1"/>
    <s v="Laboratory Technician"/>
    <n v="3"/>
    <s v="Divorced"/>
    <n v="3977"/>
    <n v="7298"/>
    <n v="6"/>
    <s v="Y"/>
    <x v="0"/>
    <n v="19"/>
    <n v="3"/>
    <n v="3"/>
    <n v="80"/>
    <n v="1"/>
    <n v="7"/>
    <n v="2"/>
    <n v="2"/>
    <n v="2"/>
    <n v="2"/>
    <n v="0"/>
    <n v="2"/>
    <s v="Low"/>
    <s v="Low"/>
    <s v="new"/>
  </r>
  <r>
    <n v="47"/>
    <x v="1"/>
    <s v="Travel_Rarely"/>
    <n v="1180"/>
    <x v="1"/>
    <n v="25"/>
    <n v="3"/>
    <s v="Medical"/>
    <x v="0"/>
    <n v="1993"/>
    <n v="1"/>
    <s v="Male"/>
    <n v="84"/>
    <n v="3"/>
    <n v="3"/>
    <s v="Healthcare Representative"/>
    <n v="3"/>
    <s v="Single"/>
    <n v="8633"/>
    <n v="13084"/>
    <n v="2"/>
    <s v="Y"/>
    <x v="1"/>
    <n v="23"/>
    <n v="4"/>
    <n v="2"/>
    <n v="80"/>
    <n v="0"/>
    <n v="25"/>
    <n v="3"/>
    <n v="3"/>
    <n v="17"/>
    <n v="14"/>
    <n v="12"/>
    <n v="11"/>
    <s v="High"/>
    <s v="High"/>
    <s v="High"/>
  </r>
  <r>
    <n v="33"/>
    <x v="1"/>
    <s v="Non-Travel"/>
    <n v="1313"/>
    <x v="1"/>
    <n v="1"/>
    <n v="2"/>
    <s v="Medical"/>
    <x v="0"/>
    <n v="1994"/>
    <n v="2"/>
    <s v="Male"/>
    <n v="59"/>
    <n v="2"/>
    <n v="1"/>
    <s v="Laboratory Technician"/>
    <n v="3"/>
    <s v="Divorced"/>
    <n v="2008"/>
    <n v="20439"/>
    <n v="1"/>
    <s v="Y"/>
    <x v="1"/>
    <n v="12"/>
    <n v="3"/>
    <n v="3"/>
    <n v="80"/>
    <n v="3"/>
    <n v="1"/>
    <n v="2"/>
    <n v="2"/>
    <n v="1"/>
    <n v="1"/>
    <n v="0"/>
    <n v="0"/>
    <s v="Low"/>
    <s v="Low"/>
    <s v="new"/>
  </r>
  <r>
    <n v="38"/>
    <x v="1"/>
    <s v="Travel_Rarely"/>
    <n v="1321"/>
    <x v="0"/>
    <n v="1"/>
    <n v="4"/>
    <s v="Life Sciences"/>
    <x v="0"/>
    <n v="1995"/>
    <n v="4"/>
    <s v="Male"/>
    <n v="86"/>
    <n v="3"/>
    <n v="2"/>
    <s v="Sales Executive"/>
    <n v="2"/>
    <s v="Married"/>
    <n v="4440"/>
    <n v="7636"/>
    <n v="0"/>
    <s v="Y"/>
    <x v="1"/>
    <n v="15"/>
    <n v="3"/>
    <n v="1"/>
    <n v="80"/>
    <n v="2"/>
    <n v="16"/>
    <n v="3"/>
    <n v="3"/>
    <n v="15"/>
    <n v="13"/>
    <n v="5"/>
    <n v="8"/>
    <s v="Low"/>
    <s v="Medium"/>
    <s v="High"/>
  </r>
  <r>
    <n v="31"/>
    <x v="1"/>
    <s v="Travel_Rarely"/>
    <n v="1154"/>
    <x v="0"/>
    <n v="2"/>
    <n v="2"/>
    <s v="Life Sciences"/>
    <x v="0"/>
    <n v="1996"/>
    <n v="1"/>
    <s v="Male"/>
    <n v="54"/>
    <n v="3"/>
    <n v="1"/>
    <s v="Sales Representative"/>
    <n v="3"/>
    <s v="Married"/>
    <n v="3067"/>
    <n v="6393"/>
    <n v="0"/>
    <s v="Y"/>
    <x v="1"/>
    <n v="19"/>
    <n v="3"/>
    <n v="3"/>
    <n v="80"/>
    <n v="1"/>
    <n v="3"/>
    <n v="1"/>
    <n v="3"/>
    <n v="2"/>
    <n v="2"/>
    <n v="1"/>
    <n v="2"/>
    <s v="Low"/>
    <s v="Low"/>
    <s v="new"/>
  </r>
  <r>
    <n v="38"/>
    <x v="1"/>
    <s v="Travel_Frequently"/>
    <n v="508"/>
    <x v="1"/>
    <n v="6"/>
    <n v="4"/>
    <s v="Life Sciences"/>
    <x v="0"/>
    <n v="1997"/>
    <n v="1"/>
    <s v="Male"/>
    <n v="72"/>
    <n v="2"/>
    <n v="2"/>
    <s v="Manufacturing Director"/>
    <n v="3"/>
    <s v="Married"/>
    <n v="5321"/>
    <n v="14284"/>
    <n v="2"/>
    <s v="Y"/>
    <x v="1"/>
    <n v="11"/>
    <n v="3"/>
    <n v="4"/>
    <n v="80"/>
    <n v="1"/>
    <n v="10"/>
    <n v="1"/>
    <n v="3"/>
    <n v="8"/>
    <n v="3"/>
    <n v="7"/>
    <n v="7"/>
    <s v="Low"/>
    <s v="Medium"/>
    <s v="High"/>
  </r>
  <r>
    <n v="42"/>
    <x v="1"/>
    <s v="Travel_Rarely"/>
    <n v="557"/>
    <x v="1"/>
    <n v="18"/>
    <n v="4"/>
    <s v="Life Sciences"/>
    <x v="0"/>
    <n v="1998"/>
    <n v="4"/>
    <s v="Male"/>
    <n v="35"/>
    <n v="3"/>
    <n v="2"/>
    <s v="Research Scientist"/>
    <n v="1"/>
    <s v="Divorced"/>
    <n v="5410"/>
    <n v="11189"/>
    <n v="6"/>
    <s v="Y"/>
    <x v="0"/>
    <n v="17"/>
    <n v="3"/>
    <n v="3"/>
    <n v="80"/>
    <n v="1"/>
    <n v="9"/>
    <n v="3"/>
    <n v="2"/>
    <n v="4"/>
    <n v="3"/>
    <n v="1"/>
    <n v="2"/>
    <s v="Low"/>
    <s v="Medium"/>
    <s v="Experienced"/>
  </r>
  <r>
    <n v="41"/>
    <x v="1"/>
    <s v="Travel_Rarely"/>
    <n v="642"/>
    <x v="1"/>
    <n v="1"/>
    <n v="3"/>
    <s v="Life Sciences"/>
    <x v="0"/>
    <n v="1999"/>
    <n v="4"/>
    <s v="Male"/>
    <n v="76"/>
    <n v="3"/>
    <n v="1"/>
    <s v="Research Scientist"/>
    <n v="4"/>
    <s v="Married"/>
    <n v="2782"/>
    <n v="21412"/>
    <n v="3"/>
    <s v="Y"/>
    <x v="1"/>
    <n v="22"/>
    <n v="4"/>
    <n v="1"/>
    <n v="80"/>
    <n v="1"/>
    <n v="12"/>
    <n v="3"/>
    <n v="3"/>
    <n v="5"/>
    <n v="3"/>
    <n v="1"/>
    <n v="0"/>
    <s v="Low"/>
    <s v="Low"/>
    <s v="Experienced"/>
  </r>
  <r>
    <n v="47"/>
    <x v="1"/>
    <s v="Non-Travel"/>
    <n v="1162"/>
    <x v="1"/>
    <n v="1"/>
    <n v="1"/>
    <s v="Medical"/>
    <x v="0"/>
    <n v="2000"/>
    <n v="3"/>
    <s v="Female"/>
    <n v="98"/>
    <n v="3"/>
    <n v="3"/>
    <s v="Research Director"/>
    <n v="2"/>
    <s v="Married"/>
    <n v="11957"/>
    <n v="17231"/>
    <n v="0"/>
    <s v="Y"/>
    <x v="1"/>
    <n v="18"/>
    <n v="3"/>
    <n v="1"/>
    <n v="80"/>
    <n v="2"/>
    <n v="14"/>
    <n v="3"/>
    <n v="1"/>
    <n v="13"/>
    <n v="8"/>
    <n v="5"/>
    <n v="12"/>
    <s v="High"/>
    <s v="High"/>
    <s v="High"/>
  </r>
  <r>
    <n v="35"/>
    <x v="1"/>
    <s v="Travel_Rarely"/>
    <n v="1490"/>
    <x v="1"/>
    <n v="11"/>
    <n v="4"/>
    <s v="Medical"/>
    <x v="0"/>
    <n v="2003"/>
    <n v="4"/>
    <s v="Male"/>
    <n v="43"/>
    <n v="3"/>
    <n v="1"/>
    <s v="Laboratory Technician"/>
    <n v="3"/>
    <s v="Married"/>
    <n v="2660"/>
    <n v="20232"/>
    <n v="7"/>
    <s v="Y"/>
    <x v="0"/>
    <n v="11"/>
    <n v="3"/>
    <n v="3"/>
    <n v="80"/>
    <n v="1"/>
    <n v="5"/>
    <n v="3"/>
    <n v="3"/>
    <n v="2"/>
    <n v="2"/>
    <n v="2"/>
    <n v="2"/>
    <s v="Low"/>
    <s v="Low"/>
    <s v="new"/>
  </r>
  <r>
    <n v="22"/>
    <x v="1"/>
    <s v="Travel_Rarely"/>
    <n v="581"/>
    <x v="1"/>
    <n v="1"/>
    <n v="2"/>
    <s v="Life Sciences"/>
    <x v="0"/>
    <n v="2007"/>
    <n v="4"/>
    <s v="Male"/>
    <n v="63"/>
    <n v="3"/>
    <n v="1"/>
    <s v="Research Scientist"/>
    <n v="3"/>
    <s v="Single"/>
    <n v="3375"/>
    <n v="17624"/>
    <n v="0"/>
    <s v="Y"/>
    <x v="1"/>
    <n v="12"/>
    <n v="3"/>
    <n v="4"/>
    <n v="80"/>
    <n v="0"/>
    <n v="4"/>
    <n v="2"/>
    <n v="4"/>
    <n v="3"/>
    <n v="2"/>
    <n v="1"/>
    <n v="2"/>
    <s v="Low"/>
    <s v="Low"/>
    <s v="Experienced"/>
  </r>
  <r>
    <n v="35"/>
    <x v="1"/>
    <s v="Travel_Rarely"/>
    <n v="1395"/>
    <x v="1"/>
    <n v="9"/>
    <n v="4"/>
    <s v="Medical"/>
    <x v="0"/>
    <n v="2008"/>
    <n v="2"/>
    <s v="Male"/>
    <n v="48"/>
    <n v="3"/>
    <n v="2"/>
    <s v="Research Scientist"/>
    <n v="3"/>
    <s v="Single"/>
    <n v="5098"/>
    <n v="18698"/>
    <n v="1"/>
    <s v="Y"/>
    <x v="1"/>
    <n v="19"/>
    <n v="3"/>
    <n v="2"/>
    <n v="80"/>
    <n v="0"/>
    <n v="10"/>
    <n v="5"/>
    <n v="3"/>
    <n v="10"/>
    <n v="7"/>
    <n v="0"/>
    <n v="8"/>
    <s v="Low"/>
    <s v="Medium"/>
    <s v="High"/>
  </r>
  <r>
    <n v="33"/>
    <x v="1"/>
    <s v="Travel_Rarely"/>
    <n v="501"/>
    <x v="1"/>
    <n v="15"/>
    <n v="2"/>
    <s v="Medical"/>
    <x v="0"/>
    <n v="2009"/>
    <n v="2"/>
    <s v="Female"/>
    <n v="95"/>
    <n v="3"/>
    <n v="2"/>
    <s v="Healthcare Representative"/>
    <n v="4"/>
    <s v="Married"/>
    <n v="4878"/>
    <n v="21653"/>
    <n v="0"/>
    <s v="Y"/>
    <x v="0"/>
    <n v="13"/>
    <n v="3"/>
    <n v="1"/>
    <n v="80"/>
    <n v="1"/>
    <n v="10"/>
    <n v="6"/>
    <n v="3"/>
    <n v="9"/>
    <n v="7"/>
    <n v="8"/>
    <n v="1"/>
    <s v="Low"/>
    <s v="Medium"/>
    <s v="High"/>
  </r>
  <r>
    <n v="32"/>
    <x v="1"/>
    <s v="Travel_Rarely"/>
    <n v="267"/>
    <x v="1"/>
    <n v="29"/>
    <n v="4"/>
    <s v="Life Sciences"/>
    <x v="0"/>
    <n v="2010"/>
    <n v="3"/>
    <s v="Female"/>
    <n v="49"/>
    <n v="2"/>
    <n v="1"/>
    <s v="Laboratory Technician"/>
    <n v="2"/>
    <s v="Single"/>
    <n v="2837"/>
    <n v="15919"/>
    <n v="1"/>
    <s v="Y"/>
    <x v="1"/>
    <n v="13"/>
    <n v="3"/>
    <n v="3"/>
    <n v="80"/>
    <n v="0"/>
    <n v="6"/>
    <n v="3"/>
    <n v="3"/>
    <n v="6"/>
    <n v="2"/>
    <n v="4"/>
    <n v="1"/>
    <s v="Low"/>
    <s v="Low"/>
    <s v="Experienced"/>
  </r>
  <r>
    <n v="40"/>
    <x v="1"/>
    <s v="Travel_Rarely"/>
    <n v="543"/>
    <x v="1"/>
    <n v="1"/>
    <n v="4"/>
    <s v="Life Sciences"/>
    <x v="0"/>
    <n v="2012"/>
    <n v="1"/>
    <s v="Male"/>
    <n v="83"/>
    <n v="3"/>
    <n v="1"/>
    <s v="Laboratory Technician"/>
    <n v="4"/>
    <s v="Married"/>
    <n v="2406"/>
    <n v="4060"/>
    <n v="8"/>
    <s v="Y"/>
    <x v="1"/>
    <n v="19"/>
    <n v="3"/>
    <n v="3"/>
    <n v="80"/>
    <n v="2"/>
    <n v="8"/>
    <n v="3"/>
    <n v="2"/>
    <n v="1"/>
    <n v="0"/>
    <n v="0"/>
    <n v="0"/>
    <s v="Low"/>
    <s v="Low"/>
    <s v="new"/>
  </r>
  <r>
    <n v="32"/>
    <x v="1"/>
    <s v="Travel_Rarely"/>
    <n v="234"/>
    <x v="0"/>
    <n v="1"/>
    <n v="4"/>
    <s v="Medical"/>
    <x v="0"/>
    <n v="2013"/>
    <n v="2"/>
    <s v="Male"/>
    <n v="68"/>
    <n v="2"/>
    <n v="1"/>
    <s v="Sales Representative"/>
    <n v="2"/>
    <s v="Married"/>
    <n v="2269"/>
    <n v="18024"/>
    <n v="0"/>
    <s v="Y"/>
    <x v="1"/>
    <n v="14"/>
    <n v="3"/>
    <n v="2"/>
    <n v="80"/>
    <n v="1"/>
    <n v="3"/>
    <n v="2"/>
    <n v="3"/>
    <n v="2"/>
    <n v="2"/>
    <n v="2"/>
    <n v="2"/>
    <s v="Low"/>
    <s v="Low"/>
    <s v="new"/>
  </r>
  <r>
    <n v="39"/>
    <x v="1"/>
    <s v="Travel_Rarely"/>
    <n v="116"/>
    <x v="1"/>
    <n v="24"/>
    <n v="1"/>
    <s v="Life Sciences"/>
    <x v="0"/>
    <n v="2014"/>
    <n v="1"/>
    <s v="Male"/>
    <n v="52"/>
    <n v="3"/>
    <n v="2"/>
    <s v="Research Scientist"/>
    <n v="4"/>
    <s v="Single"/>
    <n v="4108"/>
    <n v="5340"/>
    <n v="7"/>
    <s v="Y"/>
    <x v="1"/>
    <n v="13"/>
    <n v="3"/>
    <n v="1"/>
    <n v="80"/>
    <n v="0"/>
    <n v="18"/>
    <n v="2"/>
    <n v="3"/>
    <n v="7"/>
    <n v="7"/>
    <n v="1"/>
    <n v="7"/>
    <s v="Low"/>
    <s v="Medium"/>
    <s v="Experienced"/>
  </r>
  <r>
    <n v="38"/>
    <x v="1"/>
    <s v="Travel_Rarely"/>
    <n v="201"/>
    <x v="1"/>
    <n v="10"/>
    <n v="3"/>
    <s v="Medical"/>
    <x v="0"/>
    <n v="2015"/>
    <n v="2"/>
    <s v="Female"/>
    <n v="99"/>
    <n v="1"/>
    <n v="3"/>
    <s v="Research Director"/>
    <n v="3"/>
    <s v="Married"/>
    <n v="13206"/>
    <n v="3376"/>
    <n v="3"/>
    <s v="Y"/>
    <x v="1"/>
    <n v="12"/>
    <n v="3"/>
    <n v="1"/>
    <n v="80"/>
    <n v="1"/>
    <n v="20"/>
    <n v="3"/>
    <n v="3"/>
    <n v="18"/>
    <n v="16"/>
    <n v="1"/>
    <n v="11"/>
    <s v="High"/>
    <s v="High"/>
    <s v="High"/>
  </r>
  <r>
    <n v="32"/>
    <x v="1"/>
    <s v="Travel_Rarely"/>
    <n v="801"/>
    <x v="0"/>
    <n v="1"/>
    <n v="4"/>
    <s v="Marketing"/>
    <x v="0"/>
    <n v="2016"/>
    <n v="3"/>
    <s v="Female"/>
    <n v="48"/>
    <n v="3"/>
    <n v="3"/>
    <s v="Sales Executive"/>
    <n v="4"/>
    <s v="Married"/>
    <n v="10422"/>
    <n v="24032"/>
    <n v="1"/>
    <s v="Y"/>
    <x v="1"/>
    <n v="19"/>
    <n v="3"/>
    <n v="3"/>
    <n v="80"/>
    <n v="2"/>
    <n v="14"/>
    <n v="3"/>
    <n v="3"/>
    <n v="14"/>
    <n v="10"/>
    <n v="5"/>
    <n v="7"/>
    <s v="High"/>
    <s v="High"/>
    <s v="High"/>
  </r>
  <r>
    <n v="37"/>
    <x v="1"/>
    <s v="Travel_Rarely"/>
    <n v="161"/>
    <x v="1"/>
    <n v="10"/>
    <n v="3"/>
    <s v="Life Sciences"/>
    <x v="0"/>
    <n v="2017"/>
    <n v="3"/>
    <s v="Female"/>
    <n v="42"/>
    <n v="4"/>
    <n v="3"/>
    <s v="Research Director"/>
    <n v="4"/>
    <s v="Married"/>
    <n v="13744"/>
    <n v="15471"/>
    <n v="1"/>
    <s v="Y"/>
    <x v="0"/>
    <n v="25"/>
    <n v="4"/>
    <n v="1"/>
    <n v="80"/>
    <n v="1"/>
    <n v="16"/>
    <n v="2"/>
    <n v="3"/>
    <n v="16"/>
    <n v="11"/>
    <n v="6"/>
    <n v="8"/>
    <s v="High"/>
    <s v="High"/>
    <s v="High"/>
  </r>
  <r>
    <n v="25"/>
    <x v="1"/>
    <s v="Travel_Rarely"/>
    <n v="1382"/>
    <x v="0"/>
    <n v="8"/>
    <n v="2"/>
    <s v="Other"/>
    <x v="0"/>
    <n v="2018"/>
    <n v="1"/>
    <s v="Female"/>
    <n v="85"/>
    <n v="3"/>
    <n v="2"/>
    <s v="Sales Executive"/>
    <n v="3"/>
    <s v="Divorced"/>
    <n v="4907"/>
    <n v="13684"/>
    <n v="0"/>
    <s v="Y"/>
    <x v="0"/>
    <n v="22"/>
    <n v="4"/>
    <n v="2"/>
    <n v="80"/>
    <n v="1"/>
    <n v="6"/>
    <n v="3"/>
    <n v="2"/>
    <n v="5"/>
    <n v="3"/>
    <n v="0"/>
    <n v="4"/>
    <s v="Low"/>
    <s v="Medium"/>
    <s v="Experienced"/>
  </r>
  <r>
    <n v="52"/>
    <x v="1"/>
    <s v="Non-Travel"/>
    <n v="585"/>
    <x v="0"/>
    <n v="29"/>
    <n v="4"/>
    <s v="Life Sciences"/>
    <x v="0"/>
    <n v="2019"/>
    <n v="1"/>
    <s v="Male"/>
    <n v="40"/>
    <n v="3"/>
    <n v="1"/>
    <s v="Sales Representative"/>
    <n v="4"/>
    <s v="Divorced"/>
    <n v="3482"/>
    <n v="19788"/>
    <n v="2"/>
    <s v="Y"/>
    <x v="1"/>
    <n v="15"/>
    <n v="3"/>
    <n v="2"/>
    <n v="80"/>
    <n v="2"/>
    <n v="16"/>
    <n v="3"/>
    <n v="2"/>
    <n v="9"/>
    <n v="8"/>
    <n v="0"/>
    <n v="0"/>
    <s v="Low"/>
    <s v="Low"/>
    <s v="High"/>
  </r>
  <r>
    <n v="44"/>
    <x v="1"/>
    <s v="Travel_Rarely"/>
    <n v="1037"/>
    <x v="1"/>
    <n v="1"/>
    <n v="3"/>
    <s v="Medical"/>
    <x v="0"/>
    <n v="2020"/>
    <n v="2"/>
    <s v="Male"/>
    <n v="42"/>
    <n v="3"/>
    <n v="1"/>
    <s v="Research Scientist"/>
    <n v="4"/>
    <s v="Single"/>
    <n v="2436"/>
    <n v="13422"/>
    <n v="6"/>
    <s v="Y"/>
    <x v="0"/>
    <n v="12"/>
    <n v="3"/>
    <n v="3"/>
    <n v="80"/>
    <n v="0"/>
    <n v="6"/>
    <n v="2"/>
    <n v="3"/>
    <n v="4"/>
    <n v="3"/>
    <n v="1"/>
    <n v="2"/>
    <s v="Low"/>
    <s v="Low"/>
    <s v="Experienced"/>
  </r>
  <r>
    <n v="21"/>
    <x v="1"/>
    <s v="Travel_Rarely"/>
    <n v="501"/>
    <x v="0"/>
    <n v="5"/>
    <n v="1"/>
    <s v="Medical"/>
    <x v="0"/>
    <n v="2021"/>
    <n v="3"/>
    <s v="Male"/>
    <n v="58"/>
    <n v="3"/>
    <n v="1"/>
    <s v="Sales Representative"/>
    <n v="1"/>
    <s v="Single"/>
    <n v="2380"/>
    <n v="25479"/>
    <n v="1"/>
    <s v="Y"/>
    <x v="0"/>
    <n v="11"/>
    <n v="3"/>
    <n v="4"/>
    <n v="80"/>
    <n v="0"/>
    <n v="2"/>
    <n v="6"/>
    <n v="3"/>
    <n v="2"/>
    <n v="2"/>
    <n v="1"/>
    <n v="2"/>
    <s v="Low"/>
    <s v="Low"/>
    <s v="new"/>
  </r>
  <r>
    <n v="39"/>
    <x v="1"/>
    <s v="Non-Travel"/>
    <n v="105"/>
    <x v="1"/>
    <n v="9"/>
    <n v="3"/>
    <s v="Life Sciences"/>
    <x v="0"/>
    <n v="2022"/>
    <n v="4"/>
    <s v="Male"/>
    <n v="87"/>
    <n v="3"/>
    <n v="5"/>
    <s v="Manager"/>
    <n v="4"/>
    <s v="Single"/>
    <n v="19431"/>
    <n v="15302"/>
    <n v="2"/>
    <s v="Y"/>
    <x v="1"/>
    <n v="13"/>
    <n v="3"/>
    <n v="3"/>
    <n v="80"/>
    <n v="0"/>
    <n v="21"/>
    <n v="3"/>
    <n v="2"/>
    <n v="6"/>
    <n v="0"/>
    <n v="1"/>
    <n v="3"/>
    <s v="High"/>
    <s v="High"/>
    <s v="Experienced"/>
  </r>
  <r>
    <n v="23"/>
    <x v="0"/>
    <s v="Travel_Frequently"/>
    <n v="638"/>
    <x v="0"/>
    <n v="9"/>
    <n v="3"/>
    <s v="Marketing"/>
    <x v="0"/>
    <n v="2023"/>
    <n v="4"/>
    <s v="Male"/>
    <n v="33"/>
    <n v="3"/>
    <n v="1"/>
    <s v="Sales Representative"/>
    <n v="1"/>
    <s v="Married"/>
    <n v="1790"/>
    <n v="26956"/>
    <n v="1"/>
    <s v="Y"/>
    <x v="1"/>
    <n v="19"/>
    <n v="3"/>
    <n v="1"/>
    <n v="80"/>
    <n v="1"/>
    <n v="1"/>
    <n v="3"/>
    <n v="2"/>
    <n v="1"/>
    <n v="0"/>
    <n v="1"/>
    <n v="0"/>
    <s v="Low"/>
    <s v="Low"/>
    <s v="new"/>
  </r>
  <r>
    <n v="36"/>
    <x v="1"/>
    <s v="Travel_Rarely"/>
    <n v="557"/>
    <x v="0"/>
    <n v="3"/>
    <n v="3"/>
    <s v="Medical"/>
    <x v="0"/>
    <n v="2024"/>
    <n v="1"/>
    <s v="Female"/>
    <n v="94"/>
    <n v="2"/>
    <n v="3"/>
    <s v="Sales Executive"/>
    <n v="4"/>
    <s v="Married"/>
    <n v="7644"/>
    <n v="12695"/>
    <n v="0"/>
    <s v="Y"/>
    <x v="1"/>
    <n v="19"/>
    <n v="3"/>
    <n v="3"/>
    <n v="80"/>
    <n v="2"/>
    <n v="10"/>
    <n v="2"/>
    <n v="3"/>
    <n v="9"/>
    <n v="7"/>
    <n v="3"/>
    <n v="4"/>
    <s v="High"/>
    <s v="Medium"/>
    <s v="High"/>
  </r>
  <r>
    <n v="36"/>
    <x v="1"/>
    <s v="Travel_Frequently"/>
    <n v="688"/>
    <x v="1"/>
    <n v="4"/>
    <n v="2"/>
    <s v="Life Sciences"/>
    <x v="0"/>
    <n v="2025"/>
    <n v="4"/>
    <s v="Female"/>
    <n v="97"/>
    <n v="3"/>
    <n v="2"/>
    <s v="Manufacturing Director"/>
    <n v="2"/>
    <s v="Divorced"/>
    <n v="5131"/>
    <n v="9192"/>
    <n v="7"/>
    <s v="Y"/>
    <x v="1"/>
    <n v="13"/>
    <n v="3"/>
    <n v="2"/>
    <n v="80"/>
    <n v="3"/>
    <n v="18"/>
    <n v="3"/>
    <n v="3"/>
    <n v="4"/>
    <n v="2"/>
    <n v="0"/>
    <n v="2"/>
    <s v="Low"/>
    <s v="Medium"/>
    <s v="Experienced"/>
  </r>
  <r>
    <n v="56"/>
    <x v="1"/>
    <s v="Non-Travel"/>
    <n v="667"/>
    <x v="1"/>
    <n v="1"/>
    <n v="4"/>
    <s v="Life Sciences"/>
    <x v="0"/>
    <n v="2026"/>
    <n v="3"/>
    <s v="Male"/>
    <n v="57"/>
    <n v="3"/>
    <n v="2"/>
    <s v="Healthcare Representative"/>
    <n v="3"/>
    <s v="Divorced"/>
    <n v="6306"/>
    <n v="26236"/>
    <n v="1"/>
    <s v="Y"/>
    <x v="1"/>
    <n v="21"/>
    <n v="4"/>
    <n v="1"/>
    <n v="80"/>
    <n v="1"/>
    <n v="13"/>
    <n v="2"/>
    <n v="2"/>
    <n v="13"/>
    <n v="12"/>
    <n v="1"/>
    <n v="9"/>
    <s v="Low"/>
    <s v="Medium"/>
    <s v="High"/>
  </r>
  <r>
    <n v="29"/>
    <x v="0"/>
    <s v="Travel_Rarely"/>
    <n v="1092"/>
    <x v="1"/>
    <n v="1"/>
    <n v="4"/>
    <s v="Medical"/>
    <x v="0"/>
    <n v="2027"/>
    <n v="1"/>
    <s v="Male"/>
    <n v="36"/>
    <n v="3"/>
    <n v="1"/>
    <s v="Research Scientist"/>
    <n v="4"/>
    <s v="Married"/>
    <n v="4787"/>
    <n v="26124"/>
    <n v="9"/>
    <s v="Y"/>
    <x v="0"/>
    <n v="14"/>
    <n v="3"/>
    <n v="2"/>
    <n v="80"/>
    <n v="3"/>
    <n v="4"/>
    <n v="3"/>
    <n v="4"/>
    <n v="2"/>
    <n v="2"/>
    <n v="2"/>
    <n v="2"/>
    <s v="Low"/>
    <s v="Medium"/>
    <s v="new"/>
  </r>
  <r>
    <n v="42"/>
    <x v="1"/>
    <s v="Travel_Rarely"/>
    <n v="300"/>
    <x v="1"/>
    <n v="2"/>
    <n v="3"/>
    <s v="Life Sciences"/>
    <x v="0"/>
    <n v="2031"/>
    <n v="1"/>
    <s v="Male"/>
    <n v="56"/>
    <n v="3"/>
    <n v="5"/>
    <s v="Manager"/>
    <n v="3"/>
    <s v="Married"/>
    <n v="18880"/>
    <n v="17312"/>
    <n v="5"/>
    <s v="Y"/>
    <x v="1"/>
    <n v="11"/>
    <n v="3"/>
    <n v="1"/>
    <n v="80"/>
    <n v="0"/>
    <n v="24"/>
    <n v="2"/>
    <n v="2"/>
    <n v="22"/>
    <n v="6"/>
    <n v="4"/>
    <n v="14"/>
    <s v="High"/>
    <s v="High"/>
    <s v="High"/>
  </r>
  <r>
    <n v="56"/>
    <x v="0"/>
    <s v="Travel_Rarely"/>
    <n v="310"/>
    <x v="1"/>
    <n v="7"/>
    <n v="2"/>
    <s v="Technical Degree"/>
    <x v="0"/>
    <n v="2032"/>
    <n v="4"/>
    <s v="Male"/>
    <n v="72"/>
    <n v="3"/>
    <n v="1"/>
    <s v="Laboratory Technician"/>
    <n v="3"/>
    <s v="Married"/>
    <n v="2339"/>
    <n v="3666"/>
    <n v="8"/>
    <s v="Y"/>
    <x v="1"/>
    <n v="11"/>
    <n v="3"/>
    <n v="4"/>
    <n v="80"/>
    <n v="1"/>
    <n v="14"/>
    <n v="4"/>
    <n v="1"/>
    <n v="10"/>
    <n v="9"/>
    <n v="9"/>
    <n v="8"/>
    <s v="Low"/>
    <s v="Low"/>
    <s v="High"/>
  </r>
  <r>
    <n v="41"/>
    <x v="1"/>
    <s v="Travel_Rarely"/>
    <n v="582"/>
    <x v="1"/>
    <n v="28"/>
    <n v="4"/>
    <s v="Life Sciences"/>
    <x v="0"/>
    <n v="2034"/>
    <n v="1"/>
    <s v="Female"/>
    <n v="60"/>
    <n v="2"/>
    <n v="4"/>
    <s v="Manufacturing Director"/>
    <n v="2"/>
    <s v="Married"/>
    <n v="13570"/>
    <n v="5640"/>
    <n v="0"/>
    <s v="Y"/>
    <x v="1"/>
    <n v="23"/>
    <n v="4"/>
    <n v="3"/>
    <n v="80"/>
    <n v="1"/>
    <n v="21"/>
    <n v="3"/>
    <n v="3"/>
    <n v="20"/>
    <n v="7"/>
    <n v="0"/>
    <n v="10"/>
    <s v="High"/>
    <s v="High"/>
    <s v="High"/>
  </r>
  <r>
    <n v="34"/>
    <x v="1"/>
    <s v="Travel_Rarely"/>
    <n v="704"/>
    <x v="0"/>
    <n v="28"/>
    <n v="3"/>
    <s v="Marketing"/>
    <x v="0"/>
    <n v="2035"/>
    <n v="4"/>
    <s v="Female"/>
    <n v="95"/>
    <n v="2"/>
    <n v="2"/>
    <s v="Sales Executive"/>
    <n v="3"/>
    <s v="Married"/>
    <n v="6712"/>
    <n v="8978"/>
    <n v="1"/>
    <s v="Y"/>
    <x v="1"/>
    <n v="21"/>
    <n v="4"/>
    <n v="4"/>
    <n v="80"/>
    <n v="2"/>
    <n v="8"/>
    <n v="2"/>
    <n v="3"/>
    <n v="8"/>
    <n v="7"/>
    <n v="1"/>
    <n v="7"/>
    <s v="High"/>
    <s v="Medium"/>
    <s v="High"/>
  </r>
  <r>
    <n v="36"/>
    <x v="1"/>
    <s v="Non-Travel"/>
    <n v="301"/>
    <x v="0"/>
    <n v="15"/>
    <n v="4"/>
    <s v="Marketing"/>
    <x v="0"/>
    <n v="2036"/>
    <n v="4"/>
    <s v="Male"/>
    <n v="88"/>
    <n v="1"/>
    <n v="2"/>
    <s v="Sales Executive"/>
    <n v="4"/>
    <s v="Divorced"/>
    <n v="5406"/>
    <n v="10436"/>
    <n v="1"/>
    <s v="Y"/>
    <x v="1"/>
    <n v="24"/>
    <n v="4"/>
    <n v="1"/>
    <n v="80"/>
    <n v="1"/>
    <n v="15"/>
    <n v="4"/>
    <n v="2"/>
    <n v="15"/>
    <n v="12"/>
    <n v="11"/>
    <n v="11"/>
    <s v="Low"/>
    <s v="Medium"/>
    <s v="High"/>
  </r>
  <r>
    <n v="41"/>
    <x v="1"/>
    <s v="Travel_Rarely"/>
    <n v="930"/>
    <x v="0"/>
    <n v="3"/>
    <n v="3"/>
    <s v="Life Sciences"/>
    <x v="0"/>
    <n v="2037"/>
    <n v="3"/>
    <s v="Male"/>
    <n v="57"/>
    <n v="2"/>
    <n v="2"/>
    <s v="Sales Executive"/>
    <n v="2"/>
    <s v="Divorced"/>
    <n v="8938"/>
    <n v="12227"/>
    <n v="2"/>
    <s v="Y"/>
    <x v="1"/>
    <n v="11"/>
    <n v="3"/>
    <n v="3"/>
    <n v="80"/>
    <n v="1"/>
    <n v="14"/>
    <n v="5"/>
    <n v="3"/>
    <n v="5"/>
    <n v="4"/>
    <n v="0"/>
    <n v="4"/>
    <s v="High"/>
    <s v="High"/>
    <s v="Experienced"/>
  </r>
  <r>
    <n v="32"/>
    <x v="1"/>
    <s v="Travel_Rarely"/>
    <n v="529"/>
    <x v="1"/>
    <n v="2"/>
    <n v="3"/>
    <s v="Technical Degree"/>
    <x v="0"/>
    <n v="2038"/>
    <n v="4"/>
    <s v="Male"/>
    <n v="78"/>
    <n v="3"/>
    <n v="1"/>
    <s v="Research Scientist"/>
    <n v="1"/>
    <s v="Single"/>
    <n v="2439"/>
    <n v="11288"/>
    <n v="1"/>
    <s v="Y"/>
    <x v="1"/>
    <n v="14"/>
    <n v="3"/>
    <n v="4"/>
    <n v="80"/>
    <n v="0"/>
    <n v="4"/>
    <n v="4"/>
    <n v="3"/>
    <n v="4"/>
    <n v="2"/>
    <n v="1"/>
    <n v="2"/>
    <s v="Low"/>
    <s v="Low"/>
    <s v="Experienced"/>
  </r>
  <r>
    <n v="35"/>
    <x v="1"/>
    <s v="Travel_Rarely"/>
    <n v="1146"/>
    <x v="2"/>
    <n v="26"/>
    <n v="4"/>
    <s v="Life Sciences"/>
    <x v="0"/>
    <n v="2040"/>
    <n v="3"/>
    <s v="Female"/>
    <n v="31"/>
    <n v="3"/>
    <n v="3"/>
    <s v="Human Resources"/>
    <n v="4"/>
    <s v="Single"/>
    <n v="8837"/>
    <n v="16642"/>
    <n v="1"/>
    <s v="Y"/>
    <x v="0"/>
    <n v="16"/>
    <n v="3"/>
    <n v="3"/>
    <n v="80"/>
    <n v="0"/>
    <n v="9"/>
    <n v="2"/>
    <n v="3"/>
    <n v="9"/>
    <n v="0"/>
    <n v="1"/>
    <n v="7"/>
    <s v="High"/>
    <s v="High"/>
    <s v="High"/>
  </r>
  <r>
    <n v="38"/>
    <x v="1"/>
    <s v="Travel_Rarely"/>
    <n v="345"/>
    <x v="0"/>
    <n v="10"/>
    <n v="2"/>
    <s v="Life Sciences"/>
    <x v="0"/>
    <n v="2041"/>
    <n v="1"/>
    <s v="Female"/>
    <n v="100"/>
    <n v="3"/>
    <n v="2"/>
    <s v="Sales Executive"/>
    <n v="4"/>
    <s v="Married"/>
    <n v="5343"/>
    <n v="5982"/>
    <n v="1"/>
    <s v="Y"/>
    <x v="1"/>
    <n v="11"/>
    <n v="3"/>
    <n v="3"/>
    <n v="80"/>
    <n v="1"/>
    <n v="10"/>
    <n v="1"/>
    <n v="3"/>
    <n v="10"/>
    <n v="7"/>
    <n v="1"/>
    <n v="9"/>
    <s v="Low"/>
    <s v="Medium"/>
    <s v="High"/>
  </r>
  <r>
    <n v="50"/>
    <x v="0"/>
    <s v="Travel_Frequently"/>
    <n v="878"/>
    <x v="0"/>
    <n v="1"/>
    <n v="4"/>
    <s v="Life Sciences"/>
    <x v="0"/>
    <n v="2044"/>
    <n v="2"/>
    <s v="Male"/>
    <n v="94"/>
    <n v="3"/>
    <n v="2"/>
    <s v="Sales Executive"/>
    <n v="3"/>
    <s v="Divorced"/>
    <n v="6728"/>
    <n v="14255"/>
    <n v="7"/>
    <s v="Y"/>
    <x v="1"/>
    <n v="12"/>
    <n v="3"/>
    <n v="4"/>
    <n v="80"/>
    <n v="2"/>
    <n v="12"/>
    <n v="3"/>
    <n v="3"/>
    <n v="6"/>
    <n v="3"/>
    <n v="0"/>
    <n v="1"/>
    <s v="High"/>
    <s v="Medium"/>
    <s v="Experienced"/>
  </r>
  <r>
    <n v="36"/>
    <x v="1"/>
    <s v="Travel_Rarely"/>
    <n v="1120"/>
    <x v="0"/>
    <n v="11"/>
    <n v="4"/>
    <s v="Marketing"/>
    <x v="0"/>
    <n v="2045"/>
    <n v="2"/>
    <s v="Female"/>
    <n v="100"/>
    <n v="2"/>
    <n v="2"/>
    <s v="Sales Executive"/>
    <n v="4"/>
    <s v="Married"/>
    <n v="6652"/>
    <n v="14369"/>
    <n v="4"/>
    <s v="Y"/>
    <x v="1"/>
    <n v="13"/>
    <n v="3"/>
    <n v="1"/>
    <n v="80"/>
    <n v="1"/>
    <n v="8"/>
    <n v="2"/>
    <n v="2"/>
    <n v="6"/>
    <n v="3"/>
    <n v="0"/>
    <n v="0"/>
    <s v="High"/>
    <s v="Medium"/>
    <s v="Experienced"/>
  </r>
  <r>
    <n v="45"/>
    <x v="1"/>
    <s v="Travel_Rarely"/>
    <n v="374"/>
    <x v="0"/>
    <n v="20"/>
    <n v="3"/>
    <s v="Life Sciences"/>
    <x v="0"/>
    <n v="2046"/>
    <n v="4"/>
    <s v="Female"/>
    <n v="50"/>
    <n v="3"/>
    <n v="2"/>
    <s v="Sales Executive"/>
    <n v="3"/>
    <s v="Single"/>
    <n v="4850"/>
    <n v="23333"/>
    <n v="8"/>
    <s v="Y"/>
    <x v="1"/>
    <n v="15"/>
    <n v="3"/>
    <n v="3"/>
    <n v="80"/>
    <n v="0"/>
    <n v="8"/>
    <n v="3"/>
    <n v="3"/>
    <n v="5"/>
    <n v="3"/>
    <n v="0"/>
    <n v="1"/>
    <s v="Low"/>
    <s v="Medium"/>
    <s v="Experienced"/>
  </r>
  <r>
    <n v="40"/>
    <x v="1"/>
    <s v="Travel_Rarely"/>
    <n v="1322"/>
    <x v="1"/>
    <n v="2"/>
    <n v="4"/>
    <s v="Life Sciences"/>
    <x v="0"/>
    <n v="2048"/>
    <n v="3"/>
    <s v="Male"/>
    <n v="52"/>
    <n v="2"/>
    <n v="1"/>
    <s v="Research Scientist"/>
    <n v="3"/>
    <s v="Single"/>
    <n v="2809"/>
    <n v="2725"/>
    <n v="2"/>
    <s v="Y"/>
    <x v="1"/>
    <n v="14"/>
    <n v="3"/>
    <n v="4"/>
    <n v="80"/>
    <n v="0"/>
    <n v="8"/>
    <n v="2"/>
    <n v="3"/>
    <n v="2"/>
    <n v="2"/>
    <n v="2"/>
    <n v="2"/>
    <s v="Low"/>
    <s v="Low"/>
    <s v="new"/>
  </r>
  <r>
    <n v="35"/>
    <x v="1"/>
    <s v="Travel_Frequently"/>
    <n v="1199"/>
    <x v="1"/>
    <n v="18"/>
    <n v="4"/>
    <s v="Life Sciences"/>
    <x v="0"/>
    <n v="2049"/>
    <n v="3"/>
    <s v="Male"/>
    <n v="80"/>
    <n v="3"/>
    <n v="2"/>
    <s v="Healthcare Representative"/>
    <n v="3"/>
    <s v="Married"/>
    <n v="5689"/>
    <n v="24594"/>
    <n v="1"/>
    <s v="Y"/>
    <x v="0"/>
    <n v="14"/>
    <n v="3"/>
    <n v="4"/>
    <n v="80"/>
    <n v="2"/>
    <n v="10"/>
    <n v="2"/>
    <n v="4"/>
    <n v="10"/>
    <n v="2"/>
    <n v="0"/>
    <n v="2"/>
    <s v="Low"/>
    <s v="Medium"/>
    <s v="High"/>
  </r>
  <r>
    <n v="40"/>
    <x v="1"/>
    <s v="Travel_Rarely"/>
    <n v="1194"/>
    <x v="1"/>
    <n v="2"/>
    <n v="4"/>
    <s v="Medical"/>
    <x v="0"/>
    <n v="2051"/>
    <n v="3"/>
    <s v="Female"/>
    <n v="98"/>
    <n v="3"/>
    <n v="1"/>
    <s v="Research Scientist"/>
    <n v="3"/>
    <s v="Married"/>
    <n v="2001"/>
    <n v="12549"/>
    <n v="2"/>
    <s v="Y"/>
    <x v="1"/>
    <n v="14"/>
    <n v="3"/>
    <n v="2"/>
    <n v="80"/>
    <n v="3"/>
    <n v="20"/>
    <n v="2"/>
    <n v="3"/>
    <n v="5"/>
    <n v="3"/>
    <n v="0"/>
    <n v="2"/>
    <s v="Low"/>
    <s v="Low"/>
    <s v="Experienced"/>
  </r>
  <r>
    <n v="35"/>
    <x v="1"/>
    <s v="Travel_Rarely"/>
    <n v="287"/>
    <x v="1"/>
    <n v="1"/>
    <n v="4"/>
    <s v="Life Sciences"/>
    <x v="0"/>
    <n v="2052"/>
    <n v="3"/>
    <s v="Female"/>
    <n v="62"/>
    <n v="1"/>
    <n v="1"/>
    <s v="Research Scientist"/>
    <n v="4"/>
    <s v="Married"/>
    <n v="2977"/>
    <n v="8952"/>
    <n v="1"/>
    <s v="Y"/>
    <x v="1"/>
    <n v="12"/>
    <n v="3"/>
    <n v="4"/>
    <n v="80"/>
    <n v="1"/>
    <n v="4"/>
    <n v="5"/>
    <n v="3"/>
    <n v="4"/>
    <n v="3"/>
    <n v="1"/>
    <n v="1"/>
    <s v="Low"/>
    <s v="Low"/>
    <s v="Experienced"/>
  </r>
  <r>
    <n v="29"/>
    <x v="1"/>
    <s v="Travel_Rarely"/>
    <n v="1378"/>
    <x v="1"/>
    <n v="13"/>
    <n v="2"/>
    <s v="Other"/>
    <x v="0"/>
    <n v="2053"/>
    <n v="4"/>
    <s v="Male"/>
    <n v="46"/>
    <n v="2"/>
    <n v="2"/>
    <s v="Laboratory Technician"/>
    <n v="2"/>
    <s v="Married"/>
    <n v="4025"/>
    <n v="23679"/>
    <n v="4"/>
    <s v="Y"/>
    <x v="0"/>
    <n v="13"/>
    <n v="3"/>
    <n v="1"/>
    <n v="80"/>
    <n v="1"/>
    <n v="10"/>
    <n v="2"/>
    <n v="3"/>
    <n v="4"/>
    <n v="3"/>
    <n v="0"/>
    <n v="3"/>
    <s v="Low"/>
    <s v="Medium"/>
    <s v="Experienced"/>
  </r>
  <r>
    <n v="29"/>
    <x v="1"/>
    <s v="Travel_Rarely"/>
    <n v="468"/>
    <x v="1"/>
    <n v="28"/>
    <n v="4"/>
    <s v="Medical"/>
    <x v="0"/>
    <n v="2054"/>
    <n v="4"/>
    <s v="Female"/>
    <n v="73"/>
    <n v="2"/>
    <n v="1"/>
    <s v="Research Scientist"/>
    <n v="1"/>
    <s v="Single"/>
    <n v="3785"/>
    <n v="8489"/>
    <n v="1"/>
    <s v="Y"/>
    <x v="1"/>
    <n v="14"/>
    <n v="3"/>
    <n v="2"/>
    <n v="80"/>
    <n v="0"/>
    <n v="5"/>
    <n v="3"/>
    <n v="1"/>
    <n v="5"/>
    <n v="4"/>
    <n v="0"/>
    <n v="4"/>
    <s v="Low"/>
    <s v="Low"/>
    <s v="Experienced"/>
  </r>
  <r>
    <n v="50"/>
    <x v="0"/>
    <s v="Travel_Rarely"/>
    <n v="410"/>
    <x v="0"/>
    <n v="28"/>
    <n v="3"/>
    <s v="Marketing"/>
    <x v="0"/>
    <n v="2055"/>
    <n v="4"/>
    <s v="Male"/>
    <n v="39"/>
    <n v="2"/>
    <n v="3"/>
    <s v="Sales Executive"/>
    <n v="1"/>
    <s v="Divorced"/>
    <n v="10854"/>
    <n v="16586"/>
    <n v="4"/>
    <s v="Y"/>
    <x v="0"/>
    <n v="13"/>
    <n v="3"/>
    <n v="2"/>
    <n v="80"/>
    <n v="1"/>
    <n v="20"/>
    <n v="3"/>
    <n v="3"/>
    <n v="3"/>
    <n v="2"/>
    <n v="2"/>
    <n v="0"/>
    <s v="High"/>
    <s v="High"/>
    <s v="Experienced"/>
  </r>
  <r>
    <n v="39"/>
    <x v="1"/>
    <s v="Travel_Rarely"/>
    <n v="722"/>
    <x v="0"/>
    <n v="24"/>
    <n v="1"/>
    <s v="Marketing"/>
    <x v="0"/>
    <n v="2056"/>
    <n v="2"/>
    <s v="Female"/>
    <n v="60"/>
    <n v="2"/>
    <n v="4"/>
    <s v="Sales Executive"/>
    <n v="4"/>
    <s v="Married"/>
    <n v="12031"/>
    <n v="8828"/>
    <n v="0"/>
    <s v="Y"/>
    <x v="1"/>
    <n v="11"/>
    <n v="3"/>
    <n v="1"/>
    <n v="80"/>
    <n v="1"/>
    <n v="21"/>
    <n v="2"/>
    <n v="2"/>
    <n v="20"/>
    <n v="9"/>
    <n v="9"/>
    <n v="6"/>
    <s v="High"/>
    <s v="High"/>
    <s v="High"/>
  </r>
  <r>
    <n v="31"/>
    <x v="1"/>
    <s v="Non-Travel"/>
    <n v="325"/>
    <x v="1"/>
    <n v="5"/>
    <n v="3"/>
    <s v="Medical"/>
    <x v="0"/>
    <n v="2057"/>
    <n v="2"/>
    <s v="Male"/>
    <n v="74"/>
    <n v="3"/>
    <n v="2"/>
    <s v="Manufacturing Director"/>
    <n v="1"/>
    <s v="Single"/>
    <n v="9936"/>
    <n v="3787"/>
    <n v="0"/>
    <s v="Y"/>
    <x v="1"/>
    <n v="19"/>
    <n v="3"/>
    <n v="2"/>
    <n v="80"/>
    <n v="0"/>
    <n v="10"/>
    <n v="2"/>
    <n v="3"/>
    <n v="9"/>
    <n v="4"/>
    <n v="1"/>
    <n v="7"/>
    <s v="High"/>
    <s v="High"/>
    <s v="High"/>
  </r>
  <r>
    <n v="26"/>
    <x v="1"/>
    <s v="Travel_Rarely"/>
    <n v="1167"/>
    <x v="0"/>
    <n v="5"/>
    <n v="3"/>
    <s v="Other"/>
    <x v="0"/>
    <n v="2060"/>
    <n v="4"/>
    <s v="Female"/>
    <n v="30"/>
    <n v="2"/>
    <n v="1"/>
    <s v="Sales Representative"/>
    <n v="3"/>
    <s v="Single"/>
    <n v="2966"/>
    <n v="21378"/>
    <n v="0"/>
    <s v="Y"/>
    <x v="1"/>
    <n v="18"/>
    <n v="3"/>
    <n v="4"/>
    <n v="80"/>
    <n v="0"/>
    <n v="5"/>
    <n v="2"/>
    <n v="3"/>
    <n v="4"/>
    <n v="2"/>
    <n v="0"/>
    <n v="0"/>
    <s v="Low"/>
    <s v="Low"/>
    <s v="Experienced"/>
  </r>
  <r>
    <n v="36"/>
    <x v="1"/>
    <s v="Travel_Frequently"/>
    <n v="884"/>
    <x v="1"/>
    <n v="23"/>
    <n v="2"/>
    <s v="Medical"/>
    <x v="0"/>
    <n v="2061"/>
    <n v="3"/>
    <s v="Male"/>
    <n v="41"/>
    <n v="4"/>
    <n v="2"/>
    <s v="Laboratory Technician"/>
    <n v="4"/>
    <s v="Married"/>
    <n v="2571"/>
    <n v="12290"/>
    <n v="4"/>
    <s v="Y"/>
    <x v="1"/>
    <n v="17"/>
    <n v="3"/>
    <n v="3"/>
    <n v="80"/>
    <n v="1"/>
    <n v="17"/>
    <n v="3"/>
    <n v="3"/>
    <n v="5"/>
    <n v="2"/>
    <n v="0"/>
    <n v="3"/>
    <s v="Low"/>
    <s v="Low"/>
    <s v="Experienced"/>
  </r>
  <r>
    <n v="39"/>
    <x v="1"/>
    <s v="Travel_Rarely"/>
    <n v="613"/>
    <x v="1"/>
    <n v="6"/>
    <n v="1"/>
    <s v="Medical"/>
    <x v="0"/>
    <n v="2062"/>
    <n v="4"/>
    <s v="Male"/>
    <n v="42"/>
    <n v="2"/>
    <n v="3"/>
    <s v="Healthcare Representative"/>
    <n v="1"/>
    <s v="Married"/>
    <n v="9991"/>
    <n v="21457"/>
    <n v="4"/>
    <s v="Y"/>
    <x v="1"/>
    <n v="15"/>
    <n v="3"/>
    <n v="1"/>
    <n v="80"/>
    <n v="1"/>
    <n v="9"/>
    <n v="5"/>
    <n v="3"/>
    <n v="7"/>
    <n v="7"/>
    <n v="1"/>
    <n v="7"/>
    <s v="High"/>
    <s v="High"/>
    <s v="Experienced"/>
  </r>
  <r>
    <n v="27"/>
    <x v="1"/>
    <s v="Travel_Rarely"/>
    <n v="155"/>
    <x v="1"/>
    <n v="4"/>
    <n v="3"/>
    <s v="Life Sciences"/>
    <x v="0"/>
    <n v="2064"/>
    <n v="2"/>
    <s v="Male"/>
    <n v="87"/>
    <n v="4"/>
    <n v="2"/>
    <s v="Manufacturing Director"/>
    <n v="2"/>
    <s v="Married"/>
    <n v="6142"/>
    <n v="5174"/>
    <n v="1"/>
    <s v="Y"/>
    <x v="0"/>
    <n v="20"/>
    <n v="4"/>
    <n v="2"/>
    <n v="80"/>
    <n v="1"/>
    <n v="6"/>
    <n v="0"/>
    <n v="3"/>
    <n v="6"/>
    <n v="2"/>
    <n v="0"/>
    <n v="3"/>
    <s v="Low"/>
    <s v="Medium"/>
    <s v="Experienced"/>
  </r>
  <r>
    <n v="49"/>
    <x v="1"/>
    <s v="Travel_Frequently"/>
    <n v="1023"/>
    <x v="0"/>
    <n v="2"/>
    <n v="3"/>
    <s v="Medical"/>
    <x v="0"/>
    <n v="2065"/>
    <n v="4"/>
    <s v="Male"/>
    <n v="63"/>
    <n v="2"/>
    <n v="2"/>
    <s v="Sales Executive"/>
    <n v="2"/>
    <s v="Married"/>
    <n v="5390"/>
    <n v="13243"/>
    <n v="2"/>
    <s v="Y"/>
    <x v="1"/>
    <n v="14"/>
    <n v="3"/>
    <n v="4"/>
    <n v="80"/>
    <n v="0"/>
    <n v="17"/>
    <n v="3"/>
    <n v="2"/>
    <n v="9"/>
    <n v="6"/>
    <n v="0"/>
    <n v="8"/>
    <s v="Low"/>
    <s v="Medium"/>
    <s v="High"/>
  </r>
  <r>
    <n v="34"/>
    <x v="1"/>
    <s v="Travel_Rarely"/>
    <n v="628"/>
    <x v="1"/>
    <n v="8"/>
    <n v="3"/>
    <s v="Medical"/>
    <x v="0"/>
    <n v="2068"/>
    <n v="2"/>
    <s v="Male"/>
    <n v="82"/>
    <n v="4"/>
    <n v="2"/>
    <s v="Laboratory Technician"/>
    <n v="3"/>
    <s v="Married"/>
    <n v="4404"/>
    <n v="10228"/>
    <n v="2"/>
    <s v="Y"/>
    <x v="1"/>
    <n v="12"/>
    <n v="3"/>
    <n v="1"/>
    <n v="80"/>
    <n v="0"/>
    <n v="6"/>
    <n v="3"/>
    <n v="4"/>
    <n v="4"/>
    <n v="3"/>
    <n v="1"/>
    <n v="2"/>
    <s v="Low"/>
    <s v="Medium"/>
    <s v="Experience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20DDDB-0BB9-44E8-89BE-BAAC70B35C16}" name="PivotTable8" cacheId="59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S21:AV26" firstHeaderRow="1" firstDataRow="2" firstDataCol="1"/>
  <pivotFields count="38">
    <pivotField compact="0" outline="0" showAll="0"/>
    <pivotField axis="axisCol" compact="0" outline="0" showAll="0">
      <items count="4">
        <item h="1" x="2"/>
        <item x="1"/>
        <item x="0"/>
        <item t="default"/>
      </items>
    </pivotField>
    <pivotField compact="0" outline="0" showAll="0"/>
    <pivotField compact="0" outline="0" showAll="0"/>
    <pivotField axis="axisRow"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 v="1"/>
    </i>
    <i>
      <x v="2"/>
    </i>
    <i t="grand">
      <x/>
    </i>
  </colItems>
  <dataFields count="1">
    <dataField name="Sum of EmployeeCount" fld="8" baseField="0" baseItem="0"/>
  </dataFields>
  <formats count="20">
    <format dxfId="62">
      <pivotArea type="all" dataOnly="0" outline="0" fieldPosition="0"/>
    </format>
    <format dxfId="63">
      <pivotArea outline="0" collapsedLevelsAreSubtotals="1" fieldPosition="0"/>
    </format>
    <format dxfId="64">
      <pivotArea type="origin" dataOnly="0" labelOnly="1" outline="0" fieldPosition="0"/>
    </format>
    <format dxfId="65">
      <pivotArea field="1" type="button" dataOnly="0" labelOnly="1" outline="0" axis="axisCol" fieldPosition="0"/>
    </format>
    <format dxfId="66">
      <pivotArea type="topRight" dataOnly="0" labelOnly="1" outline="0" fieldPosition="0"/>
    </format>
    <format dxfId="67">
      <pivotArea field="4" type="button" dataOnly="0" labelOnly="1" outline="0" axis="axisRow" fieldPosition="0"/>
    </format>
    <format dxfId="68">
      <pivotArea dataOnly="0" labelOnly="1" outline="0" fieldPosition="0">
        <references count="1">
          <reference field="4" count="0"/>
        </references>
      </pivotArea>
    </format>
    <format dxfId="69">
      <pivotArea dataOnly="0" labelOnly="1" grandRow="1" outline="0" fieldPosition="0"/>
    </format>
    <format dxfId="70">
      <pivotArea dataOnly="0" labelOnly="1" outline="0" fieldPosition="0">
        <references count="1">
          <reference field="1" count="0"/>
        </references>
      </pivotArea>
    </format>
    <format dxfId="71">
      <pivotArea dataOnly="0" labelOnly="1" grandCol="1" outline="0" fieldPosition="0"/>
    </format>
    <format dxfId="72">
      <pivotArea type="all" dataOnly="0" outline="0" fieldPosition="0"/>
    </format>
    <format dxfId="73">
      <pivotArea outline="0" collapsedLevelsAreSubtotals="1" fieldPosition="0"/>
    </format>
    <format dxfId="74">
      <pivotArea type="origin" dataOnly="0" labelOnly="1" outline="0" fieldPosition="0"/>
    </format>
    <format dxfId="75">
      <pivotArea field="1" type="button" dataOnly="0" labelOnly="1" outline="0" axis="axisCol" fieldPosition="0"/>
    </format>
    <format dxfId="76">
      <pivotArea type="topRight" dataOnly="0" labelOnly="1" outline="0" fieldPosition="0"/>
    </format>
    <format dxfId="77">
      <pivotArea field="4" type="button" dataOnly="0" labelOnly="1" outline="0" axis="axisRow" fieldPosition="0"/>
    </format>
    <format dxfId="78">
      <pivotArea dataOnly="0" labelOnly="1" outline="0" fieldPosition="0">
        <references count="1">
          <reference field="4" count="0"/>
        </references>
      </pivotArea>
    </format>
    <format dxfId="79">
      <pivotArea dataOnly="0" labelOnly="1" grandRow="1" outline="0" fieldPosition="0"/>
    </format>
    <format dxfId="80">
      <pivotArea dataOnly="0" labelOnly="1" outline="0" fieldPosition="0">
        <references count="1">
          <reference field="1" count="0"/>
        </references>
      </pivotArea>
    </format>
    <format dxfId="81">
      <pivotArea dataOnly="0" labelOnly="1" grandCol="1" outline="0" fieldPosition="0"/>
    </format>
  </formats>
  <chartFormats count="8"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F632E8-DBF9-44B3-8405-2139E6184BC4}" name="PivotTable5" cacheId="597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 chartFormat="5">
  <location ref="AV1:AW5" firstHeaderRow="1" firstDataRow="1" firstDataCol="1"/>
  <pivotFields count="38"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MonthlyIncome" fld="18" subtotal="average" baseField="0" baseItem="0"/>
  </dataFields>
  <formats count="8">
    <format dxfId="54">
      <pivotArea outline="0" fieldPosition="0">
        <references count="1">
          <reference field="4" count="0" selected="0"/>
        </references>
      </pivotArea>
    </format>
    <format dxfId="55">
      <pivotArea grandRow="1" outline="0" collapsedLevelsAreSubtotals="1" fieldPosition="0"/>
    </format>
    <format dxfId="56">
      <pivotArea type="all" dataOnly="0" outline="0" fieldPosition="0"/>
    </format>
    <format dxfId="57">
      <pivotArea outline="0" collapsedLevelsAreSubtotals="1" fieldPosition="0"/>
    </format>
    <format dxfId="58">
      <pivotArea field="4" type="button" dataOnly="0" labelOnly="1" outline="0" axis="axisRow" fieldPosition="0"/>
    </format>
    <format dxfId="59">
      <pivotArea dataOnly="0" labelOnly="1" outline="0" fieldPosition="0">
        <references count="1">
          <reference field="4" count="0"/>
        </references>
      </pivotArea>
    </format>
    <format dxfId="60">
      <pivotArea dataOnly="0" labelOnly="1" grandRow="1" outline="0" fieldPosition="0"/>
    </format>
    <format dxfId="61">
      <pivotArea dataOnly="0" labelOnly="1" outline="0" axis="axisValues" fieldPosition="0"/>
    </format>
  </formats>
  <chartFormats count="4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6FE2B5-535D-41E3-86C2-17860062BB73}" name="PivotTable1" cacheId="597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 chartFormat="16">
  <location ref="AS1:AT3" firstHeaderRow="1" firstDataRow="1" firstDataCol="1"/>
  <pivotFields count="38"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h="1" x="2"/>
        <item h="1" x="1"/>
        <item x="0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2">
    <i>
      <x v="2"/>
    </i>
    <i t="grand">
      <x/>
    </i>
  </rowItems>
  <colItems count="1">
    <i/>
  </colItems>
  <dataFields count="1">
    <dataField name="Sum of EmployeeCount" fld="8" baseField="0" baseItem="0"/>
  </dataFields>
  <formats count="6">
    <format dxfId="48">
      <pivotArea type="all" dataOnly="0" outline="0" fieldPosition="0"/>
    </format>
    <format dxfId="49">
      <pivotArea outline="0" collapsedLevelsAreSubtotals="1" fieldPosition="0"/>
    </format>
    <format dxfId="50">
      <pivotArea field="4" type="button" dataOnly="0" labelOnly="1" outline="0" axis="axisRow" fieldPosition="0"/>
    </format>
    <format dxfId="51">
      <pivotArea dataOnly="0" labelOnly="1" outline="0" fieldPosition="0">
        <references count="1">
          <reference field="4" count="0"/>
        </references>
      </pivotArea>
    </format>
    <format dxfId="52">
      <pivotArea dataOnly="0" labelOnly="1" grandRow="1" outline="0" fieldPosition="0"/>
    </format>
    <format dxfId="53">
      <pivotArea dataOnly="0" labelOnly="1" outline="0" axis="axisValues" fieldPosition="0"/>
    </format>
  </formats>
  <chartFormats count="1">
    <chartFormat chart="8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E28348-E84B-4112-93E9-7C8B56612BA6}" name="PivotTable3" cacheId="59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S16:AV19" firstHeaderRow="1" firstDataRow="2" firstDataCol="1"/>
  <pivotFields count="38"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h="1" x="2"/>
        <item h="1" x="1"/>
        <item x="0"/>
        <item t="default"/>
      </items>
    </pivotField>
    <pivotField compact="0" outline="0" showAll="0"/>
    <pivotField compact="0" outline="0" showAll="0"/>
    <pivotField compact="0" outline="0" showAll="0"/>
    <pivotField axis="axisRow" compact="0" outline="0" showAll="0">
      <items count="2"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8"/>
  </rowFields>
  <rowItems count="2">
    <i>
      <x/>
    </i>
    <i t="grand">
      <x/>
    </i>
  </rowItems>
  <colFields count="1">
    <field x="22"/>
  </colFields>
  <colItems count="3">
    <i>
      <x/>
    </i>
    <i>
      <x v="1"/>
    </i>
    <i t="grand">
      <x/>
    </i>
  </colItems>
  <dataFields count="1">
    <dataField name="Average of MonthlyIncome" fld="18" subtotal="average" baseField="0" baseItem="0" numFmtId="164"/>
  </dataFields>
  <formats count="22">
    <format dxfId="26">
      <pivotArea outline="0" collapsedLevelsAreSubtotals="1" fieldPosition="0"/>
    </format>
    <format dxfId="27">
      <pivotArea outline="0" fieldPosition="0">
        <references count="1">
          <reference field="22" count="1" selected="0">
            <x v="1"/>
          </reference>
        </references>
      </pivotArea>
    </format>
    <format dxfId="28">
      <pivotArea type="all" dataOnly="0" outline="0" fieldPosition="0"/>
    </format>
    <format dxfId="29">
      <pivotArea outline="0" collapsedLevelsAreSubtotals="1" fieldPosition="0"/>
    </format>
    <format dxfId="30">
      <pivotArea type="origin" dataOnly="0" labelOnly="1" outline="0" fieldPosition="0"/>
    </format>
    <format dxfId="31">
      <pivotArea field="22" type="button" dataOnly="0" labelOnly="1" outline="0" axis="axisCol" fieldPosition="0"/>
    </format>
    <format dxfId="32">
      <pivotArea type="topRight" dataOnly="0" labelOnly="1" outline="0" fieldPosition="0"/>
    </format>
    <format dxfId="33">
      <pivotArea field="8" type="button" dataOnly="0" labelOnly="1" outline="0" axis="axisRow" fieldPosition="0"/>
    </format>
    <format dxfId="34">
      <pivotArea dataOnly="0" labelOnly="1" outline="0" fieldPosition="0">
        <references count="1">
          <reference field="8" count="0"/>
        </references>
      </pivotArea>
    </format>
    <format dxfId="35">
      <pivotArea dataOnly="0" labelOnly="1" grandRow="1" outline="0" fieldPosition="0"/>
    </format>
    <format dxfId="36">
      <pivotArea dataOnly="0" labelOnly="1" outline="0" fieldPosition="0">
        <references count="1">
          <reference field="22" count="0"/>
        </references>
      </pivotArea>
    </format>
    <format dxfId="37">
      <pivotArea dataOnly="0" labelOnly="1" grandCol="1" outline="0" fieldPosition="0"/>
    </format>
    <format dxfId="38">
      <pivotArea type="all" dataOnly="0" outline="0" fieldPosition="0"/>
    </format>
    <format dxfId="39">
      <pivotArea outline="0" collapsedLevelsAreSubtotals="1" fieldPosition="0"/>
    </format>
    <format dxfId="40">
      <pivotArea type="origin" dataOnly="0" labelOnly="1" outline="0" fieldPosition="0"/>
    </format>
    <format dxfId="41">
      <pivotArea field="22" type="button" dataOnly="0" labelOnly="1" outline="0" axis="axisCol" fieldPosition="0"/>
    </format>
    <format dxfId="42">
      <pivotArea type="topRight" dataOnly="0" labelOnly="1" outline="0" fieldPosition="0"/>
    </format>
    <format dxfId="43">
      <pivotArea field="8" type="button" dataOnly="0" labelOnly="1" outline="0" axis="axisRow" fieldPosition="0"/>
    </format>
    <format dxfId="44">
      <pivotArea dataOnly="0" labelOnly="1" outline="0" fieldPosition="0">
        <references count="1">
          <reference field="8" count="0"/>
        </references>
      </pivotArea>
    </format>
    <format dxfId="45">
      <pivotArea dataOnly="0" labelOnly="1" grandRow="1" outline="0" fieldPosition="0"/>
    </format>
    <format dxfId="46">
      <pivotArea dataOnly="0" labelOnly="1" outline="0" fieldPosition="0">
        <references count="1">
          <reference field="22" count="0"/>
        </references>
      </pivotArea>
    </format>
    <format dxfId="47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0E68EF-C7FA-4626-AAC2-EDACBB89B547}" name="PivotTable2" cacheId="59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S9:AV14" firstHeaderRow="1" firstDataRow="2" firstDataCol="1"/>
  <pivotFields count="38"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22"/>
  </colFields>
  <colItems count="3">
    <i>
      <x/>
    </i>
    <i>
      <x v="1"/>
    </i>
    <i t="grand">
      <x/>
    </i>
  </colItems>
  <dataFields count="1">
    <dataField name="Sum of EmployeeCount" fld="8" baseField="0" baseItem="0"/>
  </dataFields>
  <formats count="22">
    <format dxfId="4">
      <pivotArea field="4" grandCol="1" outline="0" axis="axisRow" fieldPosition="0">
        <references count="1">
          <reference field="4" count="1" selected="0">
            <x v="0"/>
          </reference>
        </references>
      </pivotArea>
    </format>
    <format dxfId="5">
      <pivotArea grandCol="1" outline="0" collapsedLevelsAreSubtotals="1" fieldPosition="0"/>
    </format>
    <format dxfId="6">
      <pivotArea type="all" dataOnly="0" outline="0" fieldPosition="0"/>
    </format>
    <format dxfId="7">
      <pivotArea outline="0" collapsedLevelsAreSubtotals="1" fieldPosition="0"/>
    </format>
    <format dxfId="8">
      <pivotArea type="origin" dataOnly="0" labelOnly="1" outline="0" fieldPosition="0"/>
    </format>
    <format dxfId="9">
      <pivotArea field="22" type="button" dataOnly="0" labelOnly="1" outline="0" axis="axisCol" fieldPosition="0"/>
    </format>
    <format dxfId="10">
      <pivotArea type="topRight" dataOnly="0" labelOnly="1" outline="0" fieldPosition="0"/>
    </format>
    <format dxfId="11">
      <pivotArea field="4" type="button" dataOnly="0" labelOnly="1" outline="0" axis="axisRow" fieldPosition="0"/>
    </format>
    <format dxfId="12">
      <pivotArea dataOnly="0" labelOnly="1" outline="0" fieldPosition="0">
        <references count="1">
          <reference field="4" count="0"/>
        </references>
      </pivotArea>
    </format>
    <format dxfId="13">
      <pivotArea dataOnly="0" labelOnly="1" grandRow="1" outline="0" fieldPosition="0"/>
    </format>
    <format dxfId="14">
      <pivotArea dataOnly="0" labelOnly="1" outline="0" fieldPosition="0">
        <references count="1">
          <reference field="22" count="0"/>
        </references>
      </pivotArea>
    </format>
    <format dxfId="15">
      <pivotArea dataOnly="0" labelOnly="1" grandCol="1" outline="0" fieldPosition="0"/>
    </format>
    <format dxfId="16">
      <pivotArea type="all" dataOnly="0" outline="0" fieldPosition="0"/>
    </format>
    <format dxfId="17">
      <pivotArea outline="0" collapsedLevelsAreSubtotals="1" fieldPosition="0"/>
    </format>
    <format dxfId="18">
      <pivotArea type="origin" dataOnly="0" labelOnly="1" outline="0" fieldPosition="0"/>
    </format>
    <format dxfId="19">
      <pivotArea field="22" type="button" dataOnly="0" labelOnly="1" outline="0" axis="axisCol" fieldPosition="0"/>
    </format>
    <format dxfId="20">
      <pivotArea type="topRight" dataOnly="0" labelOnly="1" outline="0" fieldPosition="0"/>
    </format>
    <format dxfId="21">
      <pivotArea field="4" type="button" dataOnly="0" labelOnly="1" outline="0" axis="axisRow" fieldPosition="0"/>
    </format>
    <format dxfId="22">
      <pivotArea dataOnly="0" labelOnly="1" outline="0" fieldPosition="0">
        <references count="1">
          <reference field="4" count="0"/>
        </references>
      </pivotArea>
    </format>
    <format dxfId="23">
      <pivotArea dataOnly="0" labelOnly="1" grandRow="1" outline="0" fieldPosition="0"/>
    </format>
    <format dxfId="24">
      <pivotArea dataOnly="0" labelOnly="1" outline="0" fieldPosition="0">
        <references count="1">
          <reference field="22" count="0"/>
        </references>
      </pivotArea>
    </format>
    <format dxfId="25">
      <pivotArea dataOnly="0" labelOnly="1" grandCol="1" outline="0" fieldPosition="0"/>
    </format>
  </formats>
  <chartFormats count="8"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Department" xr10:uid="{8038C755-6198-439A-B35B-5F7FE1A5F043}" sourceName="Department">
  <pivotTables>
    <pivotTable tabId="2" name="PivotTable1"/>
  </pivotTables>
  <data>
    <tabular pivotCacheId="943017790">
      <items count="3">
        <i x="2"/>
        <i x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epartment" xr10:uid="{A8F1815A-F156-4191-9398-56AE60D4DFE7}" cache="Slicer_Department" caption="Department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E20475-94E9-4AF3-8E58-110B99E6E8D7}" name="Table1" displayName="Table1" ref="A1:AI1471" totalsRowShown="0">
  <autoFilter ref="A1:AI1471" xr:uid="{45E20475-94E9-4AF3-8E58-110B99E6E8D7}"/>
  <tableColumns count="35">
    <tableColumn id="1" xr3:uid="{EB359D87-B31D-4EC9-84D2-F48CCF9FB834}" name="Age"/>
    <tableColumn id="2" xr3:uid="{B69DB42B-B0B8-4685-87FF-438456173AE6}" name="Attrition"/>
    <tableColumn id="3" xr3:uid="{583E9AB8-8E14-4E1A-A69F-B085850BDA91}" name="BusinessTravel"/>
    <tableColumn id="4" xr3:uid="{7002DD59-117A-48B5-B1AC-B6EA6C21A880}" name="DailyRate"/>
    <tableColumn id="5" xr3:uid="{957B9015-C5A8-44CE-9ECB-7867015D2C36}" name="Department"/>
    <tableColumn id="6" xr3:uid="{96D5A2FF-5684-4F70-A547-2FD001401973}" name="DistanceFromHome"/>
    <tableColumn id="7" xr3:uid="{B0F5584E-D16C-4D51-9FEA-3E85B2804E82}" name="Education"/>
    <tableColumn id="8" xr3:uid="{8EBE822E-F0DB-4CE1-81F5-E4FFA028FA2B}" name="EducationField"/>
    <tableColumn id="9" xr3:uid="{60B3D73D-CF4B-42C9-A612-EBA9A9CF1A2C}" name="EmployeeCount"/>
    <tableColumn id="10" xr3:uid="{27B3D01B-E650-494F-A000-41624A9888D1}" name="EmployeeNumber"/>
    <tableColumn id="11" xr3:uid="{D884A8D2-1CA7-49CB-8BF4-F634BD6E3326}" name="EnvironmentSatisfaction"/>
    <tableColumn id="12" xr3:uid="{B7F828D1-8B39-4D50-A7B9-B4C77F31E6FD}" name="Gender"/>
    <tableColumn id="13" xr3:uid="{55A02F88-A754-47E2-B05E-1642BD599AE3}" name="HourlyRate"/>
    <tableColumn id="14" xr3:uid="{F93DDD2A-2DAF-4B22-A207-B41C4B9F857E}" name="JobInvolvement"/>
    <tableColumn id="15" xr3:uid="{29F09190-D2A4-4200-8A44-C0A3FEE96408}" name="JobLevel"/>
    <tableColumn id="16" xr3:uid="{6926AB61-ED8B-454E-A4B4-E3936635C190}" name="JobRole"/>
    <tableColumn id="17" xr3:uid="{436EE166-BAC8-4A6C-A617-6BD98CB86FC0}" name="JobSatisfaction"/>
    <tableColumn id="18" xr3:uid="{38500242-62FC-4280-8140-15CA492DCEF3}" name="MaritalStatus"/>
    <tableColumn id="19" xr3:uid="{23A73D4C-2FD7-49F4-8787-CC7846EAED7E}" name="MonthlyIncome"/>
    <tableColumn id="20" xr3:uid="{D4CA19D5-C1C1-4BB8-AE80-174999BCEDE8}" name="MonthlyRate"/>
    <tableColumn id="21" xr3:uid="{1AA3B2A9-E06D-4919-A8C8-931BF462B97D}" name="NumCompaniesWorked"/>
    <tableColumn id="22" xr3:uid="{0D2F5C48-B98F-466F-816B-404A6C32A1E7}" name="Over18"/>
    <tableColumn id="23" xr3:uid="{BBCD4341-A956-4EE8-BA70-99DA41D8FF65}" name="OverTime"/>
    <tableColumn id="24" xr3:uid="{70E4EA83-DE7B-4F12-BDD4-CA4466CF4700}" name="PercentSalaryHike"/>
    <tableColumn id="25" xr3:uid="{8B5D8999-CD01-49B0-9D99-F3AF73046DCF}" name="PerformanceRating"/>
    <tableColumn id="26" xr3:uid="{159295CC-BF75-496C-A441-97244A8EF4D0}" name="RelationshipSatisfaction"/>
    <tableColumn id="27" xr3:uid="{0E67E3F3-3B89-41A3-B871-05E12B3CCE45}" name="StandardHours"/>
    <tableColumn id="28" xr3:uid="{5065A9FC-503A-437D-A247-99DF7D150666}" name="StockOptionLevel"/>
    <tableColumn id="29" xr3:uid="{33C68CBA-FA28-4794-9B0F-C0DD3CCFC3A2}" name="TotalWorkingYears"/>
    <tableColumn id="30" xr3:uid="{632EA2B9-A7C7-4A9C-AD8D-6912F7415F9B}" name="TrainingTimesLastYear"/>
    <tableColumn id="31" xr3:uid="{6D8CAF4C-875F-4EAF-A3A4-278B4D78E77F}" name="WorkLifeBalance"/>
    <tableColumn id="32" xr3:uid="{548C20D6-BFC0-42A2-9F5D-E3D8F3ECA3AA}" name="YearsAtCompany"/>
    <tableColumn id="33" xr3:uid="{0E97EFC7-2AF6-479C-95F0-A21153B85208}" name="YearsInCurrentRole"/>
    <tableColumn id="34" xr3:uid="{3A1F03D7-0FC6-4834-AAC8-306916D45A27}" name="YearsSinceLastPromotion"/>
    <tableColumn id="35" xr3:uid="{D68E5F22-1EC4-42E1-A0C7-4C614FC972C9}" name="YearsWithCurrManag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A251411-1F07-42A1-8E44-423D4FAA1BDA}" name="Table13" displayName="Table13" ref="A1:AM1471" totalsRowShown="0">
  <autoFilter ref="A1:AM1471" xr:uid="{0A251411-1F07-42A1-8E44-423D4FAA1BDA}"/>
  <tableColumns count="39">
    <tableColumn id="1" xr3:uid="{4BD6AC16-A9AF-4953-8288-47B488851409}" name="Age"/>
    <tableColumn id="2" xr3:uid="{E5F2C894-49FE-43E8-A534-23B43FBF97DC}" name="Attrition"/>
    <tableColumn id="3" xr3:uid="{B4DDF997-2CA0-42BC-9143-2BC3B299CB97}" name="BusinessTravel"/>
    <tableColumn id="4" xr3:uid="{D39B650B-4368-4B0A-86E1-58B654FB9563}" name="DailyRate"/>
    <tableColumn id="5" xr3:uid="{A7CA9E82-4771-4E23-866D-A5939F2A56C6}" name="Department"/>
    <tableColumn id="6" xr3:uid="{FE72FAC8-E082-4F27-A615-5EB2DC4F74B7}" name="DistanceFromHome"/>
    <tableColumn id="7" xr3:uid="{0F39EEF7-C1FD-4E4C-9745-7BE3F3CF0C83}" name="Education"/>
    <tableColumn id="8" xr3:uid="{5DC98471-D341-4583-A4A7-5C8F5AC65324}" name="EducationField"/>
    <tableColumn id="9" xr3:uid="{E75C580C-B01A-40A2-97CC-541DEC84DCD1}" name="EmployeeCount"/>
    <tableColumn id="10" xr3:uid="{2F993AD3-179B-47E6-801D-B4A5598D3895}" name="EmployeeNumber"/>
    <tableColumn id="11" xr3:uid="{74342D8E-7A2A-46B6-B427-BF2003EC25CB}" name="EnvironmentSatisfaction"/>
    <tableColumn id="12" xr3:uid="{F46A0FA7-D608-433C-8D82-97BA1A5590FA}" name="Gender"/>
    <tableColumn id="13" xr3:uid="{594B8826-B2E0-4820-8A43-5ADACEBADF46}" name="HourlyRate"/>
    <tableColumn id="14" xr3:uid="{615444F9-5861-429C-996A-68BE14110678}" name="JobInvolvement"/>
    <tableColumn id="15" xr3:uid="{43BD6812-82BC-426F-88C2-4DAAC889295D}" name="JobLevel"/>
    <tableColumn id="16" xr3:uid="{840E9658-8339-441E-AEEF-D3D55ECF72C4}" name="JobRole"/>
    <tableColumn id="17" xr3:uid="{E0340FBA-D988-4E10-BA8E-401165050DA5}" name="JobSatisfaction"/>
    <tableColumn id="18" xr3:uid="{365FADBF-8523-4157-A1A4-AED7C525C9D3}" name="MaritalStatus"/>
    <tableColumn id="19" xr3:uid="{ABFDB48A-D005-4D0B-A2DB-543A2BC50840}" name="MonthlyIncome"/>
    <tableColumn id="20" xr3:uid="{83955085-150A-4F10-9B44-A2FA559988A7}" name="MonthlyRate"/>
    <tableColumn id="21" xr3:uid="{5B8C9ABF-2672-4826-9854-2743B979C504}" name="NumCompaniesWorked"/>
    <tableColumn id="22" xr3:uid="{9385B62D-2DE9-4963-A088-8D1B274F9D0D}" name="Over18"/>
    <tableColumn id="23" xr3:uid="{1451C123-7405-4E25-A736-ED708BA58E32}" name="OverTime"/>
    <tableColumn id="24" xr3:uid="{5FF17B95-BBDB-4C5C-9ABF-DD7A003E29DA}" name="PercentSalaryHike"/>
    <tableColumn id="25" xr3:uid="{2FFB90EB-2D64-419A-8466-64F570A73F7B}" name="PerformanceRating"/>
    <tableColumn id="26" xr3:uid="{116AD9D5-8B78-4B66-92E4-BB9F44E78D9F}" name="RelationshipSatisfaction"/>
    <tableColumn id="27" xr3:uid="{330E43F7-3E33-4F2E-95E9-CD15EA36EF6F}" name="StandardHours"/>
    <tableColumn id="28" xr3:uid="{BCE00FAA-7C6E-4984-937C-97C57B8C4C6E}" name="StockOptionLevel"/>
    <tableColumn id="29" xr3:uid="{32159DC2-E576-4860-BF1E-72A5A939534E}" name="TotalWorkingYears"/>
    <tableColumn id="30" xr3:uid="{89F09B22-317B-4802-B4A0-71E49EA08645}" name="TrainingTimesLastYear"/>
    <tableColumn id="31" xr3:uid="{F669C04C-2163-49D5-9006-69EC96A4555C}" name="WorkLifeBalance"/>
    <tableColumn id="32" xr3:uid="{98AFE2ED-4C15-467E-BA33-D9FBF85EA7A1}" name="YearsAtCompany"/>
    <tableColumn id="33" xr3:uid="{D5F564C0-BB73-483C-8196-544D7A5AA1EE}" name="YearsInCurrentRole"/>
    <tableColumn id="34" xr3:uid="{81D794EB-C3AB-4953-BB40-1DC3C8E1C2F0}" name="YearsSinceLastPromotion"/>
    <tableColumn id="35" xr3:uid="{E5AA7FF3-C4B9-42EE-ACFF-5E2DC3CBB834}" name="YearsWithCurrManager"/>
    <tableColumn id="36" xr3:uid="{58626D4C-C6C4-4EA5-B55E-D1DCE5433BE8}" name="salary_category" dataDxfId="3">
      <calculatedColumnFormula>IF(S2&gt;=6500,"High","Low")</calculatedColumnFormula>
    </tableColumn>
    <tableColumn id="37" xr3:uid="{D61B70A7-8257-4A71-8926-28FFC16BE77A}" name="salary_level" dataDxfId="2">
      <calculatedColumnFormula array="1">_xlfn.IFS(S2&lt;4000,"Low",S2&lt;8000,"Medium",S2&gt;=8000,"High")</calculatedColumnFormula>
    </tableColumn>
    <tableColumn id="38" xr3:uid="{1F100257-528D-4222-BC38-FB22E623C6D8}" name="Experience_level" dataDxfId="1">
      <calculatedColumnFormula array="1">_xlfn.IFS(AF2&lt;3,"new",AF2&lt;=7,"Experienced",AF2&gt;7,"High")</calculatedColumnFormula>
    </tableColumn>
    <tableColumn id="39" xr3:uid="{28D2767A-70F4-4135-87C5-1C0C1DCD50B6}" name="Column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microsoft.com/office/2007/relationships/slicer" Target="../slicers/slicer1.xml"/><Relationship Id="rId3" Type="http://schemas.openxmlformats.org/officeDocument/2006/relationships/pivotTable" Target="../pivotTables/pivotTable3.xml"/><Relationship Id="rId7" Type="http://schemas.openxmlformats.org/officeDocument/2006/relationships/table" Target="../tables/table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32314-3DBB-4C80-A335-56AF4FAEEBA8}">
  <dimension ref="A1:AI1471"/>
  <sheetViews>
    <sheetView tabSelected="1" workbookViewId="0">
      <selection activeCell="B5" sqref="B5"/>
    </sheetView>
  </sheetViews>
  <sheetFormatPr defaultRowHeight="15"/>
  <cols>
    <col min="2" max="2" width="11.140625" bestFit="1" customWidth="1"/>
    <col min="3" max="3" width="17.5703125" bestFit="1" customWidth="1"/>
    <col min="4" max="4" width="12" bestFit="1" customWidth="1"/>
    <col min="5" max="5" width="24" bestFit="1" customWidth="1"/>
    <col min="6" max="6" width="21.28515625" bestFit="1" customWidth="1"/>
    <col min="7" max="7" width="12.28515625" bestFit="1" customWidth="1"/>
    <col min="8" max="8" width="17" bestFit="1" customWidth="1"/>
    <col min="9" max="9" width="17.7109375" bestFit="1" customWidth="1"/>
    <col min="10" max="10" width="19.85546875" bestFit="1" customWidth="1"/>
    <col min="11" max="11" width="25.7109375" bestFit="1" customWidth="1"/>
    <col min="12" max="12" width="10" bestFit="1" customWidth="1"/>
    <col min="13" max="13" width="13.42578125" bestFit="1" customWidth="1"/>
    <col min="14" max="14" width="17.85546875" bestFit="1" customWidth="1"/>
    <col min="15" max="15" width="11" bestFit="1" customWidth="1"/>
    <col min="16" max="16" width="25.140625" bestFit="1" customWidth="1"/>
    <col min="17" max="17" width="17" bestFit="1" customWidth="1"/>
    <col min="18" max="18" width="15.7109375" bestFit="1" customWidth="1"/>
    <col min="19" max="19" width="17.7109375" bestFit="1" customWidth="1"/>
    <col min="20" max="20" width="15.140625" bestFit="1" customWidth="1"/>
    <col min="21" max="21" width="25.140625" bestFit="1" customWidth="1"/>
    <col min="22" max="22" width="9.85546875" bestFit="1" customWidth="1"/>
    <col min="23" max="23" width="12.140625" bestFit="1" customWidth="1"/>
    <col min="24" max="24" width="20" bestFit="1" customWidth="1"/>
    <col min="25" max="25" width="20.85546875" bestFit="1" customWidth="1"/>
    <col min="26" max="26" width="25.42578125" bestFit="1" customWidth="1"/>
    <col min="27" max="27" width="16.85546875" bestFit="1" customWidth="1"/>
    <col min="28" max="28" width="19.140625" bestFit="1" customWidth="1"/>
    <col min="29" max="29" width="20.7109375" bestFit="1" customWidth="1"/>
    <col min="30" max="30" width="24" bestFit="1" customWidth="1"/>
    <col min="31" max="31" width="18.5703125" bestFit="1" customWidth="1"/>
    <col min="32" max="32" width="18.85546875" bestFit="1" customWidth="1"/>
    <col min="33" max="33" width="21" bestFit="1" customWidth="1"/>
    <col min="34" max="34" width="26.42578125" bestFit="1" customWidth="1"/>
    <col min="35" max="35" width="24.855468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D6880-7D8B-4637-8171-173E15551EB6}">
  <dimension ref="A1:AW1471"/>
  <sheetViews>
    <sheetView workbookViewId="0">
      <selection activeCell="H18" sqref="H18"/>
    </sheetView>
  </sheetViews>
  <sheetFormatPr defaultRowHeight="15"/>
  <cols>
    <col min="44" max="44" width="15.7109375" customWidth="1"/>
    <col min="45" max="45" width="26" customWidth="1"/>
    <col min="46" max="46" width="22.42578125" customWidth="1"/>
    <col min="47" max="47" width="5.42578125" customWidth="1"/>
    <col min="48" max="48" width="23.7109375" customWidth="1"/>
    <col min="49" max="49" width="26" customWidth="1"/>
    <col min="50" max="50" width="16.7109375" customWidth="1"/>
    <col min="51" max="51" width="10.7109375" customWidth="1"/>
    <col min="52" max="844" width="5.42578125" bestFit="1" customWidth="1"/>
    <col min="845" max="1038" width="6.5703125" bestFit="1" customWidth="1"/>
    <col min="1039" max="1039" width="8.7109375" bestFit="1" customWidth="1"/>
    <col min="1040" max="1040" width="6" bestFit="1" customWidth="1"/>
    <col min="1041" max="1359" width="5.42578125" bestFit="1" customWidth="1"/>
    <col min="1360" max="1444" width="6.5703125" bestFit="1" customWidth="1"/>
    <col min="1445" max="1445" width="9.140625" bestFit="1" customWidth="1"/>
    <col min="1446" max="1446" width="11.7109375" bestFit="1" customWidth="1"/>
    <col min="1447" max="1447" width="26" bestFit="1" customWidth="1"/>
    <col min="1448" max="1448" width="18.28515625" bestFit="1" customWidth="1"/>
    <col min="1449" max="1449" width="22.42578125" bestFit="1" customWidth="1"/>
    <col min="1450" max="1450" width="26" bestFit="1" customWidth="1"/>
    <col min="1451" max="1451" width="18.28515625" bestFit="1" customWidth="1"/>
    <col min="1452" max="1452" width="22.42578125" bestFit="1" customWidth="1"/>
    <col min="1453" max="1453" width="26" bestFit="1" customWidth="1"/>
    <col min="1454" max="1454" width="18.28515625" bestFit="1" customWidth="1"/>
    <col min="1455" max="1455" width="22.42578125" bestFit="1" customWidth="1"/>
    <col min="1456" max="1456" width="26" bestFit="1" customWidth="1"/>
    <col min="1457" max="1457" width="18.28515625" bestFit="1" customWidth="1"/>
    <col min="1458" max="1458" width="22.42578125" bestFit="1" customWidth="1"/>
    <col min="1459" max="1459" width="26" bestFit="1" customWidth="1"/>
    <col min="1460" max="1460" width="18.28515625" bestFit="1" customWidth="1"/>
    <col min="1461" max="1461" width="22.42578125" bestFit="1" customWidth="1"/>
    <col min="1462" max="1462" width="26" bestFit="1" customWidth="1"/>
    <col min="1463" max="1463" width="18.28515625" bestFit="1" customWidth="1"/>
    <col min="1464" max="1464" width="22.42578125" bestFit="1" customWidth="1"/>
    <col min="1465" max="1465" width="26" bestFit="1" customWidth="1"/>
    <col min="1466" max="1466" width="18.28515625" bestFit="1" customWidth="1"/>
    <col min="1467" max="1467" width="22.42578125" bestFit="1" customWidth="1"/>
    <col min="1468" max="1468" width="26" bestFit="1" customWidth="1"/>
    <col min="1469" max="1469" width="18.28515625" bestFit="1" customWidth="1"/>
    <col min="1470" max="1470" width="22.42578125" bestFit="1" customWidth="1"/>
    <col min="1471" max="1471" width="26" bestFit="1" customWidth="1"/>
    <col min="1472" max="1472" width="18.28515625" bestFit="1" customWidth="1"/>
    <col min="1473" max="1473" width="22.42578125" bestFit="1" customWidth="1"/>
    <col min="1474" max="1474" width="26" bestFit="1" customWidth="1"/>
    <col min="1475" max="1475" width="18.28515625" bestFit="1" customWidth="1"/>
    <col min="1476" max="1476" width="22.42578125" bestFit="1" customWidth="1"/>
    <col min="1477" max="1477" width="26" bestFit="1" customWidth="1"/>
    <col min="1478" max="1478" width="18.28515625" bestFit="1" customWidth="1"/>
    <col min="1479" max="1479" width="22.42578125" bestFit="1" customWidth="1"/>
    <col min="1480" max="1480" width="26" bestFit="1" customWidth="1"/>
    <col min="1481" max="1481" width="18.28515625" bestFit="1" customWidth="1"/>
    <col min="1482" max="1482" width="22.42578125" bestFit="1" customWidth="1"/>
    <col min="1483" max="1483" width="26" bestFit="1" customWidth="1"/>
    <col min="1484" max="1484" width="18.28515625" bestFit="1" customWidth="1"/>
    <col min="1485" max="1485" width="22.42578125" bestFit="1" customWidth="1"/>
    <col min="1486" max="1486" width="26" bestFit="1" customWidth="1"/>
    <col min="1487" max="1487" width="18.28515625" bestFit="1" customWidth="1"/>
    <col min="1488" max="1488" width="22.42578125" bestFit="1" customWidth="1"/>
    <col min="1489" max="1489" width="26" bestFit="1" customWidth="1"/>
    <col min="1490" max="1490" width="18.28515625" bestFit="1" customWidth="1"/>
    <col min="1491" max="1491" width="22.42578125" bestFit="1" customWidth="1"/>
    <col min="1492" max="1492" width="26" bestFit="1" customWidth="1"/>
    <col min="1493" max="1493" width="18.28515625" bestFit="1" customWidth="1"/>
    <col min="1494" max="1494" width="22.42578125" bestFit="1" customWidth="1"/>
    <col min="1495" max="1495" width="26" bestFit="1" customWidth="1"/>
    <col min="1496" max="1496" width="18.28515625" bestFit="1" customWidth="1"/>
    <col min="1497" max="1497" width="22.42578125" bestFit="1" customWidth="1"/>
    <col min="1498" max="1498" width="26" bestFit="1" customWidth="1"/>
    <col min="1499" max="1499" width="18.28515625" bestFit="1" customWidth="1"/>
    <col min="1500" max="1500" width="22.42578125" bestFit="1" customWidth="1"/>
    <col min="1501" max="1501" width="26" bestFit="1" customWidth="1"/>
    <col min="1502" max="1502" width="18.28515625" bestFit="1" customWidth="1"/>
    <col min="1503" max="1503" width="22.42578125" bestFit="1" customWidth="1"/>
    <col min="1504" max="1504" width="26" bestFit="1" customWidth="1"/>
    <col min="1505" max="1505" width="18.28515625" bestFit="1" customWidth="1"/>
    <col min="1506" max="1506" width="22.42578125" bestFit="1" customWidth="1"/>
    <col min="1507" max="1507" width="26" bestFit="1" customWidth="1"/>
    <col min="1508" max="1508" width="18.28515625" bestFit="1" customWidth="1"/>
    <col min="1509" max="1509" width="22.42578125" bestFit="1" customWidth="1"/>
    <col min="1510" max="1510" width="26" bestFit="1" customWidth="1"/>
    <col min="1511" max="1511" width="18.28515625" bestFit="1" customWidth="1"/>
    <col min="1512" max="1512" width="22.42578125" bestFit="1" customWidth="1"/>
    <col min="1513" max="1513" width="26" bestFit="1" customWidth="1"/>
    <col min="1514" max="1514" width="18.28515625" bestFit="1" customWidth="1"/>
    <col min="1515" max="1515" width="22.42578125" bestFit="1" customWidth="1"/>
    <col min="1516" max="1516" width="26" bestFit="1" customWidth="1"/>
    <col min="1517" max="1517" width="18.28515625" bestFit="1" customWidth="1"/>
    <col min="1518" max="1518" width="22.42578125" bestFit="1" customWidth="1"/>
    <col min="1519" max="1519" width="26" bestFit="1" customWidth="1"/>
    <col min="1520" max="1520" width="18.28515625" bestFit="1" customWidth="1"/>
    <col min="1521" max="1521" width="22.42578125" bestFit="1" customWidth="1"/>
    <col min="1522" max="1522" width="26" bestFit="1" customWidth="1"/>
    <col min="1523" max="1523" width="18.28515625" bestFit="1" customWidth="1"/>
    <col min="1524" max="1524" width="22.42578125" bestFit="1" customWidth="1"/>
    <col min="1525" max="1525" width="26" bestFit="1" customWidth="1"/>
    <col min="1526" max="1526" width="18.28515625" bestFit="1" customWidth="1"/>
    <col min="1527" max="1527" width="22.42578125" bestFit="1" customWidth="1"/>
    <col min="1528" max="1528" width="26" bestFit="1" customWidth="1"/>
    <col min="1529" max="1529" width="18.28515625" bestFit="1" customWidth="1"/>
    <col min="1530" max="1530" width="22.42578125" bestFit="1" customWidth="1"/>
    <col min="1531" max="1531" width="26" bestFit="1" customWidth="1"/>
    <col min="1532" max="1532" width="18.28515625" bestFit="1" customWidth="1"/>
    <col min="1533" max="1533" width="22.42578125" bestFit="1" customWidth="1"/>
    <col min="1534" max="1534" width="26" bestFit="1" customWidth="1"/>
    <col min="1535" max="1535" width="18.28515625" bestFit="1" customWidth="1"/>
    <col min="1536" max="1536" width="22.42578125" bestFit="1" customWidth="1"/>
    <col min="1537" max="1537" width="26" bestFit="1" customWidth="1"/>
    <col min="1538" max="1538" width="18.28515625" bestFit="1" customWidth="1"/>
    <col min="1539" max="1539" width="22.42578125" bestFit="1" customWidth="1"/>
    <col min="1540" max="1540" width="26" bestFit="1" customWidth="1"/>
    <col min="1541" max="1541" width="18.28515625" bestFit="1" customWidth="1"/>
    <col min="1542" max="1542" width="22.42578125" bestFit="1" customWidth="1"/>
    <col min="1543" max="1543" width="26" bestFit="1" customWidth="1"/>
    <col min="1544" max="1544" width="18.28515625" bestFit="1" customWidth="1"/>
    <col min="1545" max="1545" width="22.42578125" bestFit="1" customWidth="1"/>
    <col min="1546" max="1546" width="26" bestFit="1" customWidth="1"/>
    <col min="1547" max="1547" width="18.28515625" bestFit="1" customWidth="1"/>
    <col min="1548" max="1548" width="22.42578125" bestFit="1" customWidth="1"/>
    <col min="1549" max="1549" width="26" bestFit="1" customWidth="1"/>
    <col min="1550" max="1550" width="18.28515625" bestFit="1" customWidth="1"/>
    <col min="1551" max="1551" width="22.42578125" bestFit="1" customWidth="1"/>
    <col min="1552" max="1552" width="26" bestFit="1" customWidth="1"/>
    <col min="1553" max="1553" width="18.28515625" bestFit="1" customWidth="1"/>
    <col min="1554" max="1554" width="22.42578125" bestFit="1" customWidth="1"/>
    <col min="1555" max="1555" width="26" bestFit="1" customWidth="1"/>
    <col min="1556" max="1556" width="18.28515625" bestFit="1" customWidth="1"/>
    <col min="1557" max="1557" width="22.42578125" bestFit="1" customWidth="1"/>
    <col min="1558" max="1558" width="26" bestFit="1" customWidth="1"/>
    <col min="1559" max="1559" width="18.28515625" bestFit="1" customWidth="1"/>
    <col min="1560" max="1560" width="22.42578125" bestFit="1" customWidth="1"/>
    <col min="1561" max="1561" width="26" bestFit="1" customWidth="1"/>
    <col min="1562" max="1562" width="18.28515625" bestFit="1" customWidth="1"/>
    <col min="1563" max="1563" width="22.42578125" bestFit="1" customWidth="1"/>
    <col min="1564" max="1564" width="26" bestFit="1" customWidth="1"/>
    <col min="1565" max="1565" width="18.28515625" bestFit="1" customWidth="1"/>
    <col min="1566" max="1566" width="22.42578125" bestFit="1" customWidth="1"/>
    <col min="1567" max="1567" width="26" bestFit="1" customWidth="1"/>
    <col min="1568" max="1568" width="18.28515625" bestFit="1" customWidth="1"/>
    <col min="1569" max="1569" width="22.42578125" bestFit="1" customWidth="1"/>
    <col min="1570" max="1570" width="26" bestFit="1" customWidth="1"/>
    <col min="1571" max="1571" width="18.28515625" bestFit="1" customWidth="1"/>
    <col min="1572" max="1572" width="22.42578125" bestFit="1" customWidth="1"/>
    <col min="1573" max="1573" width="26" bestFit="1" customWidth="1"/>
    <col min="1574" max="1574" width="18.28515625" bestFit="1" customWidth="1"/>
    <col min="1575" max="1575" width="22.42578125" bestFit="1" customWidth="1"/>
    <col min="1576" max="1576" width="26" bestFit="1" customWidth="1"/>
    <col min="1577" max="1577" width="18.28515625" bestFit="1" customWidth="1"/>
    <col min="1578" max="1578" width="22.42578125" bestFit="1" customWidth="1"/>
    <col min="1579" max="1579" width="26" bestFit="1" customWidth="1"/>
    <col min="1580" max="1580" width="18.28515625" bestFit="1" customWidth="1"/>
    <col min="1581" max="1581" width="22.42578125" bestFit="1" customWidth="1"/>
    <col min="1582" max="1582" width="26" bestFit="1" customWidth="1"/>
    <col min="1583" max="1583" width="18.28515625" bestFit="1" customWidth="1"/>
    <col min="1584" max="1584" width="22.42578125" bestFit="1" customWidth="1"/>
    <col min="1585" max="1585" width="26" bestFit="1" customWidth="1"/>
    <col min="1586" max="1586" width="18.28515625" bestFit="1" customWidth="1"/>
    <col min="1587" max="1587" width="22.42578125" bestFit="1" customWidth="1"/>
    <col min="1588" max="1588" width="26" bestFit="1" customWidth="1"/>
    <col min="1589" max="1589" width="18.28515625" bestFit="1" customWidth="1"/>
    <col min="1590" max="1590" width="22.42578125" bestFit="1" customWidth="1"/>
    <col min="1591" max="1591" width="26" bestFit="1" customWidth="1"/>
    <col min="1592" max="1592" width="18.28515625" bestFit="1" customWidth="1"/>
    <col min="1593" max="1593" width="22.42578125" bestFit="1" customWidth="1"/>
    <col min="1594" max="1594" width="26" bestFit="1" customWidth="1"/>
    <col min="1595" max="1595" width="18.28515625" bestFit="1" customWidth="1"/>
    <col min="1596" max="1596" width="22.42578125" bestFit="1" customWidth="1"/>
    <col min="1597" max="1597" width="26" bestFit="1" customWidth="1"/>
    <col min="1598" max="1598" width="18.28515625" bestFit="1" customWidth="1"/>
    <col min="1599" max="1599" width="22.42578125" bestFit="1" customWidth="1"/>
    <col min="1600" max="1600" width="26" bestFit="1" customWidth="1"/>
    <col min="1601" max="1601" width="18.28515625" bestFit="1" customWidth="1"/>
    <col min="1602" max="1602" width="22.42578125" bestFit="1" customWidth="1"/>
    <col min="1603" max="1603" width="26" bestFit="1" customWidth="1"/>
    <col min="1604" max="1604" width="18.28515625" bestFit="1" customWidth="1"/>
    <col min="1605" max="1605" width="22.42578125" bestFit="1" customWidth="1"/>
    <col min="1606" max="1606" width="26" bestFit="1" customWidth="1"/>
    <col min="1607" max="1607" width="18.28515625" bestFit="1" customWidth="1"/>
    <col min="1608" max="1608" width="22.42578125" bestFit="1" customWidth="1"/>
    <col min="1609" max="1609" width="26" bestFit="1" customWidth="1"/>
    <col min="1610" max="1610" width="18.28515625" bestFit="1" customWidth="1"/>
    <col min="1611" max="1611" width="22.42578125" bestFit="1" customWidth="1"/>
    <col min="1612" max="1612" width="26" bestFit="1" customWidth="1"/>
    <col min="1613" max="1613" width="18.28515625" bestFit="1" customWidth="1"/>
    <col min="1614" max="1614" width="22.42578125" bestFit="1" customWidth="1"/>
    <col min="1615" max="1615" width="26" bestFit="1" customWidth="1"/>
    <col min="1616" max="1616" width="18.28515625" bestFit="1" customWidth="1"/>
    <col min="1617" max="1617" width="22.42578125" bestFit="1" customWidth="1"/>
    <col min="1618" max="1618" width="26" bestFit="1" customWidth="1"/>
    <col min="1619" max="1619" width="18.28515625" bestFit="1" customWidth="1"/>
    <col min="1620" max="1620" width="22.42578125" bestFit="1" customWidth="1"/>
    <col min="1621" max="1621" width="26" bestFit="1" customWidth="1"/>
    <col min="1622" max="1622" width="18.28515625" bestFit="1" customWidth="1"/>
    <col min="1623" max="1623" width="22.42578125" bestFit="1" customWidth="1"/>
    <col min="1624" max="1624" width="26" bestFit="1" customWidth="1"/>
    <col min="1625" max="1625" width="18.28515625" bestFit="1" customWidth="1"/>
    <col min="1626" max="1626" width="22.42578125" bestFit="1" customWidth="1"/>
    <col min="1627" max="1627" width="26" bestFit="1" customWidth="1"/>
    <col min="1628" max="1628" width="18.28515625" bestFit="1" customWidth="1"/>
    <col min="1629" max="1629" width="22.42578125" bestFit="1" customWidth="1"/>
    <col min="1630" max="1630" width="26" bestFit="1" customWidth="1"/>
    <col min="1631" max="1631" width="18.28515625" bestFit="1" customWidth="1"/>
    <col min="1632" max="1632" width="22.42578125" bestFit="1" customWidth="1"/>
    <col min="1633" max="1633" width="26" bestFit="1" customWidth="1"/>
    <col min="1634" max="1634" width="18.28515625" bestFit="1" customWidth="1"/>
    <col min="1635" max="1635" width="22.42578125" bestFit="1" customWidth="1"/>
    <col min="1636" max="1636" width="26" bestFit="1" customWidth="1"/>
    <col min="1637" max="1637" width="18.28515625" bestFit="1" customWidth="1"/>
    <col min="1638" max="1638" width="22.42578125" bestFit="1" customWidth="1"/>
    <col min="1639" max="1639" width="26" bestFit="1" customWidth="1"/>
    <col min="1640" max="1640" width="18.28515625" bestFit="1" customWidth="1"/>
    <col min="1641" max="1641" width="22.42578125" bestFit="1" customWidth="1"/>
    <col min="1642" max="1642" width="26" bestFit="1" customWidth="1"/>
    <col min="1643" max="1643" width="18.28515625" bestFit="1" customWidth="1"/>
    <col min="1644" max="1644" width="22.42578125" bestFit="1" customWidth="1"/>
    <col min="1645" max="1645" width="26" bestFit="1" customWidth="1"/>
    <col min="1646" max="1646" width="18.28515625" bestFit="1" customWidth="1"/>
    <col min="1647" max="1647" width="22.42578125" bestFit="1" customWidth="1"/>
    <col min="1648" max="1648" width="26" bestFit="1" customWidth="1"/>
    <col min="1649" max="1649" width="18.28515625" bestFit="1" customWidth="1"/>
    <col min="1650" max="1650" width="22.42578125" bestFit="1" customWidth="1"/>
    <col min="1651" max="1651" width="26" bestFit="1" customWidth="1"/>
    <col min="1652" max="1652" width="18.28515625" bestFit="1" customWidth="1"/>
    <col min="1653" max="1653" width="22.42578125" bestFit="1" customWidth="1"/>
    <col min="1654" max="1654" width="26" bestFit="1" customWidth="1"/>
    <col min="1655" max="1655" width="18.28515625" bestFit="1" customWidth="1"/>
    <col min="1656" max="1656" width="22.42578125" bestFit="1" customWidth="1"/>
    <col min="1657" max="1657" width="26" bestFit="1" customWidth="1"/>
    <col min="1658" max="1658" width="18.28515625" bestFit="1" customWidth="1"/>
    <col min="1659" max="1659" width="22.42578125" bestFit="1" customWidth="1"/>
    <col min="1660" max="1660" width="26" bestFit="1" customWidth="1"/>
    <col min="1661" max="1661" width="18.28515625" bestFit="1" customWidth="1"/>
    <col min="1662" max="1662" width="22.42578125" bestFit="1" customWidth="1"/>
    <col min="1663" max="1663" width="26" bestFit="1" customWidth="1"/>
    <col min="1664" max="1664" width="18.28515625" bestFit="1" customWidth="1"/>
    <col min="1665" max="1665" width="22.42578125" bestFit="1" customWidth="1"/>
    <col min="1666" max="1666" width="26" bestFit="1" customWidth="1"/>
    <col min="1667" max="1667" width="18.28515625" bestFit="1" customWidth="1"/>
    <col min="1668" max="1668" width="22.42578125" bestFit="1" customWidth="1"/>
    <col min="1669" max="1669" width="26" bestFit="1" customWidth="1"/>
    <col min="1670" max="1670" width="18.28515625" bestFit="1" customWidth="1"/>
    <col min="1671" max="1671" width="22.42578125" bestFit="1" customWidth="1"/>
    <col min="1672" max="1672" width="26" bestFit="1" customWidth="1"/>
    <col min="1673" max="1673" width="18.28515625" bestFit="1" customWidth="1"/>
    <col min="1674" max="1674" width="22.42578125" bestFit="1" customWidth="1"/>
    <col min="1675" max="1675" width="26" bestFit="1" customWidth="1"/>
    <col min="1676" max="1676" width="18.28515625" bestFit="1" customWidth="1"/>
    <col min="1677" max="1677" width="22.42578125" bestFit="1" customWidth="1"/>
    <col min="1678" max="1678" width="26" bestFit="1" customWidth="1"/>
    <col min="1679" max="1679" width="18.28515625" bestFit="1" customWidth="1"/>
    <col min="1680" max="1680" width="22.42578125" bestFit="1" customWidth="1"/>
    <col min="1681" max="1681" width="26" bestFit="1" customWidth="1"/>
    <col min="1682" max="1682" width="18.28515625" bestFit="1" customWidth="1"/>
    <col min="1683" max="1683" width="22.42578125" bestFit="1" customWidth="1"/>
    <col min="1684" max="1684" width="26" bestFit="1" customWidth="1"/>
    <col min="1685" max="1685" width="18.28515625" bestFit="1" customWidth="1"/>
    <col min="1686" max="1686" width="22.42578125" bestFit="1" customWidth="1"/>
    <col min="1687" max="1687" width="26" bestFit="1" customWidth="1"/>
    <col min="1688" max="1688" width="18.28515625" bestFit="1" customWidth="1"/>
    <col min="1689" max="1689" width="22.42578125" bestFit="1" customWidth="1"/>
    <col min="1690" max="1690" width="26" bestFit="1" customWidth="1"/>
    <col min="1691" max="1691" width="18.28515625" bestFit="1" customWidth="1"/>
    <col min="1692" max="1692" width="22.42578125" bestFit="1" customWidth="1"/>
    <col min="1693" max="1693" width="26" bestFit="1" customWidth="1"/>
    <col min="1694" max="1694" width="18.28515625" bestFit="1" customWidth="1"/>
    <col min="1695" max="1695" width="22.42578125" bestFit="1" customWidth="1"/>
    <col min="1696" max="1696" width="26" bestFit="1" customWidth="1"/>
    <col min="1697" max="1697" width="18.28515625" bestFit="1" customWidth="1"/>
    <col min="1698" max="1698" width="22.42578125" bestFit="1" customWidth="1"/>
    <col min="1699" max="1699" width="26" bestFit="1" customWidth="1"/>
    <col min="1700" max="1700" width="18.28515625" bestFit="1" customWidth="1"/>
    <col min="1701" max="1701" width="22.42578125" bestFit="1" customWidth="1"/>
    <col min="1702" max="1702" width="26" bestFit="1" customWidth="1"/>
    <col min="1703" max="1703" width="18.28515625" bestFit="1" customWidth="1"/>
    <col min="1704" max="1704" width="22.42578125" bestFit="1" customWidth="1"/>
    <col min="1705" max="1705" width="26" bestFit="1" customWidth="1"/>
    <col min="1706" max="1706" width="18.28515625" bestFit="1" customWidth="1"/>
    <col min="1707" max="1707" width="22.42578125" bestFit="1" customWidth="1"/>
    <col min="1708" max="1708" width="26" bestFit="1" customWidth="1"/>
    <col min="1709" max="1709" width="18.28515625" bestFit="1" customWidth="1"/>
    <col min="1710" max="1710" width="22.42578125" bestFit="1" customWidth="1"/>
    <col min="1711" max="1711" width="26" bestFit="1" customWidth="1"/>
    <col min="1712" max="1712" width="18.28515625" bestFit="1" customWidth="1"/>
    <col min="1713" max="1713" width="22.42578125" bestFit="1" customWidth="1"/>
    <col min="1714" max="1714" width="26" bestFit="1" customWidth="1"/>
    <col min="1715" max="1715" width="18.28515625" bestFit="1" customWidth="1"/>
    <col min="1716" max="1716" width="22.42578125" bestFit="1" customWidth="1"/>
    <col min="1717" max="1717" width="26" bestFit="1" customWidth="1"/>
    <col min="1718" max="1718" width="18.28515625" bestFit="1" customWidth="1"/>
    <col min="1719" max="1719" width="22.42578125" bestFit="1" customWidth="1"/>
    <col min="1720" max="1720" width="26" bestFit="1" customWidth="1"/>
    <col min="1721" max="1721" width="18.28515625" bestFit="1" customWidth="1"/>
    <col min="1722" max="1722" width="22.42578125" bestFit="1" customWidth="1"/>
    <col min="1723" max="1723" width="26" bestFit="1" customWidth="1"/>
    <col min="1724" max="1724" width="18.28515625" bestFit="1" customWidth="1"/>
    <col min="1725" max="1725" width="22.42578125" bestFit="1" customWidth="1"/>
    <col min="1726" max="1726" width="26" bestFit="1" customWidth="1"/>
    <col min="1727" max="1727" width="18.28515625" bestFit="1" customWidth="1"/>
    <col min="1728" max="1728" width="22.42578125" bestFit="1" customWidth="1"/>
    <col min="1729" max="1729" width="26" bestFit="1" customWidth="1"/>
    <col min="1730" max="1730" width="18.28515625" bestFit="1" customWidth="1"/>
    <col min="1731" max="1731" width="22.42578125" bestFit="1" customWidth="1"/>
    <col min="1732" max="1732" width="26" bestFit="1" customWidth="1"/>
    <col min="1733" max="1733" width="18.28515625" bestFit="1" customWidth="1"/>
    <col min="1734" max="1734" width="22.42578125" bestFit="1" customWidth="1"/>
    <col min="1735" max="1735" width="26" bestFit="1" customWidth="1"/>
    <col min="1736" max="1736" width="18.28515625" bestFit="1" customWidth="1"/>
    <col min="1737" max="1737" width="22.42578125" bestFit="1" customWidth="1"/>
    <col min="1738" max="1738" width="26" bestFit="1" customWidth="1"/>
    <col min="1739" max="1739" width="18.28515625" bestFit="1" customWidth="1"/>
    <col min="1740" max="1740" width="22.42578125" bestFit="1" customWidth="1"/>
    <col min="1741" max="1741" width="26" bestFit="1" customWidth="1"/>
    <col min="1742" max="1742" width="18.28515625" bestFit="1" customWidth="1"/>
    <col min="1743" max="1743" width="22.42578125" bestFit="1" customWidth="1"/>
    <col min="1744" max="1744" width="26" bestFit="1" customWidth="1"/>
    <col min="1745" max="1745" width="18.28515625" bestFit="1" customWidth="1"/>
    <col min="1746" max="1746" width="22.42578125" bestFit="1" customWidth="1"/>
    <col min="1747" max="1747" width="26" bestFit="1" customWidth="1"/>
    <col min="1748" max="1748" width="18.28515625" bestFit="1" customWidth="1"/>
    <col min="1749" max="1749" width="22.42578125" bestFit="1" customWidth="1"/>
    <col min="1750" max="1750" width="26" bestFit="1" customWidth="1"/>
    <col min="1751" max="1751" width="18.28515625" bestFit="1" customWidth="1"/>
    <col min="1752" max="1752" width="22.42578125" bestFit="1" customWidth="1"/>
    <col min="1753" max="1753" width="26" bestFit="1" customWidth="1"/>
    <col min="1754" max="1754" width="18.28515625" bestFit="1" customWidth="1"/>
    <col min="1755" max="1755" width="22.42578125" bestFit="1" customWidth="1"/>
    <col min="1756" max="1756" width="26" bestFit="1" customWidth="1"/>
    <col min="1757" max="1757" width="18.28515625" bestFit="1" customWidth="1"/>
    <col min="1758" max="1758" width="22.42578125" bestFit="1" customWidth="1"/>
    <col min="1759" max="1759" width="26" bestFit="1" customWidth="1"/>
    <col min="1760" max="1760" width="18.28515625" bestFit="1" customWidth="1"/>
    <col min="1761" max="1761" width="22.42578125" bestFit="1" customWidth="1"/>
    <col min="1762" max="1762" width="26" bestFit="1" customWidth="1"/>
    <col min="1763" max="1763" width="18.28515625" bestFit="1" customWidth="1"/>
    <col min="1764" max="1764" width="22.42578125" bestFit="1" customWidth="1"/>
    <col min="1765" max="1765" width="26" bestFit="1" customWidth="1"/>
    <col min="1766" max="1766" width="18.28515625" bestFit="1" customWidth="1"/>
    <col min="1767" max="1767" width="22.42578125" bestFit="1" customWidth="1"/>
    <col min="1768" max="1768" width="26" bestFit="1" customWidth="1"/>
    <col min="1769" max="1769" width="18.28515625" bestFit="1" customWidth="1"/>
    <col min="1770" max="1770" width="22.42578125" bestFit="1" customWidth="1"/>
    <col min="1771" max="1771" width="26" bestFit="1" customWidth="1"/>
    <col min="1772" max="1772" width="18.28515625" bestFit="1" customWidth="1"/>
    <col min="1773" max="1773" width="22.42578125" bestFit="1" customWidth="1"/>
    <col min="1774" max="1774" width="26" bestFit="1" customWidth="1"/>
    <col min="1775" max="1775" width="18.28515625" bestFit="1" customWidth="1"/>
    <col min="1776" max="1776" width="22.42578125" bestFit="1" customWidth="1"/>
    <col min="1777" max="1777" width="26" bestFit="1" customWidth="1"/>
    <col min="1778" max="1778" width="18.28515625" bestFit="1" customWidth="1"/>
    <col min="1779" max="1779" width="22.42578125" bestFit="1" customWidth="1"/>
    <col min="1780" max="1780" width="26" bestFit="1" customWidth="1"/>
    <col min="1781" max="1781" width="18.28515625" bestFit="1" customWidth="1"/>
    <col min="1782" max="1782" width="22.42578125" bestFit="1" customWidth="1"/>
    <col min="1783" max="1783" width="26" bestFit="1" customWidth="1"/>
    <col min="1784" max="1784" width="18.28515625" bestFit="1" customWidth="1"/>
    <col min="1785" max="1785" width="22.42578125" bestFit="1" customWidth="1"/>
    <col min="1786" max="1786" width="26" bestFit="1" customWidth="1"/>
    <col min="1787" max="1787" width="18.28515625" bestFit="1" customWidth="1"/>
    <col min="1788" max="1788" width="22.42578125" bestFit="1" customWidth="1"/>
    <col min="1789" max="1789" width="26" bestFit="1" customWidth="1"/>
    <col min="1790" max="1790" width="18.28515625" bestFit="1" customWidth="1"/>
    <col min="1791" max="1791" width="22.42578125" bestFit="1" customWidth="1"/>
    <col min="1792" max="1792" width="26" bestFit="1" customWidth="1"/>
    <col min="1793" max="1793" width="18.28515625" bestFit="1" customWidth="1"/>
    <col min="1794" max="1794" width="22.42578125" bestFit="1" customWidth="1"/>
    <col min="1795" max="1795" width="26" bestFit="1" customWidth="1"/>
    <col min="1796" max="1796" width="18.28515625" bestFit="1" customWidth="1"/>
    <col min="1797" max="1797" width="22.42578125" bestFit="1" customWidth="1"/>
    <col min="1798" max="1798" width="26" bestFit="1" customWidth="1"/>
    <col min="1799" max="1799" width="18.28515625" bestFit="1" customWidth="1"/>
    <col min="1800" max="1800" width="22.42578125" bestFit="1" customWidth="1"/>
    <col min="1801" max="1801" width="26" bestFit="1" customWidth="1"/>
    <col min="1802" max="1802" width="18.28515625" bestFit="1" customWidth="1"/>
    <col min="1803" max="1803" width="22.42578125" bestFit="1" customWidth="1"/>
    <col min="1804" max="1804" width="26" bestFit="1" customWidth="1"/>
    <col min="1805" max="1805" width="18.28515625" bestFit="1" customWidth="1"/>
    <col min="1806" max="1806" width="22.42578125" bestFit="1" customWidth="1"/>
    <col min="1807" max="1807" width="26" bestFit="1" customWidth="1"/>
    <col min="1808" max="1808" width="18.28515625" bestFit="1" customWidth="1"/>
    <col min="1809" max="1809" width="22.42578125" bestFit="1" customWidth="1"/>
    <col min="1810" max="1810" width="26" bestFit="1" customWidth="1"/>
    <col min="1811" max="1811" width="18.28515625" bestFit="1" customWidth="1"/>
    <col min="1812" max="1812" width="22.42578125" bestFit="1" customWidth="1"/>
    <col min="1813" max="1813" width="26" bestFit="1" customWidth="1"/>
    <col min="1814" max="1814" width="18.28515625" bestFit="1" customWidth="1"/>
    <col min="1815" max="1815" width="22.42578125" bestFit="1" customWidth="1"/>
    <col min="1816" max="1816" width="26" bestFit="1" customWidth="1"/>
    <col min="1817" max="1817" width="18.28515625" bestFit="1" customWidth="1"/>
    <col min="1818" max="1818" width="22.42578125" bestFit="1" customWidth="1"/>
    <col min="1819" max="1819" width="26" bestFit="1" customWidth="1"/>
    <col min="1820" max="1820" width="18.28515625" bestFit="1" customWidth="1"/>
    <col min="1821" max="1821" width="22.42578125" bestFit="1" customWidth="1"/>
    <col min="1822" max="1822" width="26" bestFit="1" customWidth="1"/>
    <col min="1823" max="1823" width="18.28515625" bestFit="1" customWidth="1"/>
    <col min="1824" max="1824" width="22.42578125" bestFit="1" customWidth="1"/>
    <col min="1825" max="1825" width="26" bestFit="1" customWidth="1"/>
    <col min="1826" max="1826" width="18.28515625" bestFit="1" customWidth="1"/>
    <col min="1827" max="1827" width="22.42578125" bestFit="1" customWidth="1"/>
    <col min="1828" max="1828" width="26" bestFit="1" customWidth="1"/>
    <col min="1829" max="1829" width="18.28515625" bestFit="1" customWidth="1"/>
    <col min="1830" max="1830" width="22.42578125" bestFit="1" customWidth="1"/>
    <col min="1831" max="1831" width="26" bestFit="1" customWidth="1"/>
    <col min="1832" max="1832" width="18.28515625" bestFit="1" customWidth="1"/>
    <col min="1833" max="1833" width="22.42578125" bestFit="1" customWidth="1"/>
    <col min="1834" max="1834" width="26" bestFit="1" customWidth="1"/>
    <col min="1835" max="1835" width="18.28515625" bestFit="1" customWidth="1"/>
    <col min="1836" max="1836" width="22.42578125" bestFit="1" customWidth="1"/>
    <col min="1837" max="1837" width="26" bestFit="1" customWidth="1"/>
    <col min="1838" max="1838" width="18.28515625" bestFit="1" customWidth="1"/>
    <col min="1839" max="1839" width="22.42578125" bestFit="1" customWidth="1"/>
    <col min="1840" max="1840" width="26" bestFit="1" customWidth="1"/>
    <col min="1841" max="1841" width="18.28515625" bestFit="1" customWidth="1"/>
    <col min="1842" max="1842" width="22.42578125" bestFit="1" customWidth="1"/>
    <col min="1843" max="1843" width="26" bestFit="1" customWidth="1"/>
    <col min="1844" max="1844" width="18.28515625" bestFit="1" customWidth="1"/>
    <col min="1845" max="1845" width="22.42578125" bestFit="1" customWidth="1"/>
    <col min="1846" max="1846" width="26" bestFit="1" customWidth="1"/>
    <col min="1847" max="1847" width="18.28515625" bestFit="1" customWidth="1"/>
    <col min="1848" max="1848" width="22.42578125" bestFit="1" customWidth="1"/>
    <col min="1849" max="1849" width="26" bestFit="1" customWidth="1"/>
    <col min="1850" max="1850" width="18.28515625" bestFit="1" customWidth="1"/>
    <col min="1851" max="1851" width="22.42578125" bestFit="1" customWidth="1"/>
    <col min="1852" max="1852" width="26" bestFit="1" customWidth="1"/>
    <col min="1853" max="1853" width="18.28515625" bestFit="1" customWidth="1"/>
    <col min="1854" max="1854" width="22.42578125" bestFit="1" customWidth="1"/>
    <col min="1855" max="1855" width="26" bestFit="1" customWidth="1"/>
    <col min="1856" max="1856" width="18.28515625" bestFit="1" customWidth="1"/>
    <col min="1857" max="1857" width="22.42578125" bestFit="1" customWidth="1"/>
    <col min="1858" max="1858" width="26" bestFit="1" customWidth="1"/>
    <col min="1859" max="1859" width="18.28515625" bestFit="1" customWidth="1"/>
    <col min="1860" max="1860" width="22.42578125" bestFit="1" customWidth="1"/>
    <col min="1861" max="1861" width="26" bestFit="1" customWidth="1"/>
    <col min="1862" max="1862" width="18.28515625" bestFit="1" customWidth="1"/>
    <col min="1863" max="1863" width="22.42578125" bestFit="1" customWidth="1"/>
    <col min="1864" max="1864" width="26" bestFit="1" customWidth="1"/>
    <col min="1865" max="1865" width="18.28515625" bestFit="1" customWidth="1"/>
    <col min="1866" max="1866" width="22.42578125" bestFit="1" customWidth="1"/>
    <col min="1867" max="1867" width="26" bestFit="1" customWidth="1"/>
    <col min="1868" max="1868" width="18.28515625" bestFit="1" customWidth="1"/>
    <col min="1869" max="1869" width="22.42578125" bestFit="1" customWidth="1"/>
    <col min="1870" max="1870" width="26" bestFit="1" customWidth="1"/>
    <col min="1871" max="1871" width="18.28515625" bestFit="1" customWidth="1"/>
    <col min="1872" max="1872" width="22.42578125" bestFit="1" customWidth="1"/>
    <col min="1873" max="1873" width="26" bestFit="1" customWidth="1"/>
    <col min="1874" max="1874" width="18.28515625" bestFit="1" customWidth="1"/>
    <col min="1875" max="1875" width="22.42578125" bestFit="1" customWidth="1"/>
    <col min="1876" max="1876" width="26" bestFit="1" customWidth="1"/>
    <col min="1877" max="1877" width="18.28515625" bestFit="1" customWidth="1"/>
    <col min="1878" max="1878" width="22.42578125" bestFit="1" customWidth="1"/>
    <col min="1879" max="1879" width="26" bestFit="1" customWidth="1"/>
    <col min="1880" max="1880" width="18.28515625" bestFit="1" customWidth="1"/>
    <col min="1881" max="1881" width="22.42578125" bestFit="1" customWidth="1"/>
    <col min="1882" max="1882" width="26" bestFit="1" customWidth="1"/>
    <col min="1883" max="1883" width="18.28515625" bestFit="1" customWidth="1"/>
    <col min="1884" max="1884" width="22.42578125" bestFit="1" customWidth="1"/>
    <col min="1885" max="1885" width="26" bestFit="1" customWidth="1"/>
    <col min="1886" max="1886" width="18.28515625" bestFit="1" customWidth="1"/>
    <col min="1887" max="1887" width="22.42578125" bestFit="1" customWidth="1"/>
    <col min="1888" max="1888" width="26" bestFit="1" customWidth="1"/>
    <col min="1889" max="1889" width="18.28515625" bestFit="1" customWidth="1"/>
    <col min="1890" max="1890" width="22.42578125" bestFit="1" customWidth="1"/>
    <col min="1891" max="1891" width="26" bestFit="1" customWidth="1"/>
    <col min="1892" max="1892" width="18.28515625" bestFit="1" customWidth="1"/>
    <col min="1893" max="1893" width="22.42578125" bestFit="1" customWidth="1"/>
    <col min="1894" max="1894" width="26" bestFit="1" customWidth="1"/>
    <col min="1895" max="1895" width="18.28515625" bestFit="1" customWidth="1"/>
    <col min="1896" max="1896" width="22.42578125" bestFit="1" customWidth="1"/>
    <col min="1897" max="1897" width="26" bestFit="1" customWidth="1"/>
    <col min="1898" max="1898" width="18.28515625" bestFit="1" customWidth="1"/>
    <col min="1899" max="1899" width="22.42578125" bestFit="1" customWidth="1"/>
    <col min="1900" max="1900" width="26" bestFit="1" customWidth="1"/>
    <col min="1901" max="1901" width="18.28515625" bestFit="1" customWidth="1"/>
    <col min="1902" max="1902" width="22.42578125" bestFit="1" customWidth="1"/>
    <col min="1903" max="1903" width="26" bestFit="1" customWidth="1"/>
    <col min="1904" max="1904" width="18.28515625" bestFit="1" customWidth="1"/>
    <col min="1905" max="1905" width="22.42578125" bestFit="1" customWidth="1"/>
    <col min="1906" max="1906" width="26" bestFit="1" customWidth="1"/>
    <col min="1907" max="1907" width="18.28515625" bestFit="1" customWidth="1"/>
    <col min="1908" max="1908" width="22.42578125" bestFit="1" customWidth="1"/>
    <col min="1909" max="1909" width="26" bestFit="1" customWidth="1"/>
    <col min="1910" max="1910" width="18.28515625" bestFit="1" customWidth="1"/>
    <col min="1911" max="1911" width="22.42578125" bestFit="1" customWidth="1"/>
    <col min="1912" max="1912" width="26" bestFit="1" customWidth="1"/>
    <col min="1913" max="1913" width="18.28515625" bestFit="1" customWidth="1"/>
    <col min="1914" max="1914" width="22.42578125" bestFit="1" customWidth="1"/>
    <col min="1915" max="1915" width="26" bestFit="1" customWidth="1"/>
    <col min="1916" max="1916" width="18.28515625" bestFit="1" customWidth="1"/>
    <col min="1917" max="1917" width="22.42578125" bestFit="1" customWidth="1"/>
    <col min="1918" max="1918" width="26" bestFit="1" customWidth="1"/>
    <col min="1919" max="1919" width="18.28515625" bestFit="1" customWidth="1"/>
    <col min="1920" max="1920" width="22.42578125" bestFit="1" customWidth="1"/>
    <col min="1921" max="1921" width="26" bestFit="1" customWidth="1"/>
    <col min="1922" max="1922" width="18.28515625" bestFit="1" customWidth="1"/>
    <col min="1923" max="1923" width="22.42578125" bestFit="1" customWidth="1"/>
    <col min="1924" max="1924" width="26" bestFit="1" customWidth="1"/>
    <col min="1925" max="1925" width="18.28515625" bestFit="1" customWidth="1"/>
    <col min="1926" max="1926" width="22.42578125" bestFit="1" customWidth="1"/>
    <col min="1927" max="1927" width="26" bestFit="1" customWidth="1"/>
    <col min="1928" max="1928" width="18.28515625" bestFit="1" customWidth="1"/>
    <col min="1929" max="1929" width="22.42578125" bestFit="1" customWidth="1"/>
    <col min="1930" max="1930" width="26" bestFit="1" customWidth="1"/>
    <col min="1931" max="1931" width="18.28515625" bestFit="1" customWidth="1"/>
    <col min="1932" max="1932" width="22.42578125" bestFit="1" customWidth="1"/>
    <col min="1933" max="1933" width="26" bestFit="1" customWidth="1"/>
    <col min="1934" max="1934" width="18.28515625" bestFit="1" customWidth="1"/>
    <col min="1935" max="1935" width="22.42578125" bestFit="1" customWidth="1"/>
    <col min="1936" max="1936" width="26" bestFit="1" customWidth="1"/>
    <col min="1937" max="1937" width="18.28515625" bestFit="1" customWidth="1"/>
    <col min="1938" max="1938" width="22.42578125" bestFit="1" customWidth="1"/>
    <col min="1939" max="1939" width="26" bestFit="1" customWidth="1"/>
    <col min="1940" max="1940" width="18.28515625" bestFit="1" customWidth="1"/>
    <col min="1941" max="1941" width="22.42578125" bestFit="1" customWidth="1"/>
    <col min="1942" max="1942" width="26" bestFit="1" customWidth="1"/>
    <col min="1943" max="1943" width="18.28515625" bestFit="1" customWidth="1"/>
    <col min="1944" max="1944" width="22.42578125" bestFit="1" customWidth="1"/>
    <col min="1945" max="1945" width="26" bestFit="1" customWidth="1"/>
    <col min="1946" max="1946" width="18.28515625" bestFit="1" customWidth="1"/>
    <col min="1947" max="1947" width="22.42578125" bestFit="1" customWidth="1"/>
    <col min="1948" max="1948" width="26" bestFit="1" customWidth="1"/>
    <col min="1949" max="1949" width="18.28515625" bestFit="1" customWidth="1"/>
    <col min="1950" max="1950" width="22.42578125" bestFit="1" customWidth="1"/>
    <col min="1951" max="1951" width="26" bestFit="1" customWidth="1"/>
    <col min="1952" max="1952" width="18.28515625" bestFit="1" customWidth="1"/>
    <col min="1953" max="1953" width="22.42578125" bestFit="1" customWidth="1"/>
    <col min="1954" max="1954" width="26" bestFit="1" customWidth="1"/>
    <col min="1955" max="1955" width="18.28515625" bestFit="1" customWidth="1"/>
    <col min="1956" max="1956" width="22.42578125" bestFit="1" customWidth="1"/>
    <col min="1957" max="1957" width="26" bestFit="1" customWidth="1"/>
    <col min="1958" max="1958" width="18.28515625" bestFit="1" customWidth="1"/>
    <col min="1959" max="1959" width="22.42578125" bestFit="1" customWidth="1"/>
    <col min="1960" max="1960" width="26" bestFit="1" customWidth="1"/>
    <col min="1961" max="1961" width="18.28515625" bestFit="1" customWidth="1"/>
    <col min="1962" max="1962" width="22.42578125" bestFit="1" customWidth="1"/>
    <col min="1963" max="1963" width="26" bestFit="1" customWidth="1"/>
    <col min="1964" max="1964" width="18.28515625" bestFit="1" customWidth="1"/>
    <col min="1965" max="1965" width="22.42578125" bestFit="1" customWidth="1"/>
    <col min="1966" max="1966" width="26" bestFit="1" customWidth="1"/>
    <col min="1967" max="1967" width="18.28515625" bestFit="1" customWidth="1"/>
    <col min="1968" max="1968" width="22.42578125" bestFit="1" customWidth="1"/>
    <col min="1969" max="1969" width="26" bestFit="1" customWidth="1"/>
    <col min="1970" max="1970" width="18.28515625" bestFit="1" customWidth="1"/>
    <col min="1971" max="1971" width="22.42578125" bestFit="1" customWidth="1"/>
    <col min="1972" max="1972" width="26" bestFit="1" customWidth="1"/>
    <col min="1973" max="1973" width="18.28515625" bestFit="1" customWidth="1"/>
    <col min="1974" max="1974" width="22.42578125" bestFit="1" customWidth="1"/>
    <col min="1975" max="1975" width="26" bestFit="1" customWidth="1"/>
    <col min="1976" max="1976" width="18.28515625" bestFit="1" customWidth="1"/>
    <col min="1977" max="1977" width="22.42578125" bestFit="1" customWidth="1"/>
    <col min="1978" max="1978" width="26" bestFit="1" customWidth="1"/>
    <col min="1979" max="1979" width="18.28515625" bestFit="1" customWidth="1"/>
    <col min="1980" max="1980" width="22.42578125" bestFit="1" customWidth="1"/>
    <col min="1981" max="1981" width="26" bestFit="1" customWidth="1"/>
    <col min="1982" max="1982" width="18.28515625" bestFit="1" customWidth="1"/>
    <col min="1983" max="1983" width="22.42578125" bestFit="1" customWidth="1"/>
    <col min="1984" max="1984" width="26" bestFit="1" customWidth="1"/>
    <col min="1985" max="1985" width="18.28515625" bestFit="1" customWidth="1"/>
    <col min="1986" max="1986" width="22.42578125" bestFit="1" customWidth="1"/>
    <col min="1987" max="1987" width="26" bestFit="1" customWidth="1"/>
    <col min="1988" max="1988" width="18.28515625" bestFit="1" customWidth="1"/>
    <col min="1989" max="1989" width="22.42578125" bestFit="1" customWidth="1"/>
    <col min="1990" max="1990" width="26" bestFit="1" customWidth="1"/>
    <col min="1991" max="1991" width="18.28515625" bestFit="1" customWidth="1"/>
    <col min="1992" max="1992" width="22.42578125" bestFit="1" customWidth="1"/>
    <col min="1993" max="1993" width="26" bestFit="1" customWidth="1"/>
    <col min="1994" max="1994" width="18.28515625" bestFit="1" customWidth="1"/>
    <col min="1995" max="1995" width="22.42578125" bestFit="1" customWidth="1"/>
    <col min="1996" max="1996" width="26" bestFit="1" customWidth="1"/>
    <col min="1997" max="1997" width="18.28515625" bestFit="1" customWidth="1"/>
    <col min="1998" max="1998" width="22.42578125" bestFit="1" customWidth="1"/>
    <col min="1999" max="1999" width="26" bestFit="1" customWidth="1"/>
    <col min="2000" max="2000" width="18.28515625" bestFit="1" customWidth="1"/>
    <col min="2001" max="2001" width="22.42578125" bestFit="1" customWidth="1"/>
    <col min="2002" max="2002" width="26" bestFit="1" customWidth="1"/>
    <col min="2003" max="2003" width="18.28515625" bestFit="1" customWidth="1"/>
    <col min="2004" max="2004" width="22.42578125" bestFit="1" customWidth="1"/>
    <col min="2005" max="2005" width="26" bestFit="1" customWidth="1"/>
    <col min="2006" max="2006" width="18.28515625" bestFit="1" customWidth="1"/>
    <col min="2007" max="2007" width="22.42578125" bestFit="1" customWidth="1"/>
    <col min="2008" max="2008" width="26" bestFit="1" customWidth="1"/>
    <col min="2009" max="2009" width="18.28515625" bestFit="1" customWidth="1"/>
    <col min="2010" max="2010" width="22.42578125" bestFit="1" customWidth="1"/>
    <col min="2011" max="2011" width="26" bestFit="1" customWidth="1"/>
    <col min="2012" max="2012" width="18.28515625" bestFit="1" customWidth="1"/>
    <col min="2013" max="2013" width="22.42578125" bestFit="1" customWidth="1"/>
    <col min="2014" max="2014" width="26" bestFit="1" customWidth="1"/>
    <col min="2015" max="2015" width="18.28515625" bestFit="1" customWidth="1"/>
    <col min="2016" max="2016" width="22.42578125" bestFit="1" customWidth="1"/>
    <col min="2017" max="2017" width="26" bestFit="1" customWidth="1"/>
    <col min="2018" max="2018" width="18.28515625" bestFit="1" customWidth="1"/>
    <col min="2019" max="2019" width="22.42578125" bestFit="1" customWidth="1"/>
    <col min="2020" max="2020" width="26" bestFit="1" customWidth="1"/>
    <col min="2021" max="2021" width="18.28515625" bestFit="1" customWidth="1"/>
    <col min="2022" max="2022" width="22.42578125" bestFit="1" customWidth="1"/>
    <col min="2023" max="2023" width="26" bestFit="1" customWidth="1"/>
    <col min="2024" max="2024" width="18.28515625" bestFit="1" customWidth="1"/>
    <col min="2025" max="2025" width="22.42578125" bestFit="1" customWidth="1"/>
    <col min="2026" max="2026" width="26" bestFit="1" customWidth="1"/>
    <col min="2027" max="2027" width="18.28515625" bestFit="1" customWidth="1"/>
    <col min="2028" max="2028" width="22.42578125" bestFit="1" customWidth="1"/>
    <col min="2029" max="2029" width="26" bestFit="1" customWidth="1"/>
    <col min="2030" max="2030" width="18.28515625" bestFit="1" customWidth="1"/>
    <col min="2031" max="2031" width="22.42578125" bestFit="1" customWidth="1"/>
    <col min="2032" max="2032" width="26" bestFit="1" customWidth="1"/>
    <col min="2033" max="2033" width="18.28515625" bestFit="1" customWidth="1"/>
    <col min="2034" max="2034" width="22.42578125" bestFit="1" customWidth="1"/>
    <col min="2035" max="2035" width="26" bestFit="1" customWidth="1"/>
    <col min="2036" max="2036" width="18.28515625" bestFit="1" customWidth="1"/>
    <col min="2037" max="2037" width="22.42578125" bestFit="1" customWidth="1"/>
    <col min="2038" max="2038" width="26" bestFit="1" customWidth="1"/>
    <col min="2039" max="2039" width="18.28515625" bestFit="1" customWidth="1"/>
    <col min="2040" max="2040" width="22.42578125" bestFit="1" customWidth="1"/>
    <col min="2041" max="2041" width="26" bestFit="1" customWidth="1"/>
    <col min="2042" max="2042" width="18.28515625" bestFit="1" customWidth="1"/>
    <col min="2043" max="2043" width="22.42578125" bestFit="1" customWidth="1"/>
    <col min="2044" max="2044" width="26" bestFit="1" customWidth="1"/>
    <col min="2045" max="2045" width="18.28515625" bestFit="1" customWidth="1"/>
    <col min="2046" max="2046" width="22.42578125" bestFit="1" customWidth="1"/>
    <col min="2047" max="2047" width="26" bestFit="1" customWidth="1"/>
    <col min="2048" max="2048" width="18.28515625" bestFit="1" customWidth="1"/>
    <col min="2049" max="2049" width="22.42578125" bestFit="1" customWidth="1"/>
    <col min="2050" max="2050" width="26" bestFit="1" customWidth="1"/>
    <col min="2051" max="2051" width="18.28515625" bestFit="1" customWidth="1"/>
    <col min="2052" max="2052" width="22.42578125" bestFit="1" customWidth="1"/>
    <col min="2053" max="2053" width="26" bestFit="1" customWidth="1"/>
    <col min="2054" max="2054" width="18.28515625" bestFit="1" customWidth="1"/>
    <col min="2055" max="2055" width="22.42578125" bestFit="1" customWidth="1"/>
    <col min="2056" max="2056" width="26" bestFit="1" customWidth="1"/>
    <col min="2057" max="2057" width="18.28515625" bestFit="1" customWidth="1"/>
    <col min="2058" max="2058" width="22.42578125" bestFit="1" customWidth="1"/>
    <col min="2059" max="2059" width="26" bestFit="1" customWidth="1"/>
    <col min="2060" max="2060" width="18.28515625" bestFit="1" customWidth="1"/>
    <col min="2061" max="2061" width="22.42578125" bestFit="1" customWidth="1"/>
    <col min="2062" max="2062" width="26" bestFit="1" customWidth="1"/>
    <col min="2063" max="2063" width="18.28515625" bestFit="1" customWidth="1"/>
    <col min="2064" max="2064" width="22.42578125" bestFit="1" customWidth="1"/>
    <col min="2065" max="2065" width="26" bestFit="1" customWidth="1"/>
    <col min="2066" max="2066" width="18.28515625" bestFit="1" customWidth="1"/>
    <col min="2067" max="2067" width="22.42578125" bestFit="1" customWidth="1"/>
    <col min="2068" max="2068" width="26" bestFit="1" customWidth="1"/>
    <col min="2069" max="2069" width="18.28515625" bestFit="1" customWidth="1"/>
    <col min="2070" max="2070" width="22.42578125" bestFit="1" customWidth="1"/>
    <col min="2071" max="2071" width="26" bestFit="1" customWidth="1"/>
    <col min="2072" max="2072" width="18.28515625" bestFit="1" customWidth="1"/>
    <col min="2073" max="2073" width="22.42578125" bestFit="1" customWidth="1"/>
    <col min="2074" max="2074" width="26" bestFit="1" customWidth="1"/>
    <col min="2075" max="2075" width="18.28515625" bestFit="1" customWidth="1"/>
    <col min="2076" max="2076" width="22.42578125" bestFit="1" customWidth="1"/>
    <col min="2077" max="2077" width="26" bestFit="1" customWidth="1"/>
    <col min="2078" max="2078" width="18.28515625" bestFit="1" customWidth="1"/>
    <col min="2079" max="2079" width="22.42578125" bestFit="1" customWidth="1"/>
    <col min="2080" max="2080" width="26" bestFit="1" customWidth="1"/>
    <col min="2081" max="2081" width="18.28515625" bestFit="1" customWidth="1"/>
    <col min="2082" max="2082" width="22.42578125" bestFit="1" customWidth="1"/>
    <col min="2083" max="2083" width="26" bestFit="1" customWidth="1"/>
    <col min="2084" max="2084" width="18.28515625" bestFit="1" customWidth="1"/>
    <col min="2085" max="2085" width="22.42578125" bestFit="1" customWidth="1"/>
    <col min="2086" max="2086" width="26" bestFit="1" customWidth="1"/>
    <col min="2087" max="2087" width="18.28515625" bestFit="1" customWidth="1"/>
    <col min="2088" max="2088" width="22.42578125" bestFit="1" customWidth="1"/>
    <col min="2089" max="2089" width="26" bestFit="1" customWidth="1"/>
    <col min="2090" max="2090" width="18.28515625" bestFit="1" customWidth="1"/>
    <col min="2091" max="2091" width="22.42578125" bestFit="1" customWidth="1"/>
    <col min="2092" max="2092" width="26" bestFit="1" customWidth="1"/>
    <col min="2093" max="2093" width="18.28515625" bestFit="1" customWidth="1"/>
    <col min="2094" max="2094" width="22.42578125" bestFit="1" customWidth="1"/>
    <col min="2095" max="2095" width="26" bestFit="1" customWidth="1"/>
    <col min="2096" max="2096" width="18.28515625" bestFit="1" customWidth="1"/>
    <col min="2097" max="2097" width="22.42578125" bestFit="1" customWidth="1"/>
    <col min="2098" max="2098" width="26" bestFit="1" customWidth="1"/>
    <col min="2099" max="2099" width="18.28515625" bestFit="1" customWidth="1"/>
    <col min="2100" max="2100" width="22.42578125" bestFit="1" customWidth="1"/>
    <col min="2101" max="2101" width="26" bestFit="1" customWidth="1"/>
    <col min="2102" max="2102" width="18.28515625" bestFit="1" customWidth="1"/>
    <col min="2103" max="2103" width="22.42578125" bestFit="1" customWidth="1"/>
    <col min="2104" max="2104" width="26" bestFit="1" customWidth="1"/>
    <col min="2105" max="2105" width="18.28515625" bestFit="1" customWidth="1"/>
    <col min="2106" max="2106" width="22.42578125" bestFit="1" customWidth="1"/>
    <col min="2107" max="2107" width="26" bestFit="1" customWidth="1"/>
    <col min="2108" max="2108" width="18.28515625" bestFit="1" customWidth="1"/>
    <col min="2109" max="2109" width="22.42578125" bestFit="1" customWidth="1"/>
    <col min="2110" max="2110" width="26" bestFit="1" customWidth="1"/>
    <col min="2111" max="2111" width="18.28515625" bestFit="1" customWidth="1"/>
    <col min="2112" max="2112" width="22.42578125" bestFit="1" customWidth="1"/>
    <col min="2113" max="2113" width="26" bestFit="1" customWidth="1"/>
    <col min="2114" max="2114" width="18.28515625" bestFit="1" customWidth="1"/>
    <col min="2115" max="2115" width="22.42578125" bestFit="1" customWidth="1"/>
    <col min="2116" max="2116" width="26" bestFit="1" customWidth="1"/>
    <col min="2117" max="2117" width="18.28515625" bestFit="1" customWidth="1"/>
    <col min="2118" max="2118" width="22.42578125" bestFit="1" customWidth="1"/>
    <col min="2119" max="2119" width="26" bestFit="1" customWidth="1"/>
    <col min="2120" max="2120" width="18.28515625" bestFit="1" customWidth="1"/>
    <col min="2121" max="2121" width="22.42578125" bestFit="1" customWidth="1"/>
    <col min="2122" max="2122" width="26" bestFit="1" customWidth="1"/>
    <col min="2123" max="2123" width="18.28515625" bestFit="1" customWidth="1"/>
    <col min="2124" max="2124" width="22.42578125" bestFit="1" customWidth="1"/>
    <col min="2125" max="2125" width="26" bestFit="1" customWidth="1"/>
    <col min="2126" max="2126" width="18.28515625" bestFit="1" customWidth="1"/>
    <col min="2127" max="2127" width="22.42578125" bestFit="1" customWidth="1"/>
    <col min="2128" max="2128" width="26" bestFit="1" customWidth="1"/>
    <col min="2129" max="2129" width="18.28515625" bestFit="1" customWidth="1"/>
    <col min="2130" max="2130" width="22.42578125" bestFit="1" customWidth="1"/>
    <col min="2131" max="2131" width="26" bestFit="1" customWidth="1"/>
    <col min="2132" max="2132" width="18.28515625" bestFit="1" customWidth="1"/>
    <col min="2133" max="2133" width="22.42578125" bestFit="1" customWidth="1"/>
    <col min="2134" max="2134" width="26" bestFit="1" customWidth="1"/>
    <col min="2135" max="2135" width="18.28515625" bestFit="1" customWidth="1"/>
    <col min="2136" max="2136" width="22.42578125" bestFit="1" customWidth="1"/>
    <col min="2137" max="2137" width="26" bestFit="1" customWidth="1"/>
    <col min="2138" max="2138" width="18.28515625" bestFit="1" customWidth="1"/>
    <col min="2139" max="2139" width="22.42578125" bestFit="1" customWidth="1"/>
    <col min="2140" max="2140" width="26" bestFit="1" customWidth="1"/>
    <col min="2141" max="2141" width="18.28515625" bestFit="1" customWidth="1"/>
    <col min="2142" max="2142" width="22.42578125" bestFit="1" customWidth="1"/>
    <col min="2143" max="2143" width="26" bestFit="1" customWidth="1"/>
    <col min="2144" max="2144" width="18.28515625" bestFit="1" customWidth="1"/>
    <col min="2145" max="2145" width="22.42578125" bestFit="1" customWidth="1"/>
    <col min="2146" max="2146" width="26" bestFit="1" customWidth="1"/>
    <col min="2147" max="2147" width="18.28515625" bestFit="1" customWidth="1"/>
    <col min="2148" max="2148" width="22.42578125" bestFit="1" customWidth="1"/>
    <col min="2149" max="2149" width="26" bestFit="1" customWidth="1"/>
    <col min="2150" max="2150" width="18.28515625" bestFit="1" customWidth="1"/>
    <col min="2151" max="2151" width="22.42578125" bestFit="1" customWidth="1"/>
    <col min="2152" max="2152" width="26" bestFit="1" customWidth="1"/>
    <col min="2153" max="2153" width="18.28515625" bestFit="1" customWidth="1"/>
    <col min="2154" max="2154" width="22.42578125" bestFit="1" customWidth="1"/>
    <col min="2155" max="2155" width="26" bestFit="1" customWidth="1"/>
    <col min="2156" max="2156" width="18.28515625" bestFit="1" customWidth="1"/>
    <col min="2157" max="2157" width="22.42578125" bestFit="1" customWidth="1"/>
    <col min="2158" max="2158" width="26" bestFit="1" customWidth="1"/>
    <col min="2159" max="2159" width="18.28515625" bestFit="1" customWidth="1"/>
    <col min="2160" max="2160" width="22.42578125" bestFit="1" customWidth="1"/>
    <col min="2161" max="2161" width="26" bestFit="1" customWidth="1"/>
    <col min="2162" max="2162" width="18.28515625" bestFit="1" customWidth="1"/>
    <col min="2163" max="2163" width="22.42578125" bestFit="1" customWidth="1"/>
    <col min="2164" max="2164" width="26" bestFit="1" customWidth="1"/>
    <col min="2165" max="2165" width="18.28515625" bestFit="1" customWidth="1"/>
    <col min="2166" max="2166" width="22.42578125" bestFit="1" customWidth="1"/>
    <col min="2167" max="2167" width="26" bestFit="1" customWidth="1"/>
    <col min="2168" max="2168" width="18.28515625" bestFit="1" customWidth="1"/>
    <col min="2169" max="2169" width="22.42578125" bestFit="1" customWidth="1"/>
    <col min="2170" max="2170" width="26" bestFit="1" customWidth="1"/>
    <col min="2171" max="2171" width="18.28515625" bestFit="1" customWidth="1"/>
    <col min="2172" max="2172" width="22.42578125" bestFit="1" customWidth="1"/>
    <col min="2173" max="2173" width="26" bestFit="1" customWidth="1"/>
    <col min="2174" max="2174" width="18.28515625" bestFit="1" customWidth="1"/>
    <col min="2175" max="2175" width="22.42578125" bestFit="1" customWidth="1"/>
    <col min="2176" max="2176" width="26" bestFit="1" customWidth="1"/>
    <col min="2177" max="2177" width="18.28515625" bestFit="1" customWidth="1"/>
    <col min="2178" max="2178" width="22.42578125" bestFit="1" customWidth="1"/>
    <col min="2179" max="2179" width="26" bestFit="1" customWidth="1"/>
    <col min="2180" max="2180" width="18.28515625" bestFit="1" customWidth="1"/>
    <col min="2181" max="2181" width="22.42578125" bestFit="1" customWidth="1"/>
    <col min="2182" max="2182" width="26" bestFit="1" customWidth="1"/>
    <col min="2183" max="2183" width="18.28515625" bestFit="1" customWidth="1"/>
    <col min="2184" max="2184" width="22.42578125" bestFit="1" customWidth="1"/>
    <col min="2185" max="2185" width="26" bestFit="1" customWidth="1"/>
    <col min="2186" max="2186" width="18.28515625" bestFit="1" customWidth="1"/>
    <col min="2187" max="2187" width="22.42578125" bestFit="1" customWidth="1"/>
    <col min="2188" max="2188" width="26" bestFit="1" customWidth="1"/>
    <col min="2189" max="2189" width="18.28515625" bestFit="1" customWidth="1"/>
    <col min="2190" max="2190" width="22.42578125" bestFit="1" customWidth="1"/>
    <col min="2191" max="2191" width="26" bestFit="1" customWidth="1"/>
    <col min="2192" max="2192" width="18.28515625" bestFit="1" customWidth="1"/>
    <col min="2193" max="2193" width="22.42578125" bestFit="1" customWidth="1"/>
    <col min="2194" max="2194" width="26" bestFit="1" customWidth="1"/>
    <col min="2195" max="2195" width="18.28515625" bestFit="1" customWidth="1"/>
    <col min="2196" max="2196" width="22.42578125" bestFit="1" customWidth="1"/>
    <col min="2197" max="2197" width="26" bestFit="1" customWidth="1"/>
    <col min="2198" max="2198" width="18.28515625" bestFit="1" customWidth="1"/>
    <col min="2199" max="2199" width="22.42578125" bestFit="1" customWidth="1"/>
    <col min="2200" max="2200" width="26" bestFit="1" customWidth="1"/>
    <col min="2201" max="2201" width="18.28515625" bestFit="1" customWidth="1"/>
    <col min="2202" max="2202" width="22.42578125" bestFit="1" customWidth="1"/>
    <col min="2203" max="2203" width="26" bestFit="1" customWidth="1"/>
    <col min="2204" max="2204" width="18.28515625" bestFit="1" customWidth="1"/>
    <col min="2205" max="2205" width="22.42578125" bestFit="1" customWidth="1"/>
    <col min="2206" max="2206" width="26" bestFit="1" customWidth="1"/>
    <col min="2207" max="2207" width="18.28515625" bestFit="1" customWidth="1"/>
    <col min="2208" max="2208" width="22.42578125" bestFit="1" customWidth="1"/>
    <col min="2209" max="2209" width="26" bestFit="1" customWidth="1"/>
    <col min="2210" max="2210" width="18.28515625" bestFit="1" customWidth="1"/>
    <col min="2211" max="2211" width="22.42578125" bestFit="1" customWidth="1"/>
    <col min="2212" max="2212" width="26" bestFit="1" customWidth="1"/>
    <col min="2213" max="2213" width="18.28515625" bestFit="1" customWidth="1"/>
    <col min="2214" max="2214" width="22.42578125" bestFit="1" customWidth="1"/>
    <col min="2215" max="2215" width="26" bestFit="1" customWidth="1"/>
    <col min="2216" max="2216" width="18.28515625" bestFit="1" customWidth="1"/>
    <col min="2217" max="2217" width="22.42578125" bestFit="1" customWidth="1"/>
    <col min="2218" max="2218" width="26" bestFit="1" customWidth="1"/>
    <col min="2219" max="2219" width="18.28515625" bestFit="1" customWidth="1"/>
    <col min="2220" max="2220" width="22.42578125" bestFit="1" customWidth="1"/>
    <col min="2221" max="2221" width="26" bestFit="1" customWidth="1"/>
    <col min="2222" max="2222" width="18.28515625" bestFit="1" customWidth="1"/>
    <col min="2223" max="2223" width="22.42578125" bestFit="1" customWidth="1"/>
    <col min="2224" max="2224" width="26" bestFit="1" customWidth="1"/>
    <col min="2225" max="2225" width="18.28515625" bestFit="1" customWidth="1"/>
    <col min="2226" max="2226" width="22.42578125" bestFit="1" customWidth="1"/>
    <col min="2227" max="2227" width="26" bestFit="1" customWidth="1"/>
    <col min="2228" max="2228" width="18.28515625" bestFit="1" customWidth="1"/>
    <col min="2229" max="2229" width="22.42578125" bestFit="1" customWidth="1"/>
    <col min="2230" max="2230" width="26" bestFit="1" customWidth="1"/>
    <col min="2231" max="2231" width="18.28515625" bestFit="1" customWidth="1"/>
    <col min="2232" max="2232" width="22.42578125" bestFit="1" customWidth="1"/>
    <col min="2233" max="2233" width="26" bestFit="1" customWidth="1"/>
    <col min="2234" max="2234" width="18.28515625" bestFit="1" customWidth="1"/>
    <col min="2235" max="2235" width="22.42578125" bestFit="1" customWidth="1"/>
    <col min="2236" max="2236" width="26" bestFit="1" customWidth="1"/>
    <col min="2237" max="2237" width="18.28515625" bestFit="1" customWidth="1"/>
    <col min="2238" max="2238" width="22.42578125" bestFit="1" customWidth="1"/>
    <col min="2239" max="2239" width="26" bestFit="1" customWidth="1"/>
    <col min="2240" max="2240" width="18.28515625" bestFit="1" customWidth="1"/>
    <col min="2241" max="2241" width="22.42578125" bestFit="1" customWidth="1"/>
    <col min="2242" max="2242" width="26" bestFit="1" customWidth="1"/>
    <col min="2243" max="2243" width="18.28515625" bestFit="1" customWidth="1"/>
    <col min="2244" max="2244" width="22.42578125" bestFit="1" customWidth="1"/>
    <col min="2245" max="2245" width="26" bestFit="1" customWidth="1"/>
    <col min="2246" max="2246" width="18.28515625" bestFit="1" customWidth="1"/>
    <col min="2247" max="2247" width="22.42578125" bestFit="1" customWidth="1"/>
    <col min="2248" max="2248" width="26" bestFit="1" customWidth="1"/>
    <col min="2249" max="2249" width="18.28515625" bestFit="1" customWidth="1"/>
    <col min="2250" max="2250" width="22.42578125" bestFit="1" customWidth="1"/>
    <col min="2251" max="2251" width="26" bestFit="1" customWidth="1"/>
    <col min="2252" max="2252" width="18.28515625" bestFit="1" customWidth="1"/>
    <col min="2253" max="2253" width="22.42578125" bestFit="1" customWidth="1"/>
    <col min="2254" max="2254" width="26" bestFit="1" customWidth="1"/>
    <col min="2255" max="2255" width="18.28515625" bestFit="1" customWidth="1"/>
    <col min="2256" max="2256" width="22.42578125" bestFit="1" customWidth="1"/>
    <col min="2257" max="2257" width="26" bestFit="1" customWidth="1"/>
    <col min="2258" max="2258" width="18.28515625" bestFit="1" customWidth="1"/>
    <col min="2259" max="2259" width="22.42578125" bestFit="1" customWidth="1"/>
    <col min="2260" max="2260" width="26" bestFit="1" customWidth="1"/>
    <col min="2261" max="2261" width="18.28515625" bestFit="1" customWidth="1"/>
    <col min="2262" max="2262" width="22.42578125" bestFit="1" customWidth="1"/>
    <col min="2263" max="2263" width="26" bestFit="1" customWidth="1"/>
    <col min="2264" max="2264" width="18.28515625" bestFit="1" customWidth="1"/>
    <col min="2265" max="2265" width="22.42578125" bestFit="1" customWidth="1"/>
    <col min="2266" max="2266" width="26" bestFit="1" customWidth="1"/>
    <col min="2267" max="2267" width="18.28515625" bestFit="1" customWidth="1"/>
    <col min="2268" max="2268" width="22.42578125" bestFit="1" customWidth="1"/>
    <col min="2269" max="2269" width="26" bestFit="1" customWidth="1"/>
    <col min="2270" max="2270" width="18.28515625" bestFit="1" customWidth="1"/>
    <col min="2271" max="2271" width="22.42578125" bestFit="1" customWidth="1"/>
    <col min="2272" max="2272" width="26" bestFit="1" customWidth="1"/>
    <col min="2273" max="2273" width="18.28515625" bestFit="1" customWidth="1"/>
    <col min="2274" max="2274" width="22.42578125" bestFit="1" customWidth="1"/>
    <col min="2275" max="2275" width="26" bestFit="1" customWidth="1"/>
    <col min="2276" max="2276" width="18.28515625" bestFit="1" customWidth="1"/>
    <col min="2277" max="2277" width="22.42578125" bestFit="1" customWidth="1"/>
    <col min="2278" max="2278" width="26" bestFit="1" customWidth="1"/>
    <col min="2279" max="2279" width="18.28515625" bestFit="1" customWidth="1"/>
    <col min="2280" max="2280" width="22.42578125" bestFit="1" customWidth="1"/>
    <col min="2281" max="2281" width="26" bestFit="1" customWidth="1"/>
    <col min="2282" max="2282" width="18.28515625" bestFit="1" customWidth="1"/>
    <col min="2283" max="2283" width="22.42578125" bestFit="1" customWidth="1"/>
    <col min="2284" max="2284" width="26" bestFit="1" customWidth="1"/>
    <col min="2285" max="2285" width="18.28515625" bestFit="1" customWidth="1"/>
    <col min="2286" max="2286" width="22.42578125" bestFit="1" customWidth="1"/>
    <col min="2287" max="2287" width="26" bestFit="1" customWidth="1"/>
    <col min="2288" max="2288" width="18.28515625" bestFit="1" customWidth="1"/>
    <col min="2289" max="2289" width="22.42578125" bestFit="1" customWidth="1"/>
    <col min="2290" max="2290" width="26" bestFit="1" customWidth="1"/>
    <col min="2291" max="2291" width="18.28515625" bestFit="1" customWidth="1"/>
    <col min="2292" max="2292" width="22.42578125" bestFit="1" customWidth="1"/>
    <col min="2293" max="2293" width="26" bestFit="1" customWidth="1"/>
    <col min="2294" max="2294" width="18.28515625" bestFit="1" customWidth="1"/>
    <col min="2295" max="2295" width="22.42578125" bestFit="1" customWidth="1"/>
    <col min="2296" max="2296" width="26" bestFit="1" customWidth="1"/>
    <col min="2297" max="2297" width="18.28515625" bestFit="1" customWidth="1"/>
    <col min="2298" max="2298" width="22.42578125" bestFit="1" customWidth="1"/>
    <col min="2299" max="2299" width="26" bestFit="1" customWidth="1"/>
    <col min="2300" max="2300" width="18.28515625" bestFit="1" customWidth="1"/>
    <col min="2301" max="2301" width="22.42578125" bestFit="1" customWidth="1"/>
    <col min="2302" max="2302" width="26" bestFit="1" customWidth="1"/>
    <col min="2303" max="2303" width="18.28515625" bestFit="1" customWidth="1"/>
    <col min="2304" max="2304" width="22.42578125" bestFit="1" customWidth="1"/>
    <col min="2305" max="2305" width="26" bestFit="1" customWidth="1"/>
    <col min="2306" max="2306" width="18.28515625" bestFit="1" customWidth="1"/>
    <col min="2307" max="2307" width="22.42578125" bestFit="1" customWidth="1"/>
    <col min="2308" max="2308" width="26" bestFit="1" customWidth="1"/>
    <col min="2309" max="2309" width="18.28515625" bestFit="1" customWidth="1"/>
    <col min="2310" max="2310" width="22.42578125" bestFit="1" customWidth="1"/>
    <col min="2311" max="2311" width="26" bestFit="1" customWidth="1"/>
    <col min="2312" max="2312" width="18.28515625" bestFit="1" customWidth="1"/>
    <col min="2313" max="2313" width="22.42578125" bestFit="1" customWidth="1"/>
    <col min="2314" max="2314" width="26" bestFit="1" customWidth="1"/>
    <col min="2315" max="2315" width="18.28515625" bestFit="1" customWidth="1"/>
    <col min="2316" max="2316" width="22.42578125" bestFit="1" customWidth="1"/>
    <col min="2317" max="2317" width="26" bestFit="1" customWidth="1"/>
    <col min="2318" max="2318" width="18.28515625" bestFit="1" customWidth="1"/>
    <col min="2319" max="2319" width="22.42578125" bestFit="1" customWidth="1"/>
    <col min="2320" max="2320" width="26" bestFit="1" customWidth="1"/>
    <col min="2321" max="2321" width="18.28515625" bestFit="1" customWidth="1"/>
    <col min="2322" max="2322" width="22.42578125" bestFit="1" customWidth="1"/>
    <col min="2323" max="2323" width="26" bestFit="1" customWidth="1"/>
    <col min="2324" max="2324" width="18.28515625" bestFit="1" customWidth="1"/>
    <col min="2325" max="2325" width="22.42578125" bestFit="1" customWidth="1"/>
    <col min="2326" max="2326" width="26" bestFit="1" customWidth="1"/>
    <col min="2327" max="2327" width="18.28515625" bestFit="1" customWidth="1"/>
    <col min="2328" max="2328" width="22.42578125" bestFit="1" customWidth="1"/>
    <col min="2329" max="2329" width="26" bestFit="1" customWidth="1"/>
    <col min="2330" max="2330" width="18.28515625" bestFit="1" customWidth="1"/>
    <col min="2331" max="2331" width="22.42578125" bestFit="1" customWidth="1"/>
    <col min="2332" max="2332" width="26" bestFit="1" customWidth="1"/>
    <col min="2333" max="2333" width="18.28515625" bestFit="1" customWidth="1"/>
    <col min="2334" max="2334" width="22.42578125" bestFit="1" customWidth="1"/>
    <col min="2335" max="2335" width="26" bestFit="1" customWidth="1"/>
    <col min="2336" max="2336" width="18.28515625" bestFit="1" customWidth="1"/>
    <col min="2337" max="2337" width="22.42578125" bestFit="1" customWidth="1"/>
    <col min="2338" max="2338" width="26" bestFit="1" customWidth="1"/>
    <col min="2339" max="2339" width="18.28515625" bestFit="1" customWidth="1"/>
    <col min="2340" max="2340" width="22.42578125" bestFit="1" customWidth="1"/>
    <col min="2341" max="2341" width="26" bestFit="1" customWidth="1"/>
    <col min="2342" max="2342" width="18.28515625" bestFit="1" customWidth="1"/>
    <col min="2343" max="2343" width="22.42578125" bestFit="1" customWidth="1"/>
    <col min="2344" max="2344" width="26" bestFit="1" customWidth="1"/>
    <col min="2345" max="2345" width="18.28515625" bestFit="1" customWidth="1"/>
    <col min="2346" max="2346" width="22.42578125" bestFit="1" customWidth="1"/>
    <col min="2347" max="2347" width="26" bestFit="1" customWidth="1"/>
    <col min="2348" max="2348" width="18.28515625" bestFit="1" customWidth="1"/>
    <col min="2349" max="2349" width="22.42578125" bestFit="1" customWidth="1"/>
    <col min="2350" max="2350" width="26" bestFit="1" customWidth="1"/>
    <col min="2351" max="2351" width="18.28515625" bestFit="1" customWidth="1"/>
    <col min="2352" max="2352" width="22.42578125" bestFit="1" customWidth="1"/>
    <col min="2353" max="2353" width="26" bestFit="1" customWidth="1"/>
    <col min="2354" max="2354" width="18.28515625" bestFit="1" customWidth="1"/>
    <col min="2355" max="2355" width="22.42578125" bestFit="1" customWidth="1"/>
    <col min="2356" max="2356" width="26" bestFit="1" customWidth="1"/>
    <col min="2357" max="2357" width="18.28515625" bestFit="1" customWidth="1"/>
    <col min="2358" max="2358" width="22.42578125" bestFit="1" customWidth="1"/>
    <col min="2359" max="2359" width="26" bestFit="1" customWidth="1"/>
    <col min="2360" max="2360" width="18.28515625" bestFit="1" customWidth="1"/>
    <col min="2361" max="2361" width="22.42578125" bestFit="1" customWidth="1"/>
    <col min="2362" max="2362" width="26" bestFit="1" customWidth="1"/>
    <col min="2363" max="2363" width="18.28515625" bestFit="1" customWidth="1"/>
    <col min="2364" max="2364" width="22.42578125" bestFit="1" customWidth="1"/>
    <col min="2365" max="2365" width="26" bestFit="1" customWidth="1"/>
    <col min="2366" max="2366" width="18.28515625" bestFit="1" customWidth="1"/>
    <col min="2367" max="2367" width="22.42578125" bestFit="1" customWidth="1"/>
    <col min="2368" max="2368" width="26" bestFit="1" customWidth="1"/>
    <col min="2369" max="2369" width="18.28515625" bestFit="1" customWidth="1"/>
    <col min="2370" max="2370" width="22.42578125" bestFit="1" customWidth="1"/>
    <col min="2371" max="2371" width="26" bestFit="1" customWidth="1"/>
    <col min="2372" max="2372" width="18.28515625" bestFit="1" customWidth="1"/>
    <col min="2373" max="2373" width="22.42578125" bestFit="1" customWidth="1"/>
    <col min="2374" max="2374" width="26" bestFit="1" customWidth="1"/>
    <col min="2375" max="2375" width="18.28515625" bestFit="1" customWidth="1"/>
    <col min="2376" max="2376" width="22.42578125" bestFit="1" customWidth="1"/>
    <col min="2377" max="2377" width="26" bestFit="1" customWidth="1"/>
    <col min="2378" max="2378" width="18.28515625" bestFit="1" customWidth="1"/>
    <col min="2379" max="2379" width="22.42578125" bestFit="1" customWidth="1"/>
    <col min="2380" max="2380" width="26" bestFit="1" customWidth="1"/>
    <col min="2381" max="2381" width="18.28515625" bestFit="1" customWidth="1"/>
    <col min="2382" max="2382" width="22.42578125" bestFit="1" customWidth="1"/>
    <col min="2383" max="2383" width="26" bestFit="1" customWidth="1"/>
    <col min="2384" max="2384" width="18.28515625" bestFit="1" customWidth="1"/>
    <col min="2385" max="2385" width="22.42578125" bestFit="1" customWidth="1"/>
    <col min="2386" max="2386" width="26" bestFit="1" customWidth="1"/>
    <col min="2387" max="2387" width="18.28515625" bestFit="1" customWidth="1"/>
    <col min="2388" max="2388" width="22.42578125" bestFit="1" customWidth="1"/>
    <col min="2389" max="2389" width="26" bestFit="1" customWidth="1"/>
    <col min="2390" max="2390" width="18.28515625" bestFit="1" customWidth="1"/>
    <col min="2391" max="2391" width="22.42578125" bestFit="1" customWidth="1"/>
    <col min="2392" max="2392" width="26" bestFit="1" customWidth="1"/>
    <col min="2393" max="2393" width="18.28515625" bestFit="1" customWidth="1"/>
    <col min="2394" max="2394" width="22.42578125" bestFit="1" customWidth="1"/>
    <col min="2395" max="2395" width="26" bestFit="1" customWidth="1"/>
    <col min="2396" max="2396" width="18.28515625" bestFit="1" customWidth="1"/>
    <col min="2397" max="2397" width="22.42578125" bestFit="1" customWidth="1"/>
    <col min="2398" max="2398" width="26" bestFit="1" customWidth="1"/>
    <col min="2399" max="2399" width="18.28515625" bestFit="1" customWidth="1"/>
    <col min="2400" max="2400" width="22.42578125" bestFit="1" customWidth="1"/>
    <col min="2401" max="2401" width="26" bestFit="1" customWidth="1"/>
    <col min="2402" max="2402" width="18.28515625" bestFit="1" customWidth="1"/>
    <col min="2403" max="2403" width="22.42578125" bestFit="1" customWidth="1"/>
    <col min="2404" max="2404" width="26" bestFit="1" customWidth="1"/>
    <col min="2405" max="2405" width="18.28515625" bestFit="1" customWidth="1"/>
    <col min="2406" max="2406" width="22.42578125" bestFit="1" customWidth="1"/>
    <col min="2407" max="2407" width="26" bestFit="1" customWidth="1"/>
    <col min="2408" max="2408" width="18.28515625" bestFit="1" customWidth="1"/>
    <col min="2409" max="2409" width="22.42578125" bestFit="1" customWidth="1"/>
    <col min="2410" max="2410" width="26" bestFit="1" customWidth="1"/>
    <col min="2411" max="2411" width="18.28515625" bestFit="1" customWidth="1"/>
    <col min="2412" max="2412" width="22.42578125" bestFit="1" customWidth="1"/>
    <col min="2413" max="2413" width="26" bestFit="1" customWidth="1"/>
    <col min="2414" max="2414" width="18.28515625" bestFit="1" customWidth="1"/>
    <col min="2415" max="2415" width="22.42578125" bestFit="1" customWidth="1"/>
    <col min="2416" max="2416" width="26" bestFit="1" customWidth="1"/>
    <col min="2417" max="2417" width="18.28515625" bestFit="1" customWidth="1"/>
    <col min="2418" max="2418" width="22.42578125" bestFit="1" customWidth="1"/>
    <col min="2419" max="2419" width="26" bestFit="1" customWidth="1"/>
    <col min="2420" max="2420" width="18.28515625" bestFit="1" customWidth="1"/>
    <col min="2421" max="2421" width="22.42578125" bestFit="1" customWidth="1"/>
    <col min="2422" max="2422" width="26" bestFit="1" customWidth="1"/>
    <col min="2423" max="2423" width="18.28515625" bestFit="1" customWidth="1"/>
    <col min="2424" max="2424" width="22.42578125" bestFit="1" customWidth="1"/>
    <col min="2425" max="2425" width="26" bestFit="1" customWidth="1"/>
    <col min="2426" max="2426" width="18.28515625" bestFit="1" customWidth="1"/>
    <col min="2427" max="2427" width="22.42578125" bestFit="1" customWidth="1"/>
    <col min="2428" max="2428" width="26" bestFit="1" customWidth="1"/>
    <col min="2429" max="2429" width="18.28515625" bestFit="1" customWidth="1"/>
    <col min="2430" max="2430" width="22.42578125" bestFit="1" customWidth="1"/>
    <col min="2431" max="2431" width="26" bestFit="1" customWidth="1"/>
    <col min="2432" max="2432" width="18.28515625" bestFit="1" customWidth="1"/>
    <col min="2433" max="2433" width="22.42578125" bestFit="1" customWidth="1"/>
    <col min="2434" max="2434" width="26" bestFit="1" customWidth="1"/>
    <col min="2435" max="2435" width="18.28515625" bestFit="1" customWidth="1"/>
    <col min="2436" max="2436" width="22.42578125" bestFit="1" customWidth="1"/>
    <col min="2437" max="2437" width="26" bestFit="1" customWidth="1"/>
    <col min="2438" max="2438" width="18.28515625" bestFit="1" customWidth="1"/>
    <col min="2439" max="2439" width="22.42578125" bestFit="1" customWidth="1"/>
    <col min="2440" max="2440" width="26" bestFit="1" customWidth="1"/>
    <col min="2441" max="2441" width="18.28515625" bestFit="1" customWidth="1"/>
    <col min="2442" max="2442" width="22.42578125" bestFit="1" customWidth="1"/>
    <col min="2443" max="2443" width="26" bestFit="1" customWidth="1"/>
    <col min="2444" max="2444" width="18.28515625" bestFit="1" customWidth="1"/>
    <col min="2445" max="2445" width="22.42578125" bestFit="1" customWidth="1"/>
    <col min="2446" max="2446" width="26" bestFit="1" customWidth="1"/>
    <col min="2447" max="2447" width="18.28515625" bestFit="1" customWidth="1"/>
    <col min="2448" max="2448" width="22.42578125" bestFit="1" customWidth="1"/>
    <col min="2449" max="2449" width="26" bestFit="1" customWidth="1"/>
    <col min="2450" max="2450" width="18.28515625" bestFit="1" customWidth="1"/>
    <col min="2451" max="2451" width="22.42578125" bestFit="1" customWidth="1"/>
    <col min="2452" max="2452" width="26" bestFit="1" customWidth="1"/>
    <col min="2453" max="2453" width="18.28515625" bestFit="1" customWidth="1"/>
    <col min="2454" max="2454" width="22.42578125" bestFit="1" customWidth="1"/>
    <col min="2455" max="2455" width="26" bestFit="1" customWidth="1"/>
    <col min="2456" max="2456" width="18.28515625" bestFit="1" customWidth="1"/>
    <col min="2457" max="2457" width="22.42578125" bestFit="1" customWidth="1"/>
    <col min="2458" max="2458" width="26" bestFit="1" customWidth="1"/>
    <col min="2459" max="2459" width="18.28515625" bestFit="1" customWidth="1"/>
    <col min="2460" max="2460" width="22.42578125" bestFit="1" customWidth="1"/>
    <col min="2461" max="2461" width="26" bestFit="1" customWidth="1"/>
    <col min="2462" max="2462" width="18.28515625" bestFit="1" customWidth="1"/>
    <col min="2463" max="2463" width="22.42578125" bestFit="1" customWidth="1"/>
    <col min="2464" max="2464" width="26" bestFit="1" customWidth="1"/>
    <col min="2465" max="2465" width="18.28515625" bestFit="1" customWidth="1"/>
    <col min="2466" max="2466" width="22.42578125" bestFit="1" customWidth="1"/>
    <col min="2467" max="2467" width="26" bestFit="1" customWidth="1"/>
    <col min="2468" max="2468" width="18.28515625" bestFit="1" customWidth="1"/>
    <col min="2469" max="2469" width="22.42578125" bestFit="1" customWidth="1"/>
    <col min="2470" max="2470" width="26" bestFit="1" customWidth="1"/>
    <col min="2471" max="2471" width="18.28515625" bestFit="1" customWidth="1"/>
    <col min="2472" max="2472" width="22.42578125" bestFit="1" customWidth="1"/>
    <col min="2473" max="2473" width="26" bestFit="1" customWidth="1"/>
    <col min="2474" max="2474" width="18.28515625" bestFit="1" customWidth="1"/>
    <col min="2475" max="2475" width="22.42578125" bestFit="1" customWidth="1"/>
    <col min="2476" max="2476" width="26" bestFit="1" customWidth="1"/>
    <col min="2477" max="2477" width="18.28515625" bestFit="1" customWidth="1"/>
    <col min="2478" max="2478" width="22.42578125" bestFit="1" customWidth="1"/>
    <col min="2479" max="2479" width="26" bestFit="1" customWidth="1"/>
    <col min="2480" max="2480" width="18.28515625" bestFit="1" customWidth="1"/>
    <col min="2481" max="2481" width="22.42578125" bestFit="1" customWidth="1"/>
    <col min="2482" max="2482" width="26" bestFit="1" customWidth="1"/>
    <col min="2483" max="2483" width="18.28515625" bestFit="1" customWidth="1"/>
    <col min="2484" max="2484" width="22.42578125" bestFit="1" customWidth="1"/>
    <col min="2485" max="2485" width="26" bestFit="1" customWidth="1"/>
    <col min="2486" max="2486" width="18.28515625" bestFit="1" customWidth="1"/>
    <col min="2487" max="2487" width="22.42578125" bestFit="1" customWidth="1"/>
    <col min="2488" max="2488" width="26" bestFit="1" customWidth="1"/>
    <col min="2489" max="2489" width="18.28515625" bestFit="1" customWidth="1"/>
    <col min="2490" max="2490" width="22.42578125" bestFit="1" customWidth="1"/>
    <col min="2491" max="2491" width="26" bestFit="1" customWidth="1"/>
    <col min="2492" max="2492" width="18.28515625" bestFit="1" customWidth="1"/>
    <col min="2493" max="2493" width="22.42578125" bestFit="1" customWidth="1"/>
    <col min="2494" max="2494" width="26" bestFit="1" customWidth="1"/>
    <col min="2495" max="2495" width="18.28515625" bestFit="1" customWidth="1"/>
    <col min="2496" max="2496" width="22.42578125" bestFit="1" customWidth="1"/>
    <col min="2497" max="2497" width="26" bestFit="1" customWidth="1"/>
    <col min="2498" max="2498" width="18.28515625" bestFit="1" customWidth="1"/>
    <col min="2499" max="2499" width="22.42578125" bestFit="1" customWidth="1"/>
    <col min="2500" max="2500" width="26" bestFit="1" customWidth="1"/>
    <col min="2501" max="2501" width="18.28515625" bestFit="1" customWidth="1"/>
    <col min="2502" max="2502" width="22.42578125" bestFit="1" customWidth="1"/>
    <col min="2503" max="2503" width="26" bestFit="1" customWidth="1"/>
    <col min="2504" max="2504" width="18.28515625" bestFit="1" customWidth="1"/>
    <col min="2505" max="2505" width="22.42578125" bestFit="1" customWidth="1"/>
    <col min="2506" max="2506" width="26" bestFit="1" customWidth="1"/>
    <col min="2507" max="2507" width="18.28515625" bestFit="1" customWidth="1"/>
    <col min="2508" max="2508" width="22.42578125" bestFit="1" customWidth="1"/>
    <col min="2509" max="2509" width="26" bestFit="1" customWidth="1"/>
    <col min="2510" max="2510" width="18.28515625" bestFit="1" customWidth="1"/>
    <col min="2511" max="2511" width="22.42578125" bestFit="1" customWidth="1"/>
    <col min="2512" max="2512" width="26" bestFit="1" customWidth="1"/>
    <col min="2513" max="2513" width="18.28515625" bestFit="1" customWidth="1"/>
    <col min="2514" max="2514" width="22.42578125" bestFit="1" customWidth="1"/>
    <col min="2515" max="2515" width="26" bestFit="1" customWidth="1"/>
    <col min="2516" max="2516" width="18.28515625" bestFit="1" customWidth="1"/>
    <col min="2517" max="2517" width="22.42578125" bestFit="1" customWidth="1"/>
    <col min="2518" max="2518" width="26" bestFit="1" customWidth="1"/>
    <col min="2519" max="2519" width="18.28515625" bestFit="1" customWidth="1"/>
    <col min="2520" max="2520" width="22.42578125" bestFit="1" customWidth="1"/>
    <col min="2521" max="2521" width="26" bestFit="1" customWidth="1"/>
    <col min="2522" max="2522" width="18.28515625" bestFit="1" customWidth="1"/>
    <col min="2523" max="2523" width="22.42578125" bestFit="1" customWidth="1"/>
    <col min="2524" max="2524" width="26" bestFit="1" customWidth="1"/>
    <col min="2525" max="2525" width="18.28515625" bestFit="1" customWidth="1"/>
    <col min="2526" max="2526" width="22.42578125" bestFit="1" customWidth="1"/>
    <col min="2527" max="2527" width="26" bestFit="1" customWidth="1"/>
    <col min="2528" max="2528" width="18.28515625" bestFit="1" customWidth="1"/>
    <col min="2529" max="2529" width="22.42578125" bestFit="1" customWidth="1"/>
    <col min="2530" max="2530" width="26" bestFit="1" customWidth="1"/>
    <col min="2531" max="2531" width="18.28515625" bestFit="1" customWidth="1"/>
    <col min="2532" max="2532" width="22.42578125" bestFit="1" customWidth="1"/>
    <col min="2533" max="2533" width="26" bestFit="1" customWidth="1"/>
    <col min="2534" max="2534" width="18.28515625" bestFit="1" customWidth="1"/>
    <col min="2535" max="2535" width="22.42578125" bestFit="1" customWidth="1"/>
    <col min="2536" max="2536" width="26" bestFit="1" customWidth="1"/>
    <col min="2537" max="2537" width="18.28515625" bestFit="1" customWidth="1"/>
    <col min="2538" max="2538" width="22.42578125" bestFit="1" customWidth="1"/>
    <col min="2539" max="2539" width="26" bestFit="1" customWidth="1"/>
    <col min="2540" max="2540" width="18.28515625" bestFit="1" customWidth="1"/>
    <col min="2541" max="2541" width="22.42578125" bestFit="1" customWidth="1"/>
    <col min="2542" max="2542" width="26" bestFit="1" customWidth="1"/>
    <col min="2543" max="2543" width="18.28515625" bestFit="1" customWidth="1"/>
    <col min="2544" max="2544" width="22.42578125" bestFit="1" customWidth="1"/>
    <col min="2545" max="2545" width="26" bestFit="1" customWidth="1"/>
    <col min="2546" max="2546" width="18.28515625" bestFit="1" customWidth="1"/>
    <col min="2547" max="2547" width="22.42578125" bestFit="1" customWidth="1"/>
    <col min="2548" max="2548" width="26" bestFit="1" customWidth="1"/>
    <col min="2549" max="2549" width="18.28515625" bestFit="1" customWidth="1"/>
    <col min="2550" max="2550" width="22.42578125" bestFit="1" customWidth="1"/>
    <col min="2551" max="2551" width="26" bestFit="1" customWidth="1"/>
    <col min="2552" max="2552" width="18.28515625" bestFit="1" customWidth="1"/>
    <col min="2553" max="2553" width="22.42578125" bestFit="1" customWidth="1"/>
    <col min="2554" max="2554" width="26" bestFit="1" customWidth="1"/>
    <col min="2555" max="2555" width="18.28515625" bestFit="1" customWidth="1"/>
    <col min="2556" max="2556" width="22.42578125" bestFit="1" customWidth="1"/>
    <col min="2557" max="2557" width="26" bestFit="1" customWidth="1"/>
    <col min="2558" max="2558" width="18.28515625" bestFit="1" customWidth="1"/>
    <col min="2559" max="2559" width="22.42578125" bestFit="1" customWidth="1"/>
    <col min="2560" max="2560" width="26" bestFit="1" customWidth="1"/>
    <col min="2561" max="2561" width="18.28515625" bestFit="1" customWidth="1"/>
    <col min="2562" max="2562" width="22.42578125" bestFit="1" customWidth="1"/>
    <col min="2563" max="2563" width="26" bestFit="1" customWidth="1"/>
    <col min="2564" max="2564" width="18.28515625" bestFit="1" customWidth="1"/>
    <col min="2565" max="2565" width="22.42578125" bestFit="1" customWidth="1"/>
    <col min="2566" max="2566" width="26" bestFit="1" customWidth="1"/>
    <col min="2567" max="2567" width="18.28515625" bestFit="1" customWidth="1"/>
    <col min="2568" max="2568" width="22.42578125" bestFit="1" customWidth="1"/>
    <col min="2569" max="2569" width="26" bestFit="1" customWidth="1"/>
    <col min="2570" max="2570" width="18.28515625" bestFit="1" customWidth="1"/>
    <col min="2571" max="2571" width="22.42578125" bestFit="1" customWidth="1"/>
    <col min="2572" max="2572" width="26" bestFit="1" customWidth="1"/>
    <col min="2573" max="2573" width="18.28515625" bestFit="1" customWidth="1"/>
    <col min="2574" max="2574" width="22.42578125" bestFit="1" customWidth="1"/>
    <col min="2575" max="2575" width="26" bestFit="1" customWidth="1"/>
    <col min="2576" max="2576" width="18.28515625" bestFit="1" customWidth="1"/>
    <col min="2577" max="2577" width="22.42578125" bestFit="1" customWidth="1"/>
    <col min="2578" max="2578" width="26" bestFit="1" customWidth="1"/>
    <col min="2579" max="2579" width="18.28515625" bestFit="1" customWidth="1"/>
    <col min="2580" max="2580" width="22.42578125" bestFit="1" customWidth="1"/>
    <col min="2581" max="2581" width="26" bestFit="1" customWidth="1"/>
    <col min="2582" max="2582" width="18.28515625" bestFit="1" customWidth="1"/>
    <col min="2583" max="2583" width="22.42578125" bestFit="1" customWidth="1"/>
    <col min="2584" max="2584" width="26" bestFit="1" customWidth="1"/>
    <col min="2585" max="2585" width="18.28515625" bestFit="1" customWidth="1"/>
    <col min="2586" max="2586" width="22.42578125" bestFit="1" customWidth="1"/>
    <col min="2587" max="2587" width="26" bestFit="1" customWidth="1"/>
    <col min="2588" max="2588" width="18.28515625" bestFit="1" customWidth="1"/>
    <col min="2589" max="2589" width="22.42578125" bestFit="1" customWidth="1"/>
    <col min="2590" max="2590" width="26" bestFit="1" customWidth="1"/>
    <col min="2591" max="2591" width="18.28515625" bestFit="1" customWidth="1"/>
    <col min="2592" max="2592" width="22.42578125" bestFit="1" customWidth="1"/>
    <col min="2593" max="2593" width="26" bestFit="1" customWidth="1"/>
    <col min="2594" max="2594" width="18.28515625" bestFit="1" customWidth="1"/>
    <col min="2595" max="2595" width="22.42578125" bestFit="1" customWidth="1"/>
    <col min="2596" max="2596" width="26" bestFit="1" customWidth="1"/>
    <col min="2597" max="2597" width="18.28515625" bestFit="1" customWidth="1"/>
    <col min="2598" max="2598" width="22.42578125" bestFit="1" customWidth="1"/>
    <col min="2599" max="2599" width="26" bestFit="1" customWidth="1"/>
    <col min="2600" max="2600" width="18.28515625" bestFit="1" customWidth="1"/>
    <col min="2601" max="2601" width="22.42578125" bestFit="1" customWidth="1"/>
    <col min="2602" max="2602" width="26" bestFit="1" customWidth="1"/>
    <col min="2603" max="2603" width="18.28515625" bestFit="1" customWidth="1"/>
    <col min="2604" max="2604" width="22.42578125" bestFit="1" customWidth="1"/>
    <col min="2605" max="2605" width="26" bestFit="1" customWidth="1"/>
    <col min="2606" max="2606" width="18.28515625" bestFit="1" customWidth="1"/>
    <col min="2607" max="2607" width="22.42578125" bestFit="1" customWidth="1"/>
    <col min="2608" max="2608" width="26" bestFit="1" customWidth="1"/>
    <col min="2609" max="2609" width="18.28515625" bestFit="1" customWidth="1"/>
    <col min="2610" max="2610" width="22.42578125" bestFit="1" customWidth="1"/>
    <col min="2611" max="2611" width="26" bestFit="1" customWidth="1"/>
    <col min="2612" max="2612" width="18.28515625" bestFit="1" customWidth="1"/>
    <col min="2613" max="2613" width="22.42578125" bestFit="1" customWidth="1"/>
    <col min="2614" max="2614" width="26" bestFit="1" customWidth="1"/>
    <col min="2615" max="2615" width="18.28515625" bestFit="1" customWidth="1"/>
    <col min="2616" max="2616" width="22.42578125" bestFit="1" customWidth="1"/>
    <col min="2617" max="2617" width="26" bestFit="1" customWidth="1"/>
    <col min="2618" max="2618" width="18.28515625" bestFit="1" customWidth="1"/>
    <col min="2619" max="2619" width="22.42578125" bestFit="1" customWidth="1"/>
    <col min="2620" max="2620" width="26" bestFit="1" customWidth="1"/>
    <col min="2621" max="2621" width="18.28515625" bestFit="1" customWidth="1"/>
    <col min="2622" max="2622" width="22.42578125" bestFit="1" customWidth="1"/>
    <col min="2623" max="2623" width="26" bestFit="1" customWidth="1"/>
    <col min="2624" max="2624" width="18.28515625" bestFit="1" customWidth="1"/>
    <col min="2625" max="2625" width="22.42578125" bestFit="1" customWidth="1"/>
    <col min="2626" max="2626" width="26" bestFit="1" customWidth="1"/>
    <col min="2627" max="2627" width="18.28515625" bestFit="1" customWidth="1"/>
    <col min="2628" max="2628" width="22.42578125" bestFit="1" customWidth="1"/>
    <col min="2629" max="2629" width="26" bestFit="1" customWidth="1"/>
    <col min="2630" max="2630" width="18.28515625" bestFit="1" customWidth="1"/>
    <col min="2631" max="2631" width="22.42578125" bestFit="1" customWidth="1"/>
    <col min="2632" max="2632" width="26" bestFit="1" customWidth="1"/>
    <col min="2633" max="2633" width="18.28515625" bestFit="1" customWidth="1"/>
    <col min="2634" max="2634" width="22.42578125" bestFit="1" customWidth="1"/>
    <col min="2635" max="2635" width="26" bestFit="1" customWidth="1"/>
    <col min="2636" max="2636" width="18.28515625" bestFit="1" customWidth="1"/>
    <col min="2637" max="2637" width="22.42578125" bestFit="1" customWidth="1"/>
    <col min="2638" max="2638" width="26" bestFit="1" customWidth="1"/>
    <col min="2639" max="2639" width="18.28515625" bestFit="1" customWidth="1"/>
    <col min="2640" max="2640" width="22.42578125" bestFit="1" customWidth="1"/>
    <col min="2641" max="2641" width="26" bestFit="1" customWidth="1"/>
    <col min="2642" max="2642" width="18.28515625" bestFit="1" customWidth="1"/>
    <col min="2643" max="2643" width="22.42578125" bestFit="1" customWidth="1"/>
    <col min="2644" max="2644" width="26" bestFit="1" customWidth="1"/>
    <col min="2645" max="2645" width="18.28515625" bestFit="1" customWidth="1"/>
    <col min="2646" max="2646" width="22.42578125" bestFit="1" customWidth="1"/>
    <col min="2647" max="2647" width="26" bestFit="1" customWidth="1"/>
    <col min="2648" max="2648" width="18.28515625" bestFit="1" customWidth="1"/>
    <col min="2649" max="2649" width="22.42578125" bestFit="1" customWidth="1"/>
    <col min="2650" max="2650" width="26" bestFit="1" customWidth="1"/>
    <col min="2651" max="2651" width="18.28515625" bestFit="1" customWidth="1"/>
    <col min="2652" max="2652" width="22.42578125" bestFit="1" customWidth="1"/>
    <col min="2653" max="2653" width="26" bestFit="1" customWidth="1"/>
    <col min="2654" max="2654" width="18.28515625" bestFit="1" customWidth="1"/>
    <col min="2655" max="2655" width="22.42578125" bestFit="1" customWidth="1"/>
    <col min="2656" max="2656" width="26" bestFit="1" customWidth="1"/>
    <col min="2657" max="2657" width="18.28515625" bestFit="1" customWidth="1"/>
    <col min="2658" max="2658" width="22.42578125" bestFit="1" customWidth="1"/>
    <col min="2659" max="2659" width="26" bestFit="1" customWidth="1"/>
    <col min="2660" max="2660" width="18.28515625" bestFit="1" customWidth="1"/>
    <col min="2661" max="2661" width="22.42578125" bestFit="1" customWidth="1"/>
    <col min="2662" max="2662" width="26" bestFit="1" customWidth="1"/>
    <col min="2663" max="2663" width="18.28515625" bestFit="1" customWidth="1"/>
    <col min="2664" max="2664" width="22.42578125" bestFit="1" customWidth="1"/>
    <col min="2665" max="2665" width="26" bestFit="1" customWidth="1"/>
    <col min="2666" max="2666" width="18.28515625" bestFit="1" customWidth="1"/>
    <col min="2667" max="2667" width="22.42578125" bestFit="1" customWidth="1"/>
    <col min="2668" max="2668" width="26" bestFit="1" customWidth="1"/>
    <col min="2669" max="2669" width="18.28515625" bestFit="1" customWidth="1"/>
    <col min="2670" max="2670" width="22.42578125" bestFit="1" customWidth="1"/>
    <col min="2671" max="2671" width="26" bestFit="1" customWidth="1"/>
    <col min="2672" max="2672" width="18.28515625" bestFit="1" customWidth="1"/>
    <col min="2673" max="2673" width="22.42578125" bestFit="1" customWidth="1"/>
    <col min="2674" max="2674" width="26" bestFit="1" customWidth="1"/>
    <col min="2675" max="2675" width="18.28515625" bestFit="1" customWidth="1"/>
    <col min="2676" max="2676" width="22.42578125" bestFit="1" customWidth="1"/>
    <col min="2677" max="2677" width="26" bestFit="1" customWidth="1"/>
    <col min="2678" max="2678" width="18.28515625" bestFit="1" customWidth="1"/>
    <col min="2679" max="2679" width="22.42578125" bestFit="1" customWidth="1"/>
    <col min="2680" max="2680" width="26" bestFit="1" customWidth="1"/>
    <col min="2681" max="2681" width="18.28515625" bestFit="1" customWidth="1"/>
    <col min="2682" max="2682" width="22.42578125" bestFit="1" customWidth="1"/>
    <col min="2683" max="2683" width="26" bestFit="1" customWidth="1"/>
    <col min="2684" max="2684" width="18.28515625" bestFit="1" customWidth="1"/>
    <col min="2685" max="2685" width="22.42578125" bestFit="1" customWidth="1"/>
    <col min="2686" max="2686" width="26" bestFit="1" customWidth="1"/>
    <col min="2687" max="2687" width="18.28515625" bestFit="1" customWidth="1"/>
    <col min="2688" max="2688" width="22.42578125" bestFit="1" customWidth="1"/>
    <col min="2689" max="2689" width="26" bestFit="1" customWidth="1"/>
    <col min="2690" max="2690" width="18.28515625" bestFit="1" customWidth="1"/>
    <col min="2691" max="2691" width="22.42578125" bestFit="1" customWidth="1"/>
    <col min="2692" max="2692" width="26" bestFit="1" customWidth="1"/>
    <col min="2693" max="2693" width="18.28515625" bestFit="1" customWidth="1"/>
    <col min="2694" max="2694" width="22.42578125" bestFit="1" customWidth="1"/>
    <col min="2695" max="2695" width="26" bestFit="1" customWidth="1"/>
    <col min="2696" max="2696" width="18.28515625" bestFit="1" customWidth="1"/>
    <col min="2697" max="2697" width="22.42578125" bestFit="1" customWidth="1"/>
    <col min="2698" max="2698" width="26" bestFit="1" customWidth="1"/>
    <col min="2699" max="2699" width="18.28515625" bestFit="1" customWidth="1"/>
    <col min="2700" max="2700" width="22.42578125" bestFit="1" customWidth="1"/>
    <col min="2701" max="2701" width="26" bestFit="1" customWidth="1"/>
    <col min="2702" max="2702" width="18.28515625" bestFit="1" customWidth="1"/>
    <col min="2703" max="2703" width="22.42578125" bestFit="1" customWidth="1"/>
    <col min="2704" max="2704" width="26" bestFit="1" customWidth="1"/>
    <col min="2705" max="2705" width="18.28515625" bestFit="1" customWidth="1"/>
    <col min="2706" max="2706" width="22.42578125" bestFit="1" customWidth="1"/>
    <col min="2707" max="2707" width="26" bestFit="1" customWidth="1"/>
    <col min="2708" max="2708" width="18.28515625" bestFit="1" customWidth="1"/>
    <col min="2709" max="2709" width="22.42578125" bestFit="1" customWidth="1"/>
    <col min="2710" max="2710" width="26" bestFit="1" customWidth="1"/>
    <col min="2711" max="2711" width="18.28515625" bestFit="1" customWidth="1"/>
    <col min="2712" max="2712" width="22.42578125" bestFit="1" customWidth="1"/>
    <col min="2713" max="2713" width="26" bestFit="1" customWidth="1"/>
    <col min="2714" max="2714" width="18.28515625" bestFit="1" customWidth="1"/>
    <col min="2715" max="2715" width="22.42578125" bestFit="1" customWidth="1"/>
    <col min="2716" max="2716" width="26" bestFit="1" customWidth="1"/>
    <col min="2717" max="2717" width="18.28515625" bestFit="1" customWidth="1"/>
    <col min="2718" max="2718" width="22.42578125" bestFit="1" customWidth="1"/>
    <col min="2719" max="2719" width="26" bestFit="1" customWidth="1"/>
    <col min="2720" max="2720" width="18.28515625" bestFit="1" customWidth="1"/>
    <col min="2721" max="2721" width="22.42578125" bestFit="1" customWidth="1"/>
    <col min="2722" max="2722" width="26" bestFit="1" customWidth="1"/>
    <col min="2723" max="2723" width="18.28515625" bestFit="1" customWidth="1"/>
    <col min="2724" max="2724" width="22.42578125" bestFit="1" customWidth="1"/>
    <col min="2725" max="2725" width="26" bestFit="1" customWidth="1"/>
    <col min="2726" max="2726" width="18.28515625" bestFit="1" customWidth="1"/>
    <col min="2727" max="2727" width="22.42578125" bestFit="1" customWidth="1"/>
    <col min="2728" max="2728" width="26" bestFit="1" customWidth="1"/>
    <col min="2729" max="2729" width="18.28515625" bestFit="1" customWidth="1"/>
    <col min="2730" max="2730" width="22.42578125" bestFit="1" customWidth="1"/>
    <col min="2731" max="2731" width="26" bestFit="1" customWidth="1"/>
    <col min="2732" max="2732" width="18.28515625" bestFit="1" customWidth="1"/>
    <col min="2733" max="2733" width="22.42578125" bestFit="1" customWidth="1"/>
    <col min="2734" max="2734" width="26" bestFit="1" customWidth="1"/>
    <col min="2735" max="2735" width="18.28515625" bestFit="1" customWidth="1"/>
    <col min="2736" max="2736" width="22.42578125" bestFit="1" customWidth="1"/>
    <col min="2737" max="2737" width="26" bestFit="1" customWidth="1"/>
    <col min="2738" max="2738" width="18.28515625" bestFit="1" customWidth="1"/>
    <col min="2739" max="2739" width="22.42578125" bestFit="1" customWidth="1"/>
    <col min="2740" max="2740" width="26" bestFit="1" customWidth="1"/>
    <col min="2741" max="2741" width="18.28515625" bestFit="1" customWidth="1"/>
    <col min="2742" max="2742" width="22.42578125" bestFit="1" customWidth="1"/>
    <col min="2743" max="2743" width="26" bestFit="1" customWidth="1"/>
    <col min="2744" max="2744" width="18.28515625" bestFit="1" customWidth="1"/>
    <col min="2745" max="2745" width="22.42578125" bestFit="1" customWidth="1"/>
    <col min="2746" max="2746" width="26" bestFit="1" customWidth="1"/>
    <col min="2747" max="2747" width="18.28515625" bestFit="1" customWidth="1"/>
    <col min="2748" max="2748" width="22.42578125" bestFit="1" customWidth="1"/>
    <col min="2749" max="2749" width="26" bestFit="1" customWidth="1"/>
    <col min="2750" max="2750" width="18.28515625" bestFit="1" customWidth="1"/>
    <col min="2751" max="2751" width="22.42578125" bestFit="1" customWidth="1"/>
    <col min="2752" max="2752" width="26" bestFit="1" customWidth="1"/>
    <col min="2753" max="2753" width="18.28515625" bestFit="1" customWidth="1"/>
    <col min="2754" max="2754" width="22.42578125" bestFit="1" customWidth="1"/>
    <col min="2755" max="2755" width="26" bestFit="1" customWidth="1"/>
    <col min="2756" max="2756" width="18.28515625" bestFit="1" customWidth="1"/>
    <col min="2757" max="2757" width="22.42578125" bestFit="1" customWidth="1"/>
    <col min="2758" max="2758" width="26" bestFit="1" customWidth="1"/>
    <col min="2759" max="2759" width="18.28515625" bestFit="1" customWidth="1"/>
    <col min="2760" max="2760" width="22.42578125" bestFit="1" customWidth="1"/>
    <col min="2761" max="2761" width="26" bestFit="1" customWidth="1"/>
    <col min="2762" max="2762" width="18.28515625" bestFit="1" customWidth="1"/>
    <col min="2763" max="2763" width="22.42578125" bestFit="1" customWidth="1"/>
    <col min="2764" max="2764" width="26" bestFit="1" customWidth="1"/>
    <col min="2765" max="2765" width="18.28515625" bestFit="1" customWidth="1"/>
    <col min="2766" max="2766" width="22.42578125" bestFit="1" customWidth="1"/>
    <col min="2767" max="2767" width="26" bestFit="1" customWidth="1"/>
    <col min="2768" max="2768" width="18.28515625" bestFit="1" customWidth="1"/>
    <col min="2769" max="2769" width="22.42578125" bestFit="1" customWidth="1"/>
    <col min="2770" max="2770" width="26" bestFit="1" customWidth="1"/>
    <col min="2771" max="2771" width="18.28515625" bestFit="1" customWidth="1"/>
    <col min="2772" max="2772" width="22.42578125" bestFit="1" customWidth="1"/>
    <col min="2773" max="2773" width="26" bestFit="1" customWidth="1"/>
    <col min="2774" max="2774" width="18.28515625" bestFit="1" customWidth="1"/>
    <col min="2775" max="2775" width="22.42578125" bestFit="1" customWidth="1"/>
    <col min="2776" max="2776" width="26" bestFit="1" customWidth="1"/>
    <col min="2777" max="2777" width="18.28515625" bestFit="1" customWidth="1"/>
    <col min="2778" max="2778" width="22.42578125" bestFit="1" customWidth="1"/>
    <col min="2779" max="2779" width="26" bestFit="1" customWidth="1"/>
    <col min="2780" max="2780" width="18.28515625" bestFit="1" customWidth="1"/>
    <col min="2781" max="2781" width="22.42578125" bestFit="1" customWidth="1"/>
    <col min="2782" max="2782" width="26" bestFit="1" customWidth="1"/>
    <col min="2783" max="2783" width="18.28515625" bestFit="1" customWidth="1"/>
    <col min="2784" max="2784" width="22.42578125" bestFit="1" customWidth="1"/>
    <col min="2785" max="2785" width="26" bestFit="1" customWidth="1"/>
    <col min="2786" max="2786" width="18.28515625" bestFit="1" customWidth="1"/>
    <col min="2787" max="2787" width="22.42578125" bestFit="1" customWidth="1"/>
    <col min="2788" max="2788" width="26" bestFit="1" customWidth="1"/>
    <col min="2789" max="2789" width="18.28515625" bestFit="1" customWidth="1"/>
    <col min="2790" max="2790" width="22.42578125" bestFit="1" customWidth="1"/>
    <col min="2791" max="2791" width="26" bestFit="1" customWidth="1"/>
    <col min="2792" max="2792" width="18.28515625" bestFit="1" customWidth="1"/>
    <col min="2793" max="2793" width="22.42578125" bestFit="1" customWidth="1"/>
    <col min="2794" max="2794" width="26" bestFit="1" customWidth="1"/>
    <col min="2795" max="2795" width="18.28515625" bestFit="1" customWidth="1"/>
    <col min="2796" max="2796" width="22.42578125" bestFit="1" customWidth="1"/>
    <col min="2797" max="2797" width="26" bestFit="1" customWidth="1"/>
    <col min="2798" max="2798" width="18.28515625" bestFit="1" customWidth="1"/>
    <col min="2799" max="2799" width="22.42578125" bestFit="1" customWidth="1"/>
    <col min="2800" max="2800" width="26" bestFit="1" customWidth="1"/>
    <col min="2801" max="2801" width="18.28515625" bestFit="1" customWidth="1"/>
    <col min="2802" max="2802" width="22.42578125" bestFit="1" customWidth="1"/>
    <col min="2803" max="2803" width="26" bestFit="1" customWidth="1"/>
    <col min="2804" max="2804" width="18.28515625" bestFit="1" customWidth="1"/>
    <col min="2805" max="2805" width="22.42578125" bestFit="1" customWidth="1"/>
    <col min="2806" max="2806" width="26" bestFit="1" customWidth="1"/>
    <col min="2807" max="2807" width="18.28515625" bestFit="1" customWidth="1"/>
    <col min="2808" max="2808" width="22.42578125" bestFit="1" customWidth="1"/>
    <col min="2809" max="2809" width="26" bestFit="1" customWidth="1"/>
    <col min="2810" max="2810" width="18.28515625" bestFit="1" customWidth="1"/>
    <col min="2811" max="2811" width="22.42578125" bestFit="1" customWidth="1"/>
    <col min="2812" max="2812" width="26" bestFit="1" customWidth="1"/>
    <col min="2813" max="2813" width="18.28515625" bestFit="1" customWidth="1"/>
    <col min="2814" max="2814" width="22.42578125" bestFit="1" customWidth="1"/>
    <col min="2815" max="2815" width="26" bestFit="1" customWidth="1"/>
    <col min="2816" max="2816" width="18.28515625" bestFit="1" customWidth="1"/>
    <col min="2817" max="2817" width="22.42578125" bestFit="1" customWidth="1"/>
    <col min="2818" max="2818" width="26" bestFit="1" customWidth="1"/>
    <col min="2819" max="2819" width="18.28515625" bestFit="1" customWidth="1"/>
    <col min="2820" max="2820" width="22.42578125" bestFit="1" customWidth="1"/>
    <col min="2821" max="2821" width="26" bestFit="1" customWidth="1"/>
    <col min="2822" max="2822" width="18.28515625" bestFit="1" customWidth="1"/>
    <col min="2823" max="2823" width="22.42578125" bestFit="1" customWidth="1"/>
    <col min="2824" max="2824" width="26" bestFit="1" customWidth="1"/>
    <col min="2825" max="2825" width="18.28515625" bestFit="1" customWidth="1"/>
    <col min="2826" max="2826" width="22.42578125" bestFit="1" customWidth="1"/>
    <col min="2827" max="2827" width="26" bestFit="1" customWidth="1"/>
    <col min="2828" max="2828" width="18.28515625" bestFit="1" customWidth="1"/>
    <col min="2829" max="2829" width="22.42578125" bestFit="1" customWidth="1"/>
    <col min="2830" max="2830" width="26" bestFit="1" customWidth="1"/>
    <col min="2831" max="2831" width="18.28515625" bestFit="1" customWidth="1"/>
    <col min="2832" max="2832" width="22.42578125" bestFit="1" customWidth="1"/>
    <col min="2833" max="2833" width="26" bestFit="1" customWidth="1"/>
    <col min="2834" max="2834" width="18.28515625" bestFit="1" customWidth="1"/>
    <col min="2835" max="2835" width="22.42578125" bestFit="1" customWidth="1"/>
    <col min="2836" max="2836" width="26" bestFit="1" customWidth="1"/>
    <col min="2837" max="2837" width="18.28515625" bestFit="1" customWidth="1"/>
    <col min="2838" max="2838" width="22.42578125" bestFit="1" customWidth="1"/>
    <col min="2839" max="2839" width="26" bestFit="1" customWidth="1"/>
    <col min="2840" max="2840" width="18.28515625" bestFit="1" customWidth="1"/>
    <col min="2841" max="2841" width="22.42578125" bestFit="1" customWidth="1"/>
    <col min="2842" max="2842" width="26" bestFit="1" customWidth="1"/>
    <col min="2843" max="2843" width="18.28515625" bestFit="1" customWidth="1"/>
    <col min="2844" max="2844" width="22.42578125" bestFit="1" customWidth="1"/>
    <col min="2845" max="2845" width="26" bestFit="1" customWidth="1"/>
    <col min="2846" max="2846" width="18.28515625" bestFit="1" customWidth="1"/>
    <col min="2847" max="2847" width="22.42578125" bestFit="1" customWidth="1"/>
    <col min="2848" max="2848" width="26" bestFit="1" customWidth="1"/>
    <col min="2849" max="2849" width="18.28515625" bestFit="1" customWidth="1"/>
    <col min="2850" max="2850" width="22.42578125" bestFit="1" customWidth="1"/>
    <col min="2851" max="2851" width="26" bestFit="1" customWidth="1"/>
    <col min="2852" max="2852" width="18.28515625" bestFit="1" customWidth="1"/>
    <col min="2853" max="2853" width="22.42578125" bestFit="1" customWidth="1"/>
    <col min="2854" max="2854" width="26" bestFit="1" customWidth="1"/>
    <col min="2855" max="2855" width="18.28515625" bestFit="1" customWidth="1"/>
    <col min="2856" max="2856" width="22.42578125" bestFit="1" customWidth="1"/>
    <col min="2857" max="2857" width="26" bestFit="1" customWidth="1"/>
    <col min="2858" max="2858" width="18.28515625" bestFit="1" customWidth="1"/>
    <col min="2859" max="2859" width="22.42578125" bestFit="1" customWidth="1"/>
    <col min="2860" max="2860" width="26" bestFit="1" customWidth="1"/>
    <col min="2861" max="2861" width="18.28515625" bestFit="1" customWidth="1"/>
    <col min="2862" max="2862" width="22.42578125" bestFit="1" customWidth="1"/>
    <col min="2863" max="2863" width="26" bestFit="1" customWidth="1"/>
    <col min="2864" max="2864" width="18.28515625" bestFit="1" customWidth="1"/>
    <col min="2865" max="2865" width="22.42578125" bestFit="1" customWidth="1"/>
    <col min="2866" max="2866" width="26" bestFit="1" customWidth="1"/>
    <col min="2867" max="2867" width="18.28515625" bestFit="1" customWidth="1"/>
    <col min="2868" max="2868" width="22.42578125" bestFit="1" customWidth="1"/>
    <col min="2869" max="2869" width="26" bestFit="1" customWidth="1"/>
    <col min="2870" max="2870" width="18.28515625" bestFit="1" customWidth="1"/>
    <col min="2871" max="2871" width="22.42578125" bestFit="1" customWidth="1"/>
    <col min="2872" max="2872" width="26" bestFit="1" customWidth="1"/>
    <col min="2873" max="2873" width="18.28515625" bestFit="1" customWidth="1"/>
    <col min="2874" max="2874" width="22.42578125" bestFit="1" customWidth="1"/>
    <col min="2875" max="2875" width="26" bestFit="1" customWidth="1"/>
    <col min="2876" max="2876" width="18.28515625" bestFit="1" customWidth="1"/>
    <col min="2877" max="2877" width="22.42578125" bestFit="1" customWidth="1"/>
    <col min="2878" max="2878" width="26" bestFit="1" customWidth="1"/>
    <col min="2879" max="2879" width="18.28515625" bestFit="1" customWidth="1"/>
    <col min="2880" max="2880" width="22.42578125" bestFit="1" customWidth="1"/>
    <col min="2881" max="2881" width="26" bestFit="1" customWidth="1"/>
    <col min="2882" max="2882" width="18.28515625" bestFit="1" customWidth="1"/>
    <col min="2883" max="2883" width="22.42578125" bestFit="1" customWidth="1"/>
    <col min="2884" max="2884" width="26" bestFit="1" customWidth="1"/>
    <col min="2885" max="2885" width="18.28515625" bestFit="1" customWidth="1"/>
    <col min="2886" max="2886" width="22.42578125" bestFit="1" customWidth="1"/>
    <col min="2887" max="2887" width="26" bestFit="1" customWidth="1"/>
    <col min="2888" max="2888" width="18.28515625" bestFit="1" customWidth="1"/>
    <col min="2889" max="2889" width="22.42578125" bestFit="1" customWidth="1"/>
    <col min="2890" max="2890" width="26" bestFit="1" customWidth="1"/>
    <col min="2891" max="2891" width="18.28515625" bestFit="1" customWidth="1"/>
    <col min="2892" max="2892" width="22.42578125" bestFit="1" customWidth="1"/>
    <col min="2893" max="2893" width="26" bestFit="1" customWidth="1"/>
    <col min="2894" max="2894" width="18.28515625" bestFit="1" customWidth="1"/>
    <col min="2895" max="2895" width="22.42578125" bestFit="1" customWidth="1"/>
    <col min="2896" max="2896" width="26" bestFit="1" customWidth="1"/>
    <col min="2897" max="2897" width="18.28515625" bestFit="1" customWidth="1"/>
    <col min="2898" max="2898" width="22.42578125" bestFit="1" customWidth="1"/>
    <col min="2899" max="2899" width="26" bestFit="1" customWidth="1"/>
    <col min="2900" max="2900" width="18.28515625" bestFit="1" customWidth="1"/>
    <col min="2901" max="2901" width="22.42578125" bestFit="1" customWidth="1"/>
    <col min="2902" max="2902" width="26" bestFit="1" customWidth="1"/>
    <col min="2903" max="2903" width="18.28515625" bestFit="1" customWidth="1"/>
    <col min="2904" max="2904" width="22.42578125" bestFit="1" customWidth="1"/>
    <col min="2905" max="2905" width="26" bestFit="1" customWidth="1"/>
    <col min="2906" max="2906" width="18.28515625" bestFit="1" customWidth="1"/>
    <col min="2907" max="2907" width="22.42578125" bestFit="1" customWidth="1"/>
    <col min="2908" max="2908" width="26" bestFit="1" customWidth="1"/>
    <col min="2909" max="2909" width="18.28515625" bestFit="1" customWidth="1"/>
    <col min="2910" max="2910" width="22.42578125" bestFit="1" customWidth="1"/>
    <col min="2911" max="2911" width="26" bestFit="1" customWidth="1"/>
    <col min="2912" max="2912" width="18.28515625" bestFit="1" customWidth="1"/>
    <col min="2913" max="2913" width="22.42578125" bestFit="1" customWidth="1"/>
    <col min="2914" max="2914" width="26" bestFit="1" customWidth="1"/>
    <col min="2915" max="2915" width="18.28515625" bestFit="1" customWidth="1"/>
    <col min="2916" max="2916" width="22.42578125" bestFit="1" customWidth="1"/>
    <col min="2917" max="2917" width="26" bestFit="1" customWidth="1"/>
    <col min="2918" max="2918" width="18.28515625" bestFit="1" customWidth="1"/>
    <col min="2919" max="2919" width="22.42578125" bestFit="1" customWidth="1"/>
    <col min="2920" max="2920" width="26" bestFit="1" customWidth="1"/>
    <col min="2921" max="2921" width="18.28515625" bestFit="1" customWidth="1"/>
    <col min="2922" max="2922" width="22.42578125" bestFit="1" customWidth="1"/>
    <col min="2923" max="2923" width="26" bestFit="1" customWidth="1"/>
    <col min="2924" max="2924" width="18.28515625" bestFit="1" customWidth="1"/>
    <col min="2925" max="2925" width="22.42578125" bestFit="1" customWidth="1"/>
    <col min="2926" max="2926" width="26" bestFit="1" customWidth="1"/>
    <col min="2927" max="2927" width="18.28515625" bestFit="1" customWidth="1"/>
    <col min="2928" max="2928" width="22.42578125" bestFit="1" customWidth="1"/>
    <col min="2929" max="2929" width="26" bestFit="1" customWidth="1"/>
    <col min="2930" max="2930" width="18.28515625" bestFit="1" customWidth="1"/>
    <col min="2931" max="2931" width="22.42578125" bestFit="1" customWidth="1"/>
    <col min="2932" max="2932" width="26" bestFit="1" customWidth="1"/>
    <col min="2933" max="2933" width="18.28515625" bestFit="1" customWidth="1"/>
    <col min="2934" max="2934" width="22.42578125" bestFit="1" customWidth="1"/>
    <col min="2935" max="2935" width="26" bestFit="1" customWidth="1"/>
    <col min="2936" max="2936" width="18.28515625" bestFit="1" customWidth="1"/>
    <col min="2937" max="2937" width="22.42578125" bestFit="1" customWidth="1"/>
    <col min="2938" max="2938" width="26" bestFit="1" customWidth="1"/>
    <col min="2939" max="2939" width="18.28515625" bestFit="1" customWidth="1"/>
    <col min="2940" max="2940" width="22.42578125" bestFit="1" customWidth="1"/>
    <col min="2941" max="2941" width="26" bestFit="1" customWidth="1"/>
    <col min="2942" max="2942" width="18.28515625" bestFit="1" customWidth="1"/>
    <col min="2943" max="2943" width="22.42578125" bestFit="1" customWidth="1"/>
    <col min="2944" max="2944" width="26" bestFit="1" customWidth="1"/>
    <col min="2945" max="2945" width="18.28515625" bestFit="1" customWidth="1"/>
    <col min="2946" max="2946" width="22.42578125" bestFit="1" customWidth="1"/>
    <col min="2947" max="2947" width="26" bestFit="1" customWidth="1"/>
    <col min="2948" max="2948" width="18.28515625" bestFit="1" customWidth="1"/>
    <col min="2949" max="2949" width="22.42578125" bestFit="1" customWidth="1"/>
    <col min="2950" max="2950" width="26" bestFit="1" customWidth="1"/>
    <col min="2951" max="2951" width="18.28515625" bestFit="1" customWidth="1"/>
    <col min="2952" max="2952" width="22.42578125" bestFit="1" customWidth="1"/>
    <col min="2953" max="2953" width="26" bestFit="1" customWidth="1"/>
    <col min="2954" max="2954" width="18.28515625" bestFit="1" customWidth="1"/>
    <col min="2955" max="2955" width="22.42578125" bestFit="1" customWidth="1"/>
    <col min="2956" max="2956" width="26" bestFit="1" customWidth="1"/>
    <col min="2957" max="2957" width="18.28515625" bestFit="1" customWidth="1"/>
    <col min="2958" max="2958" width="22.42578125" bestFit="1" customWidth="1"/>
    <col min="2959" max="2959" width="26" bestFit="1" customWidth="1"/>
    <col min="2960" max="2960" width="18.28515625" bestFit="1" customWidth="1"/>
    <col min="2961" max="2961" width="22.42578125" bestFit="1" customWidth="1"/>
    <col min="2962" max="2962" width="26" bestFit="1" customWidth="1"/>
    <col min="2963" max="2963" width="18.28515625" bestFit="1" customWidth="1"/>
    <col min="2964" max="2964" width="22.42578125" bestFit="1" customWidth="1"/>
    <col min="2965" max="2965" width="26" bestFit="1" customWidth="1"/>
    <col min="2966" max="2966" width="18.28515625" bestFit="1" customWidth="1"/>
    <col min="2967" max="2967" width="22.42578125" bestFit="1" customWidth="1"/>
    <col min="2968" max="2968" width="26" bestFit="1" customWidth="1"/>
    <col min="2969" max="2969" width="18.28515625" bestFit="1" customWidth="1"/>
    <col min="2970" max="2970" width="22.42578125" bestFit="1" customWidth="1"/>
    <col min="2971" max="2971" width="26" bestFit="1" customWidth="1"/>
    <col min="2972" max="2972" width="18.28515625" bestFit="1" customWidth="1"/>
    <col min="2973" max="2973" width="22.42578125" bestFit="1" customWidth="1"/>
    <col min="2974" max="2974" width="26" bestFit="1" customWidth="1"/>
    <col min="2975" max="2975" width="18.28515625" bestFit="1" customWidth="1"/>
    <col min="2976" max="2976" width="22.42578125" bestFit="1" customWidth="1"/>
    <col min="2977" max="2977" width="26" bestFit="1" customWidth="1"/>
    <col min="2978" max="2978" width="18.28515625" bestFit="1" customWidth="1"/>
    <col min="2979" max="2979" width="22.42578125" bestFit="1" customWidth="1"/>
    <col min="2980" max="2980" width="26" bestFit="1" customWidth="1"/>
    <col min="2981" max="2981" width="18.28515625" bestFit="1" customWidth="1"/>
    <col min="2982" max="2982" width="22.42578125" bestFit="1" customWidth="1"/>
    <col min="2983" max="2983" width="26" bestFit="1" customWidth="1"/>
    <col min="2984" max="2984" width="18.28515625" bestFit="1" customWidth="1"/>
    <col min="2985" max="2985" width="22.42578125" bestFit="1" customWidth="1"/>
    <col min="2986" max="2986" width="26" bestFit="1" customWidth="1"/>
    <col min="2987" max="2987" width="18.28515625" bestFit="1" customWidth="1"/>
    <col min="2988" max="2988" width="22.42578125" bestFit="1" customWidth="1"/>
    <col min="2989" max="2989" width="26" bestFit="1" customWidth="1"/>
    <col min="2990" max="2990" width="18.28515625" bestFit="1" customWidth="1"/>
    <col min="2991" max="2991" width="22.42578125" bestFit="1" customWidth="1"/>
    <col min="2992" max="2992" width="26" bestFit="1" customWidth="1"/>
    <col min="2993" max="2993" width="18.28515625" bestFit="1" customWidth="1"/>
    <col min="2994" max="2994" width="22.42578125" bestFit="1" customWidth="1"/>
    <col min="2995" max="2995" width="26" bestFit="1" customWidth="1"/>
    <col min="2996" max="2996" width="18.28515625" bestFit="1" customWidth="1"/>
    <col min="2997" max="2997" width="22.42578125" bestFit="1" customWidth="1"/>
    <col min="2998" max="2998" width="26" bestFit="1" customWidth="1"/>
    <col min="2999" max="2999" width="18.28515625" bestFit="1" customWidth="1"/>
    <col min="3000" max="3000" width="22.42578125" bestFit="1" customWidth="1"/>
    <col min="3001" max="3001" width="26" bestFit="1" customWidth="1"/>
    <col min="3002" max="3002" width="18.28515625" bestFit="1" customWidth="1"/>
    <col min="3003" max="3003" width="22.42578125" bestFit="1" customWidth="1"/>
    <col min="3004" max="3004" width="26" bestFit="1" customWidth="1"/>
    <col min="3005" max="3005" width="18.28515625" bestFit="1" customWidth="1"/>
    <col min="3006" max="3006" width="22.42578125" bestFit="1" customWidth="1"/>
    <col min="3007" max="3007" width="26" bestFit="1" customWidth="1"/>
    <col min="3008" max="3008" width="18.28515625" bestFit="1" customWidth="1"/>
    <col min="3009" max="3009" width="22.42578125" bestFit="1" customWidth="1"/>
    <col min="3010" max="3010" width="26" bestFit="1" customWidth="1"/>
    <col min="3011" max="3011" width="18.28515625" bestFit="1" customWidth="1"/>
    <col min="3012" max="3012" width="22.42578125" bestFit="1" customWidth="1"/>
    <col min="3013" max="3013" width="26" bestFit="1" customWidth="1"/>
    <col min="3014" max="3014" width="18.28515625" bestFit="1" customWidth="1"/>
    <col min="3015" max="3015" width="22.42578125" bestFit="1" customWidth="1"/>
    <col min="3016" max="3016" width="26" bestFit="1" customWidth="1"/>
    <col min="3017" max="3017" width="18.28515625" bestFit="1" customWidth="1"/>
    <col min="3018" max="3018" width="22.42578125" bestFit="1" customWidth="1"/>
    <col min="3019" max="3019" width="26" bestFit="1" customWidth="1"/>
    <col min="3020" max="3020" width="18.28515625" bestFit="1" customWidth="1"/>
    <col min="3021" max="3021" width="22.42578125" bestFit="1" customWidth="1"/>
    <col min="3022" max="3022" width="26" bestFit="1" customWidth="1"/>
    <col min="3023" max="3023" width="18.28515625" bestFit="1" customWidth="1"/>
    <col min="3024" max="3024" width="22.42578125" bestFit="1" customWidth="1"/>
    <col min="3025" max="3025" width="26" bestFit="1" customWidth="1"/>
    <col min="3026" max="3026" width="18.28515625" bestFit="1" customWidth="1"/>
    <col min="3027" max="3027" width="22.42578125" bestFit="1" customWidth="1"/>
    <col min="3028" max="3028" width="26" bestFit="1" customWidth="1"/>
    <col min="3029" max="3029" width="18.28515625" bestFit="1" customWidth="1"/>
    <col min="3030" max="3030" width="22.42578125" bestFit="1" customWidth="1"/>
    <col min="3031" max="3031" width="26" bestFit="1" customWidth="1"/>
    <col min="3032" max="3032" width="18.28515625" bestFit="1" customWidth="1"/>
    <col min="3033" max="3033" width="22.42578125" bestFit="1" customWidth="1"/>
    <col min="3034" max="3034" width="26" bestFit="1" customWidth="1"/>
    <col min="3035" max="3035" width="18.28515625" bestFit="1" customWidth="1"/>
    <col min="3036" max="3036" width="22.42578125" bestFit="1" customWidth="1"/>
    <col min="3037" max="3037" width="26" bestFit="1" customWidth="1"/>
    <col min="3038" max="3038" width="18.28515625" bestFit="1" customWidth="1"/>
    <col min="3039" max="3039" width="22.42578125" bestFit="1" customWidth="1"/>
    <col min="3040" max="3040" width="26" bestFit="1" customWidth="1"/>
    <col min="3041" max="3041" width="18.28515625" bestFit="1" customWidth="1"/>
    <col min="3042" max="3042" width="22.42578125" bestFit="1" customWidth="1"/>
    <col min="3043" max="3043" width="26" bestFit="1" customWidth="1"/>
    <col min="3044" max="3044" width="18.28515625" bestFit="1" customWidth="1"/>
    <col min="3045" max="3045" width="22.42578125" bestFit="1" customWidth="1"/>
    <col min="3046" max="3046" width="26" bestFit="1" customWidth="1"/>
    <col min="3047" max="3047" width="18.28515625" bestFit="1" customWidth="1"/>
    <col min="3048" max="3048" width="22.42578125" bestFit="1" customWidth="1"/>
    <col min="3049" max="3049" width="26" bestFit="1" customWidth="1"/>
    <col min="3050" max="3050" width="18.28515625" bestFit="1" customWidth="1"/>
    <col min="3051" max="3051" width="22.42578125" bestFit="1" customWidth="1"/>
    <col min="3052" max="3052" width="26" bestFit="1" customWidth="1"/>
    <col min="3053" max="3053" width="18.28515625" bestFit="1" customWidth="1"/>
    <col min="3054" max="3054" width="22.42578125" bestFit="1" customWidth="1"/>
    <col min="3055" max="3055" width="26" bestFit="1" customWidth="1"/>
    <col min="3056" max="3056" width="18.28515625" bestFit="1" customWidth="1"/>
    <col min="3057" max="3057" width="22.42578125" bestFit="1" customWidth="1"/>
    <col min="3058" max="3058" width="26" bestFit="1" customWidth="1"/>
    <col min="3059" max="3059" width="18.28515625" bestFit="1" customWidth="1"/>
    <col min="3060" max="3060" width="22.42578125" bestFit="1" customWidth="1"/>
    <col min="3061" max="3061" width="26" bestFit="1" customWidth="1"/>
    <col min="3062" max="3062" width="18.28515625" bestFit="1" customWidth="1"/>
    <col min="3063" max="3063" width="22.42578125" bestFit="1" customWidth="1"/>
    <col min="3064" max="3064" width="26" bestFit="1" customWidth="1"/>
    <col min="3065" max="3065" width="18.28515625" bestFit="1" customWidth="1"/>
    <col min="3066" max="3066" width="22.42578125" bestFit="1" customWidth="1"/>
    <col min="3067" max="3067" width="26" bestFit="1" customWidth="1"/>
    <col min="3068" max="3068" width="18.28515625" bestFit="1" customWidth="1"/>
    <col min="3069" max="3069" width="22.42578125" bestFit="1" customWidth="1"/>
    <col min="3070" max="3070" width="26" bestFit="1" customWidth="1"/>
    <col min="3071" max="3071" width="18.28515625" bestFit="1" customWidth="1"/>
    <col min="3072" max="3072" width="22.42578125" bestFit="1" customWidth="1"/>
    <col min="3073" max="3073" width="26" bestFit="1" customWidth="1"/>
    <col min="3074" max="3074" width="18.28515625" bestFit="1" customWidth="1"/>
    <col min="3075" max="3075" width="22.42578125" bestFit="1" customWidth="1"/>
    <col min="3076" max="3076" width="26" bestFit="1" customWidth="1"/>
    <col min="3077" max="3077" width="18.28515625" bestFit="1" customWidth="1"/>
    <col min="3078" max="3078" width="22.42578125" bestFit="1" customWidth="1"/>
    <col min="3079" max="3079" width="26" bestFit="1" customWidth="1"/>
    <col min="3080" max="3080" width="18.28515625" bestFit="1" customWidth="1"/>
    <col min="3081" max="3081" width="22.42578125" bestFit="1" customWidth="1"/>
    <col min="3082" max="3082" width="26" bestFit="1" customWidth="1"/>
    <col min="3083" max="3083" width="18.28515625" bestFit="1" customWidth="1"/>
    <col min="3084" max="3084" width="22.42578125" bestFit="1" customWidth="1"/>
    <col min="3085" max="3085" width="26" bestFit="1" customWidth="1"/>
    <col min="3086" max="3086" width="18.28515625" bestFit="1" customWidth="1"/>
    <col min="3087" max="3087" width="22.42578125" bestFit="1" customWidth="1"/>
    <col min="3088" max="3088" width="26" bestFit="1" customWidth="1"/>
    <col min="3089" max="3089" width="18.28515625" bestFit="1" customWidth="1"/>
    <col min="3090" max="3090" width="22.42578125" bestFit="1" customWidth="1"/>
    <col min="3091" max="3091" width="26" bestFit="1" customWidth="1"/>
    <col min="3092" max="3092" width="18.28515625" bestFit="1" customWidth="1"/>
    <col min="3093" max="3093" width="22.42578125" bestFit="1" customWidth="1"/>
    <col min="3094" max="3094" width="26" bestFit="1" customWidth="1"/>
    <col min="3095" max="3095" width="18.28515625" bestFit="1" customWidth="1"/>
    <col min="3096" max="3096" width="22.42578125" bestFit="1" customWidth="1"/>
    <col min="3097" max="3097" width="26" bestFit="1" customWidth="1"/>
    <col min="3098" max="3098" width="18.28515625" bestFit="1" customWidth="1"/>
    <col min="3099" max="3099" width="22.42578125" bestFit="1" customWidth="1"/>
    <col min="3100" max="3100" width="26" bestFit="1" customWidth="1"/>
    <col min="3101" max="3101" width="18.28515625" bestFit="1" customWidth="1"/>
    <col min="3102" max="3102" width="22.42578125" bestFit="1" customWidth="1"/>
    <col min="3103" max="3103" width="26" bestFit="1" customWidth="1"/>
    <col min="3104" max="3104" width="18.28515625" bestFit="1" customWidth="1"/>
    <col min="3105" max="3105" width="22.42578125" bestFit="1" customWidth="1"/>
    <col min="3106" max="3106" width="26" bestFit="1" customWidth="1"/>
    <col min="3107" max="3107" width="18.28515625" bestFit="1" customWidth="1"/>
    <col min="3108" max="3108" width="22.42578125" bestFit="1" customWidth="1"/>
    <col min="3109" max="3109" width="26" bestFit="1" customWidth="1"/>
    <col min="3110" max="3110" width="18.28515625" bestFit="1" customWidth="1"/>
    <col min="3111" max="3111" width="22.42578125" bestFit="1" customWidth="1"/>
    <col min="3112" max="3112" width="26" bestFit="1" customWidth="1"/>
    <col min="3113" max="3113" width="18.28515625" bestFit="1" customWidth="1"/>
    <col min="3114" max="3114" width="22.42578125" bestFit="1" customWidth="1"/>
    <col min="3115" max="3115" width="26" bestFit="1" customWidth="1"/>
    <col min="3116" max="3116" width="18.28515625" bestFit="1" customWidth="1"/>
    <col min="3117" max="3117" width="22.42578125" bestFit="1" customWidth="1"/>
    <col min="3118" max="3118" width="26" bestFit="1" customWidth="1"/>
    <col min="3119" max="3119" width="18.28515625" bestFit="1" customWidth="1"/>
    <col min="3120" max="3120" width="22.42578125" bestFit="1" customWidth="1"/>
    <col min="3121" max="3121" width="26" bestFit="1" customWidth="1"/>
    <col min="3122" max="3122" width="18.28515625" bestFit="1" customWidth="1"/>
    <col min="3123" max="3123" width="22.42578125" bestFit="1" customWidth="1"/>
    <col min="3124" max="3124" width="26" bestFit="1" customWidth="1"/>
    <col min="3125" max="3125" width="18.28515625" bestFit="1" customWidth="1"/>
    <col min="3126" max="3126" width="22.42578125" bestFit="1" customWidth="1"/>
    <col min="3127" max="3127" width="26" bestFit="1" customWidth="1"/>
    <col min="3128" max="3128" width="18.28515625" bestFit="1" customWidth="1"/>
    <col min="3129" max="3129" width="22.42578125" bestFit="1" customWidth="1"/>
    <col min="3130" max="3130" width="26" bestFit="1" customWidth="1"/>
    <col min="3131" max="3131" width="18.28515625" bestFit="1" customWidth="1"/>
    <col min="3132" max="3132" width="22.42578125" bestFit="1" customWidth="1"/>
    <col min="3133" max="3133" width="26" bestFit="1" customWidth="1"/>
    <col min="3134" max="3134" width="18.28515625" bestFit="1" customWidth="1"/>
    <col min="3135" max="3135" width="22.42578125" bestFit="1" customWidth="1"/>
    <col min="3136" max="3136" width="26" bestFit="1" customWidth="1"/>
    <col min="3137" max="3137" width="18.28515625" bestFit="1" customWidth="1"/>
    <col min="3138" max="3138" width="22.42578125" bestFit="1" customWidth="1"/>
    <col min="3139" max="3139" width="26" bestFit="1" customWidth="1"/>
    <col min="3140" max="3140" width="18.28515625" bestFit="1" customWidth="1"/>
    <col min="3141" max="3141" width="22.42578125" bestFit="1" customWidth="1"/>
    <col min="3142" max="3142" width="26" bestFit="1" customWidth="1"/>
    <col min="3143" max="3143" width="18.28515625" bestFit="1" customWidth="1"/>
    <col min="3144" max="3144" width="22.42578125" bestFit="1" customWidth="1"/>
    <col min="3145" max="3145" width="26" bestFit="1" customWidth="1"/>
    <col min="3146" max="3146" width="18.28515625" bestFit="1" customWidth="1"/>
    <col min="3147" max="3147" width="22.42578125" bestFit="1" customWidth="1"/>
    <col min="3148" max="3148" width="26" bestFit="1" customWidth="1"/>
    <col min="3149" max="3149" width="18.28515625" bestFit="1" customWidth="1"/>
    <col min="3150" max="3150" width="22.42578125" bestFit="1" customWidth="1"/>
    <col min="3151" max="3151" width="26" bestFit="1" customWidth="1"/>
    <col min="3152" max="3152" width="18.28515625" bestFit="1" customWidth="1"/>
    <col min="3153" max="3153" width="22.42578125" bestFit="1" customWidth="1"/>
    <col min="3154" max="3154" width="26" bestFit="1" customWidth="1"/>
    <col min="3155" max="3155" width="18.28515625" bestFit="1" customWidth="1"/>
    <col min="3156" max="3156" width="22.42578125" bestFit="1" customWidth="1"/>
    <col min="3157" max="3157" width="26" bestFit="1" customWidth="1"/>
    <col min="3158" max="3158" width="18.28515625" bestFit="1" customWidth="1"/>
    <col min="3159" max="3159" width="22.42578125" bestFit="1" customWidth="1"/>
    <col min="3160" max="3160" width="26" bestFit="1" customWidth="1"/>
    <col min="3161" max="3161" width="18.28515625" bestFit="1" customWidth="1"/>
    <col min="3162" max="3162" width="22.42578125" bestFit="1" customWidth="1"/>
    <col min="3163" max="3163" width="26" bestFit="1" customWidth="1"/>
    <col min="3164" max="3164" width="18.28515625" bestFit="1" customWidth="1"/>
    <col min="3165" max="3165" width="22.42578125" bestFit="1" customWidth="1"/>
    <col min="3166" max="3166" width="26" bestFit="1" customWidth="1"/>
    <col min="3167" max="3167" width="18.28515625" bestFit="1" customWidth="1"/>
    <col min="3168" max="3168" width="22.42578125" bestFit="1" customWidth="1"/>
    <col min="3169" max="3169" width="26" bestFit="1" customWidth="1"/>
    <col min="3170" max="3170" width="18.28515625" bestFit="1" customWidth="1"/>
    <col min="3171" max="3171" width="22.42578125" bestFit="1" customWidth="1"/>
    <col min="3172" max="3172" width="26" bestFit="1" customWidth="1"/>
    <col min="3173" max="3173" width="18.28515625" bestFit="1" customWidth="1"/>
    <col min="3174" max="3174" width="22.42578125" bestFit="1" customWidth="1"/>
    <col min="3175" max="3175" width="26" bestFit="1" customWidth="1"/>
    <col min="3176" max="3176" width="18.28515625" bestFit="1" customWidth="1"/>
    <col min="3177" max="3177" width="22.42578125" bestFit="1" customWidth="1"/>
    <col min="3178" max="3178" width="26" bestFit="1" customWidth="1"/>
    <col min="3179" max="3179" width="18.28515625" bestFit="1" customWidth="1"/>
    <col min="3180" max="3180" width="22.42578125" bestFit="1" customWidth="1"/>
    <col min="3181" max="3181" width="26" bestFit="1" customWidth="1"/>
    <col min="3182" max="3182" width="18.28515625" bestFit="1" customWidth="1"/>
    <col min="3183" max="3183" width="22.42578125" bestFit="1" customWidth="1"/>
    <col min="3184" max="3184" width="26" bestFit="1" customWidth="1"/>
    <col min="3185" max="3185" width="18.28515625" bestFit="1" customWidth="1"/>
    <col min="3186" max="3186" width="22.42578125" bestFit="1" customWidth="1"/>
    <col min="3187" max="3187" width="26" bestFit="1" customWidth="1"/>
    <col min="3188" max="3188" width="18.28515625" bestFit="1" customWidth="1"/>
    <col min="3189" max="3189" width="22.42578125" bestFit="1" customWidth="1"/>
    <col min="3190" max="3190" width="26" bestFit="1" customWidth="1"/>
    <col min="3191" max="3191" width="18.28515625" bestFit="1" customWidth="1"/>
    <col min="3192" max="3192" width="22.42578125" bestFit="1" customWidth="1"/>
    <col min="3193" max="3193" width="26" bestFit="1" customWidth="1"/>
    <col min="3194" max="3194" width="18.28515625" bestFit="1" customWidth="1"/>
    <col min="3195" max="3195" width="22.42578125" bestFit="1" customWidth="1"/>
    <col min="3196" max="3196" width="26" bestFit="1" customWidth="1"/>
    <col min="3197" max="3197" width="18.28515625" bestFit="1" customWidth="1"/>
    <col min="3198" max="3198" width="22.42578125" bestFit="1" customWidth="1"/>
    <col min="3199" max="3199" width="26" bestFit="1" customWidth="1"/>
    <col min="3200" max="3200" width="18.28515625" bestFit="1" customWidth="1"/>
    <col min="3201" max="3201" width="22.42578125" bestFit="1" customWidth="1"/>
    <col min="3202" max="3202" width="26" bestFit="1" customWidth="1"/>
    <col min="3203" max="3203" width="18.28515625" bestFit="1" customWidth="1"/>
    <col min="3204" max="3204" width="22.42578125" bestFit="1" customWidth="1"/>
    <col min="3205" max="3205" width="26" bestFit="1" customWidth="1"/>
    <col min="3206" max="3206" width="18.28515625" bestFit="1" customWidth="1"/>
    <col min="3207" max="3207" width="22.42578125" bestFit="1" customWidth="1"/>
    <col min="3208" max="3208" width="26" bestFit="1" customWidth="1"/>
    <col min="3209" max="3209" width="18.28515625" bestFit="1" customWidth="1"/>
    <col min="3210" max="3210" width="22.42578125" bestFit="1" customWidth="1"/>
    <col min="3211" max="3211" width="26" bestFit="1" customWidth="1"/>
    <col min="3212" max="3212" width="18.28515625" bestFit="1" customWidth="1"/>
    <col min="3213" max="3213" width="22.42578125" bestFit="1" customWidth="1"/>
    <col min="3214" max="3214" width="26" bestFit="1" customWidth="1"/>
    <col min="3215" max="3215" width="18.28515625" bestFit="1" customWidth="1"/>
    <col min="3216" max="3216" width="22.42578125" bestFit="1" customWidth="1"/>
    <col min="3217" max="3217" width="26" bestFit="1" customWidth="1"/>
    <col min="3218" max="3218" width="18.28515625" bestFit="1" customWidth="1"/>
    <col min="3219" max="3219" width="22.42578125" bestFit="1" customWidth="1"/>
    <col min="3220" max="3220" width="26" bestFit="1" customWidth="1"/>
    <col min="3221" max="3221" width="18.28515625" bestFit="1" customWidth="1"/>
    <col min="3222" max="3222" width="22.42578125" bestFit="1" customWidth="1"/>
    <col min="3223" max="3223" width="26" bestFit="1" customWidth="1"/>
    <col min="3224" max="3224" width="18.28515625" bestFit="1" customWidth="1"/>
    <col min="3225" max="3225" width="22.42578125" bestFit="1" customWidth="1"/>
    <col min="3226" max="3226" width="26" bestFit="1" customWidth="1"/>
    <col min="3227" max="3227" width="18.28515625" bestFit="1" customWidth="1"/>
    <col min="3228" max="3228" width="22.42578125" bestFit="1" customWidth="1"/>
    <col min="3229" max="3229" width="26" bestFit="1" customWidth="1"/>
    <col min="3230" max="3230" width="18.28515625" bestFit="1" customWidth="1"/>
    <col min="3231" max="3231" width="22.42578125" bestFit="1" customWidth="1"/>
    <col min="3232" max="3232" width="26" bestFit="1" customWidth="1"/>
    <col min="3233" max="3233" width="18.28515625" bestFit="1" customWidth="1"/>
    <col min="3234" max="3234" width="22.42578125" bestFit="1" customWidth="1"/>
    <col min="3235" max="3235" width="26" bestFit="1" customWidth="1"/>
    <col min="3236" max="3236" width="18.28515625" bestFit="1" customWidth="1"/>
    <col min="3237" max="3237" width="22.42578125" bestFit="1" customWidth="1"/>
    <col min="3238" max="3238" width="26" bestFit="1" customWidth="1"/>
    <col min="3239" max="3239" width="18.28515625" bestFit="1" customWidth="1"/>
    <col min="3240" max="3240" width="22.42578125" bestFit="1" customWidth="1"/>
    <col min="3241" max="3241" width="26" bestFit="1" customWidth="1"/>
    <col min="3242" max="3242" width="18.28515625" bestFit="1" customWidth="1"/>
    <col min="3243" max="3243" width="22.42578125" bestFit="1" customWidth="1"/>
    <col min="3244" max="3244" width="26" bestFit="1" customWidth="1"/>
    <col min="3245" max="3245" width="18.28515625" bestFit="1" customWidth="1"/>
    <col min="3246" max="3246" width="22.42578125" bestFit="1" customWidth="1"/>
    <col min="3247" max="3247" width="26" bestFit="1" customWidth="1"/>
    <col min="3248" max="3248" width="18.28515625" bestFit="1" customWidth="1"/>
    <col min="3249" max="3249" width="22.42578125" bestFit="1" customWidth="1"/>
    <col min="3250" max="3250" width="26" bestFit="1" customWidth="1"/>
    <col min="3251" max="3251" width="18.28515625" bestFit="1" customWidth="1"/>
    <col min="3252" max="3252" width="22.42578125" bestFit="1" customWidth="1"/>
    <col min="3253" max="3253" width="26" bestFit="1" customWidth="1"/>
    <col min="3254" max="3254" width="18.28515625" bestFit="1" customWidth="1"/>
    <col min="3255" max="3255" width="22.42578125" bestFit="1" customWidth="1"/>
    <col min="3256" max="3256" width="26" bestFit="1" customWidth="1"/>
    <col min="3257" max="3257" width="18.28515625" bestFit="1" customWidth="1"/>
    <col min="3258" max="3258" width="22.42578125" bestFit="1" customWidth="1"/>
    <col min="3259" max="3259" width="26" bestFit="1" customWidth="1"/>
    <col min="3260" max="3260" width="18.28515625" bestFit="1" customWidth="1"/>
    <col min="3261" max="3261" width="22.42578125" bestFit="1" customWidth="1"/>
    <col min="3262" max="3262" width="26" bestFit="1" customWidth="1"/>
    <col min="3263" max="3263" width="18.28515625" bestFit="1" customWidth="1"/>
    <col min="3264" max="3264" width="22.42578125" bestFit="1" customWidth="1"/>
    <col min="3265" max="3265" width="26" bestFit="1" customWidth="1"/>
    <col min="3266" max="3266" width="18.28515625" bestFit="1" customWidth="1"/>
    <col min="3267" max="3267" width="22.42578125" bestFit="1" customWidth="1"/>
    <col min="3268" max="3268" width="26" bestFit="1" customWidth="1"/>
    <col min="3269" max="3269" width="18.28515625" bestFit="1" customWidth="1"/>
    <col min="3270" max="3270" width="22.42578125" bestFit="1" customWidth="1"/>
    <col min="3271" max="3271" width="26" bestFit="1" customWidth="1"/>
    <col min="3272" max="3272" width="18.28515625" bestFit="1" customWidth="1"/>
    <col min="3273" max="3273" width="22.42578125" bestFit="1" customWidth="1"/>
    <col min="3274" max="3274" width="26" bestFit="1" customWidth="1"/>
    <col min="3275" max="3275" width="18.28515625" bestFit="1" customWidth="1"/>
    <col min="3276" max="3276" width="22.42578125" bestFit="1" customWidth="1"/>
    <col min="3277" max="3277" width="26" bestFit="1" customWidth="1"/>
    <col min="3278" max="3278" width="18.28515625" bestFit="1" customWidth="1"/>
    <col min="3279" max="3279" width="22.42578125" bestFit="1" customWidth="1"/>
    <col min="3280" max="3280" width="26" bestFit="1" customWidth="1"/>
    <col min="3281" max="3281" width="18.28515625" bestFit="1" customWidth="1"/>
    <col min="3282" max="3282" width="22.42578125" bestFit="1" customWidth="1"/>
    <col min="3283" max="3283" width="26" bestFit="1" customWidth="1"/>
    <col min="3284" max="3284" width="18.28515625" bestFit="1" customWidth="1"/>
    <col min="3285" max="3285" width="22.42578125" bestFit="1" customWidth="1"/>
    <col min="3286" max="3286" width="26" bestFit="1" customWidth="1"/>
    <col min="3287" max="3287" width="18.28515625" bestFit="1" customWidth="1"/>
    <col min="3288" max="3288" width="22.42578125" bestFit="1" customWidth="1"/>
    <col min="3289" max="3289" width="26" bestFit="1" customWidth="1"/>
    <col min="3290" max="3290" width="18.28515625" bestFit="1" customWidth="1"/>
    <col min="3291" max="3291" width="22.42578125" bestFit="1" customWidth="1"/>
    <col min="3292" max="3292" width="26" bestFit="1" customWidth="1"/>
    <col min="3293" max="3293" width="18.28515625" bestFit="1" customWidth="1"/>
    <col min="3294" max="3294" width="22.42578125" bestFit="1" customWidth="1"/>
    <col min="3295" max="3295" width="26" bestFit="1" customWidth="1"/>
    <col min="3296" max="3296" width="18.28515625" bestFit="1" customWidth="1"/>
    <col min="3297" max="3297" width="22.42578125" bestFit="1" customWidth="1"/>
    <col min="3298" max="3298" width="26" bestFit="1" customWidth="1"/>
    <col min="3299" max="3299" width="18.28515625" bestFit="1" customWidth="1"/>
    <col min="3300" max="3300" width="22.42578125" bestFit="1" customWidth="1"/>
    <col min="3301" max="3301" width="26" bestFit="1" customWidth="1"/>
    <col min="3302" max="3302" width="18.28515625" bestFit="1" customWidth="1"/>
    <col min="3303" max="3303" width="22.42578125" bestFit="1" customWidth="1"/>
    <col min="3304" max="3304" width="26" bestFit="1" customWidth="1"/>
    <col min="3305" max="3305" width="18.28515625" bestFit="1" customWidth="1"/>
    <col min="3306" max="3306" width="22.42578125" bestFit="1" customWidth="1"/>
    <col min="3307" max="3307" width="26" bestFit="1" customWidth="1"/>
    <col min="3308" max="3308" width="18.28515625" bestFit="1" customWidth="1"/>
    <col min="3309" max="3309" width="22.42578125" bestFit="1" customWidth="1"/>
    <col min="3310" max="3310" width="26" bestFit="1" customWidth="1"/>
    <col min="3311" max="3311" width="18.28515625" bestFit="1" customWidth="1"/>
    <col min="3312" max="3312" width="22.42578125" bestFit="1" customWidth="1"/>
    <col min="3313" max="3313" width="26" bestFit="1" customWidth="1"/>
    <col min="3314" max="3314" width="18.28515625" bestFit="1" customWidth="1"/>
    <col min="3315" max="3315" width="22.42578125" bestFit="1" customWidth="1"/>
    <col min="3316" max="3316" width="26" bestFit="1" customWidth="1"/>
    <col min="3317" max="3317" width="18.28515625" bestFit="1" customWidth="1"/>
    <col min="3318" max="3318" width="22.42578125" bestFit="1" customWidth="1"/>
    <col min="3319" max="3319" width="26" bestFit="1" customWidth="1"/>
    <col min="3320" max="3320" width="18.28515625" bestFit="1" customWidth="1"/>
    <col min="3321" max="3321" width="22.42578125" bestFit="1" customWidth="1"/>
    <col min="3322" max="3322" width="26" bestFit="1" customWidth="1"/>
    <col min="3323" max="3323" width="18.28515625" bestFit="1" customWidth="1"/>
    <col min="3324" max="3324" width="22.42578125" bestFit="1" customWidth="1"/>
    <col min="3325" max="3325" width="26" bestFit="1" customWidth="1"/>
    <col min="3326" max="3326" width="18.28515625" bestFit="1" customWidth="1"/>
    <col min="3327" max="3327" width="22.42578125" bestFit="1" customWidth="1"/>
    <col min="3328" max="3328" width="26" bestFit="1" customWidth="1"/>
    <col min="3329" max="3329" width="18.28515625" bestFit="1" customWidth="1"/>
    <col min="3330" max="3330" width="22.42578125" bestFit="1" customWidth="1"/>
    <col min="3331" max="3331" width="26" bestFit="1" customWidth="1"/>
    <col min="3332" max="3332" width="18.28515625" bestFit="1" customWidth="1"/>
    <col min="3333" max="3333" width="22.42578125" bestFit="1" customWidth="1"/>
    <col min="3334" max="3334" width="26" bestFit="1" customWidth="1"/>
    <col min="3335" max="3335" width="18.28515625" bestFit="1" customWidth="1"/>
    <col min="3336" max="3336" width="22.42578125" bestFit="1" customWidth="1"/>
    <col min="3337" max="3337" width="26" bestFit="1" customWidth="1"/>
    <col min="3338" max="3338" width="18.28515625" bestFit="1" customWidth="1"/>
    <col min="3339" max="3339" width="22.42578125" bestFit="1" customWidth="1"/>
    <col min="3340" max="3340" width="26" bestFit="1" customWidth="1"/>
    <col min="3341" max="3341" width="18.28515625" bestFit="1" customWidth="1"/>
    <col min="3342" max="3342" width="22.42578125" bestFit="1" customWidth="1"/>
    <col min="3343" max="3343" width="26" bestFit="1" customWidth="1"/>
    <col min="3344" max="3344" width="18.28515625" bestFit="1" customWidth="1"/>
    <col min="3345" max="3345" width="22.42578125" bestFit="1" customWidth="1"/>
    <col min="3346" max="3346" width="26" bestFit="1" customWidth="1"/>
    <col min="3347" max="3347" width="18.28515625" bestFit="1" customWidth="1"/>
    <col min="3348" max="3348" width="22.42578125" bestFit="1" customWidth="1"/>
    <col min="3349" max="3349" width="26" bestFit="1" customWidth="1"/>
    <col min="3350" max="3350" width="18.28515625" bestFit="1" customWidth="1"/>
    <col min="3351" max="3351" width="22.42578125" bestFit="1" customWidth="1"/>
    <col min="3352" max="3352" width="26" bestFit="1" customWidth="1"/>
    <col min="3353" max="3353" width="18.28515625" bestFit="1" customWidth="1"/>
    <col min="3354" max="3354" width="22.42578125" bestFit="1" customWidth="1"/>
    <col min="3355" max="3355" width="26" bestFit="1" customWidth="1"/>
    <col min="3356" max="3356" width="18.28515625" bestFit="1" customWidth="1"/>
    <col min="3357" max="3357" width="22.42578125" bestFit="1" customWidth="1"/>
    <col min="3358" max="3358" width="26" bestFit="1" customWidth="1"/>
    <col min="3359" max="3359" width="18.28515625" bestFit="1" customWidth="1"/>
    <col min="3360" max="3360" width="22.42578125" bestFit="1" customWidth="1"/>
    <col min="3361" max="3361" width="26" bestFit="1" customWidth="1"/>
    <col min="3362" max="3362" width="18.28515625" bestFit="1" customWidth="1"/>
    <col min="3363" max="3363" width="22.42578125" bestFit="1" customWidth="1"/>
    <col min="3364" max="3364" width="26" bestFit="1" customWidth="1"/>
    <col min="3365" max="3365" width="18.28515625" bestFit="1" customWidth="1"/>
    <col min="3366" max="3366" width="22.42578125" bestFit="1" customWidth="1"/>
    <col min="3367" max="3367" width="26" bestFit="1" customWidth="1"/>
    <col min="3368" max="3368" width="18.28515625" bestFit="1" customWidth="1"/>
    <col min="3369" max="3369" width="22.42578125" bestFit="1" customWidth="1"/>
    <col min="3370" max="3370" width="26" bestFit="1" customWidth="1"/>
    <col min="3371" max="3371" width="18.28515625" bestFit="1" customWidth="1"/>
    <col min="3372" max="3372" width="22.42578125" bestFit="1" customWidth="1"/>
    <col min="3373" max="3373" width="26" bestFit="1" customWidth="1"/>
    <col min="3374" max="3374" width="18.28515625" bestFit="1" customWidth="1"/>
    <col min="3375" max="3375" width="22.42578125" bestFit="1" customWidth="1"/>
    <col min="3376" max="3376" width="26" bestFit="1" customWidth="1"/>
    <col min="3377" max="3377" width="18.28515625" bestFit="1" customWidth="1"/>
    <col min="3378" max="3378" width="22.42578125" bestFit="1" customWidth="1"/>
    <col min="3379" max="3379" width="26" bestFit="1" customWidth="1"/>
    <col min="3380" max="3380" width="18.28515625" bestFit="1" customWidth="1"/>
    <col min="3381" max="3381" width="22.42578125" bestFit="1" customWidth="1"/>
    <col min="3382" max="3382" width="26" bestFit="1" customWidth="1"/>
    <col min="3383" max="3383" width="18.28515625" bestFit="1" customWidth="1"/>
    <col min="3384" max="3384" width="22.42578125" bestFit="1" customWidth="1"/>
    <col min="3385" max="3385" width="26" bestFit="1" customWidth="1"/>
    <col min="3386" max="3386" width="18.28515625" bestFit="1" customWidth="1"/>
    <col min="3387" max="3387" width="22.42578125" bestFit="1" customWidth="1"/>
    <col min="3388" max="3388" width="26" bestFit="1" customWidth="1"/>
    <col min="3389" max="3389" width="18.28515625" bestFit="1" customWidth="1"/>
    <col min="3390" max="3390" width="22.42578125" bestFit="1" customWidth="1"/>
    <col min="3391" max="3391" width="26" bestFit="1" customWidth="1"/>
    <col min="3392" max="3392" width="18.28515625" bestFit="1" customWidth="1"/>
    <col min="3393" max="3393" width="22.42578125" bestFit="1" customWidth="1"/>
    <col min="3394" max="3394" width="26" bestFit="1" customWidth="1"/>
    <col min="3395" max="3395" width="18.28515625" bestFit="1" customWidth="1"/>
    <col min="3396" max="3396" width="22.42578125" bestFit="1" customWidth="1"/>
    <col min="3397" max="3397" width="26" bestFit="1" customWidth="1"/>
    <col min="3398" max="3398" width="18.28515625" bestFit="1" customWidth="1"/>
    <col min="3399" max="3399" width="22.42578125" bestFit="1" customWidth="1"/>
    <col min="3400" max="3400" width="26" bestFit="1" customWidth="1"/>
    <col min="3401" max="3401" width="18.28515625" bestFit="1" customWidth="1"/>
    <col min="3402" max="3402" width="22.42578125" bestFit="1" customWidth="1"/>
    <col min="3403" max="3403" width="26" bestFit="1" customWidth="1"/>
    <col min="3404" max="3404" width="18.28515625" bestFit="1" customWidth="1"/>
    <col min="3405" max="3405" width="22.42578125" bestFit="1" customWidth="1"/>
    <col min="3406" max="3406" width="26" bestFit="1" customWidth="1"/>
    <col min="3407" max="3407" width="18.28515625" bestFit="1" customWidth="1"/>
    <col min="3408" max="3408" width="22.42578125" bestFit="1" customWidth="1"/>
    <col min="3409" max="3409" width="26" bestFit="1" customWidth="1"/>
    <col min="3410" max="3410" width="18.28515625" bestFit="1" customWidth="1"/>
    <col min="3411" max="3411" width="22.42578125" bestFit="1" customWidth="1"/>
    <col min="3412" max="3412" width="26" bestFit="1" customWidth="1"/>
    <col min="3413" max="3413" width="18.28515625" bestFit="1" customWidth="1"/>
    <col min="3414" max="3414" width="22.42578125" bestFit="1" customWidth="1"/>
    <col min="3415" max="3415" width="26" bestFit="1" customWidth="1"/>
    <col min="3416" max="3416" width="18.28515625" bestFit="1" customWidth="1"/>
    <col min="3417" max="3417" width="22.42578125" bestFit="1" customWidth="1"/>
    <col min="3418" max="3418" width="26" bestFit="1" customWidth="1"/>
    <col min="3419" max="3419" width="18.28515625" bestFit="1" customWidth="1"/>
    <col min="3420" max="3420" width="22.42578125" bestFit="1" customWidth="1"/>
    <col min="3421" max="3421" width="26" bestFit="1" customWidth="1"/>
    <col min="3422" max="3422" width="18.28515625" bestFit="1" customWidth="1"/>
    <col min="3423" max="3423" width="22.42578125" bestFit="1" customWidth="1"/>
    <col min="3424" max="3424" width="26" bestFit="1" customWidth="1"/>
    <col min="3425" max="3425" width="18.28515625" bestFit="1" customWidth="1"/>
    <col min="3426" max="3426" width="22.42578125" bestFit="1" customWidth="1"/>
    <col min="3427" max="3427" width="26" bestFit="1" customWidth="1"/>
    <col min="3428" max="3428" width="18.28515625" bestFit="1" customWidth="1"/>
    <col min="3429" max="3429" width="22.42578125" bestFit="1" customWidth="1"/>
    <col min="3430" max="3430" width="26" bestFit="1" customWidth="1"/>
    <col min="3431" max="3431" width="18.28515625" bestFit="1" customWidth="1"/>
    <col min="3432" max="3432" width="22.42578125" bestFit="1" customWidth="1"/>
    <col min="3433" max="3433" width="26" bestFit="1" customWidth="1"/>
    <col min="3434" max="3434" width="18.28515625" bestFit="1" customWidth="1"/>
    <col min="3435" max="3435" width="22.42578125" bestFit="1" customWidth="1"/>
    <col min="3436" max="3436" width="26" bestFit="1" customWidth="1"/>
    <col min="3437" max="3437" width="18.28515625" bestFit="1" customWidth="1"/>
    <col min="3438" max="3438" width="22.42578125" bestFit="1" customWidth="1"/>
    <col min="3439" max="3439" width="26" bestFit="1" customWidth="1"/>
    <col min="3440" max="3440" width="18.28515625" bestFit="1" customWidth="1"/>
    <col min="3441" max="3441" width="22.42578125" bestFit="1" customWidth="1"/>
    <col min="3442" max="3442" width="26" bestFit="1" customWidth="1"/>
    <col min="3443" max="3443" width="18.28515625" bestFit="1" customWidth="1"/>
    <col min="3444" max="3444" width="22.42578125" bestFit="1" customWidth="1"/>
    <col min="3445" max="3445" width="26" bestFit="1" customWidth="1"/>
    <col min="3446" max="3446" width="18.28515625" bestFit="1" customWidth="1"/>
    <col min="3447" max="3447" width="22.42578125" bestFit="1" customWidth="1"/>
    <col min="3448" max="3448" width="26" bestFit="1" customWidth="1"/>
    <col min="3449" max="3449" width="18.28515625" bestFit="1" customWidth="1"/>
    <col min="3450" max="3450" width="22.42578125" bestFit="1" customWidth="1"/>
    <col min="3451" max="3451" width="26" bestFit="1" customWidth="1"/>
    <col min="3452" max="3452" width="18.28515625" bestFit="1" customWidth="1"/>
    <col min="3453" max="3453" width="22.42578125" bestFit="1" customWidth="1"/>
    <col min="3454" max="3454" width="26" bestFit="1" customWidth="1"/>
    <col min="3455" max="3455" width="18.28515625" bestFit="1" customWidth="1"/>
    <col min="3456" max="3456" width="22.42578125" bestFit="1" customWidth="1"/>
    <col min="3457" max="3457" width="26" bestFit="1" customWidth="1"/>
    <col min="3458" max="3458" width="18.28515625" bestFit="1" customWidth="1"/>
    <col min="3459" max="3459" width="22.42578125" bestFit="1" customWidth="1"/>
    <col min="3460" max="3460" width="26" bestFit="1" customWidth="1"/>
    <col min="3461" max="3461" width="18.28515625" bestFit="1" customWidth="1"/>
    <col min="3462" max="3462" width="22.42578125" bestFit="1" customWidth="1"/>
    <col min="3463" max="3463" width="26" bestFit="1" customWidth="1"/>
    <col min="3464" max="3464" width="18.28515625" bestFit="1" customWidth="1"/>
    <col min="3465" max="3465" width="22.42578125" bestFit="1" customWidth="1"/>
    <col min="3466" max="3466" width="26" bestFit="1" customWidth="1"/>
    <col min="3467" max="3467" width="18.28515625" bestFit="1" customWidth="1"/>
    <col min="3468" max="3468" width="22.42578125" bestFit="1" customWidth="1"/>
    <col min="3469" max="3469" width="26" bestFit="1" customWidth="1"/>
    <col min="3470" max="3470" width="18.28515625" bestFit="1" customWidth="1"/>
    <col min="3471" max="3471" width="22.42578125" bestFit="1" customWidth="1"/>
    <col min="3472" max="3472" width="26" bestFit="1" customWidth="1"/>
    <col min="3473" max="3473" width="18.28515625" bestFit="1" customWidth="1"/>
    <col min="3474" max="3474" width="22.42578125" bestFit="1" customWidth="1"/>
    <col min="3475" max="3475" width="26" bestFit="1" customWidth="1"/>
    <col min="3476" max="3476" width="18.28515625" bestFit="1" customWidth="1"/>
    <col min="3477" max="3477" width="22.42578125" bestFit="1" customWidth="1"/>
    <col min="3478" max="3478" width="26" bestFit="1" customWidth="1"/>
    <col min="3479" max="3479" width="18.28515625" bestFit="1" customWidth="1"/>
    <col min="3480" max="3480" width="22.42578125" bestFit="1" customWidth="1"/>
    <col min="3481" max="3481" width="26" bestFit="1" customWidth="1"/>
    <col min="3482" max="3482" width="18.28515625" bestFit="1" customWidth="1"/>
    <col min="3483" max="3483" width="22.42578125" bestFit="1" customWidth="1"/>
    <col min="3484" max="3484" width="26" bestFit="1" customWidth="1"/>
    <col min="3485" max="3485" width="18.28515625" bestFit="1" customWidth="1"/>
    <col min="3486" max="3486" width="22.42578125" bestFit="1" customWidth="1"/>
    <col min="3487" max="3487" width="26" bestFit="1" customWidth="1"/>
    <col min="3488" max="3488" width="18.28515625" bestFit="1" customWidth="1"/>
    <col min="3489" max="3489" width="22.42578125" bestFit="1" customWidth="1"/>
    <col min="3490" max="3490" width="26" bestFit="1" customWidth="1"/>
    <col min="3491" max="3491" width="18.28515625" bestFit="1" customWidth="1"/>
    <col min="3492" max="3492" width="22.42578125" bestFit="1" customWidth="1"/>
    <col min="3493" max="3493" width="26" bestFit="1" customWidth="1"/>
    <col min="3494" max="3494" width="18.28515625" bestFit="1" customWidth="1"/>
    <col min="3495" max="3495" width="22.42578125" bestFit="1" customWidth="1"/>
    <col min="3496" max="3496" width="26" bestFit="1" customWidth="1"/>
    <col min="3497" max="3497" width="18.28515625" bestFit="1" customWidth="1"/>
    <col min="3498" max="3498" width="22.42578125" bestFit="1" customWidth="1"/>
    <col min="3499" max="3499" width="26" bestFit="1" customWidth="1"/>
    <col min="3500" max="3500" width="18.28515625" bestFit="1" customWidth="1"/>
    <col min="3501" max="3501" width="22.42578125" bestFit="1" customWidth="1"/>
    <col min="3502" max="3502" width="26" bestFit="1" customWidth="1"/>
    <col min="3503" max="3503" width="18.28515625" bestFit="1" customWidth="1"/>
    <col min="3504" max="3504" width="22.42578125" bestFit="1" customWidth="1"/>
    <col min="3505" max="3505" width="26" bestFit="1" customWidth="1"/>
    <col min="3506" max="3506" width="18.28515625" bestFit="1" customWidth="1"/>
    <col min="3507" max="3507" width="22.42578125" bestFit="1" customWidth="1"/>
    <col min="3508" max="3508" width="26" bestFit="1" customWidth="1"/>
    <col min="3509" max="3509" width="18.28515625" bestFit="1" customWidth="1"/>
    <col min="3510" max="3510" width="22.42578125" bestFit="1" customWidth="1"/>
    <col min="3511" max="3511" width="26" bestFit="1" customWidth="1"/>
    <col min="3512" max="3512" width="18.28515625" bestFit="1" customWidth="1"/>
    <col min="3513" max="3513" width="22.42578125" bestFit="1" customWidth="1"/>
    <col min="3514" max="3514" width="26" bestFit="1" customWidth="1"/>
    <col min="3515" max="3515" width="18.28515625" bestFit="1" customWidth="1"/>
    <col min="3516" max="3516" width="22.42578125" bestFit="1" customWidth="1"/>
    <col min="3517" max="3517" width="26" bestFit="1" customWidth="1"/>
    <col min="3518" max="3518" width="18.28515625" bestFit="1" customWidth="1"/>
    <col min="3519" max="3519" width="22.42578125" bestFit="1" customWidth="1"/>
    <col min="3520" max="3520" width="26" bestFit="1" customWidth="1"/>
    <col min="3521" max="3521" width="18.28515625" bestFit="1" customWidth="1"/>
    <col min="3522" max="3522" width="22.42578125" bestFit="1" customWidth="1"/>
    <col min="3523" max="3523" width="26" bestFit="1" customWidth="1"/>
    <col min="3524" max="3524" width="18.28515625" bestFit="1" customWidth="1"/>
    <col min="3525" max="3525" width="22.42578125" bestFit="1" customWidth="1"/>
    <col min="3526" max="3526" width="26" bestFit="1" customWidth="1"/>
    <col min="3527" max="3527" width="18.28515625" bestFit="1" customWidth="1"/>
    <col min="3528" max="3528" width="22.42578125" bestFit="1" customWidth="1"/>
    <col min="3529" max="3529" width="26" bestFit="1" customWidth="1"/>
    <col min="3530" max="3530" width="18.28515625" bestFit="1" customWidth="1"/>
    <col min="3531" max="3531" width="22.42578125" bestFit="1" customWidth="1"/>
    <col min="3532" max="3532" width="26" bestFit="1" customWidth="1"/>
    <col min="3533" max="3533" width="18.28515625" bestFit="1" customWidth="1"/>
    <col min="3534" max="3534" width="22.42578125" bestFit="1" customWidth="1"/>
    <col min="3535" max="3535" width="26" bestFit="1" customWidth="1"/>
    <col min="3536" max="3536" width="18.28515625" bestFit="1" customWidth="1"/>
    <col min="3537" max="3537" width="22.42578125" bestFit="1" customWidth="1"/>
    <col min="3538" max="3538" width="26" bestFit="1" customWidth="1"/>
    <col min="3539" max="3539" width="18.28515625" bestFit="1" customWidth="1"/>
    <col min="3540" max="3540" width="22.42578125" bestFit="1" customWidth="1"/>
    <col min="3541" max="3541" width="26" bestFit="1" customWidth="1"/>
    <col min="3542" max="3542" width="18.28515625" bestFit="1" customWidth="1"/>
    <col min="3543" max="3543" width="22.42578125" bestFit="1" customWidth="1"/>
    <col min="3544" max="3544" width="26" bestFit="1" customWidth="1"/>
    <col min="3545" max="3545" width="18.28515625" bestFit="1" customWidth="1"/>
    <col min="3546" max="3546" width="22.42578125" bestFit="1" customWidth="1"/>
    <col min="3547" max="3547" width="26" bestFit="1" customWidth="1"/>
    <col min="3548" max="3548" width="18.28515625" bestFit="1" customWidth="1"/>
    <col min="3549" max="3549" width="22.42578125" bestFit="1" customWidth="1"/>
    <col min="3550" max="3550" width="26" bestFit="1" customWidth="1"/>
    <col min="3551" max="3551" width="18.28515625" bestFit="1" customWidth="1"/>
    <col min="3552" max="3552" width="22.42578125" bestFit="1" customWidth="1"/>
    <col min="3553" max="3553" width="26" bestFit="1" customWidth="1"/>
    <col min="3554" max="3554" width="18.28515625" bestFit="1" customWidth="1"/>
    <col min="3555" max="3555" width="22.42578125" bestFit="1" customWidth="1"/>
    <col min="3556" max="3556" width="26" bestFit="1" customWidth="1"/>
    <col min="3557" max="3557" width="18.28515625" bestFit="1" customWidth="1"/>
    <col min="3558" max="3558" width="22.42578125" bestFit="1" customWidth="1"/>
    <col min="3559" max="3559" width="26" bestFit="1" customWidth="1"/>
    <col min="3560" max="3560" width="18.28515625" bestFit="1" customWidth="1"/>
    <col min="3561" max="3561" width="22.42578125" bestFit="1" customWidth="1"/>
    <col min="3562" max="3562" width="26" bestFit="1" customWidth="1"/>
    <col min="3563" max="3563" width="18.28515625" bestFit="1" customWidth="1"/>
    <col min="3564" max="3564" width="22.42578125" bestFit="1" customWidth="1"/>
    <col min="3565" max="3565" width="26" bestFit="1" customWidth="1"/>
    <col min="3566" max="3566" width="18.28515625" bestFit="1" customWidth="1"/>
    <col min="3567" max="3567" width="22.42578125" bestFit="1" customWidth="1"/>
    <col min="3568" max="3568" width="26" bestFit="1" customWidth="1"/>
    <col min="3569" max="3569" width="18.28515625" bestFit="1" customWidth="1"/>
    <col min="3570" max="3570" width="22.42578125" bestFit="1" customWidth="1"/>
    <col min="3571" max="3571" width="26" bestFit="1" customWidth="1"/>
    <col min="3572" max="3572" width="18.28515625" bestFit="1" customWidth="1"/>
    <col min="3573" max="3573" width="22.42578125" bestFit="1" customWidth="1"/>
    <col min="3574" max="3574" width="26" bestFit="1" customWidth="1"/>
    <col min="3575" max="3575" width="18.28515625" bestFit="1" customWidth="1"/>
    <col min="3576" max="3576" width="22.42578125" bestFit="1" customWidth="1"/>
    <col min="3577" max="3577" width="26" bestFit="1" customWidth="1"/>
    <col min="3578" max="3578" width="18.28515625" bestFit="1" customWidth="1"/>
    <col min="3579" max="3579" width="22.42578125" bestFit="1" customWidth="1"/>
    <col min="3580" max="3580" width="26" bestFit="1" customWidth="1"/>
    <col min="3581" max="3581" width="18.28515625" bestFit="1" customWidth="1"/>
    <col min="3582" max="3582" width="22.42578125" bestFit="1" customWidth="1"/>
    <col min="3583" max="3583" width="26" bestFit="1" customWidth="1"/>
    <col min="3584" max="3584" width="18.28515625" bestFit="1" customWidth="1"/>
    <col min="3585" max="3585" width="22.42578125" bestFit="1" customWidth="1"/>
    <col min="3586" max="3586" width="26" bestFit="1" customWidth="1"/>
    <col min="3587" max="3587" width="18.28515625" bestFit="1" customWidth="1"/>
    <col min="3588" max="3588" width="22.42578125" bestFit="1" customWidth="1"/>
    <col min="3589" max="3589" width="26" bestFit="1" customWidth="1"/>
    <col min="3590" max="3590" width="18.28515625" bestFit="1" customWidth="1"/>
    <col min="3591" max="3591" width="22.42578125" bestFit="1" customWidth="1"/>
    <col min="3592" max="3592" width="26" bestFit="1" customWidth="1"/>
    <col min="3593" max="3593" width="18.28515625" bestFit="1" customWidth="1"/>
    <col min="3594" max="3594" width="22.42578125" bestFit="1" customWidth="1"/>
    <col min="3595" max="3595" width="26" bestFit="1" customWidth="1"/>
    <col min="3596" max="3596" width="18.28515625" bestFit="1" customWidth="1"/>
    <col min="3597" max="3597" width="22.42578125" bestFit="1" customWidth="1"/>
    <col min="3598" max="3598" width="26" bestFit="1" customWidth="1"/>
    <col min="3599" max="3599" width="18.28515625" bestFit="1" customWidth="1"/>
    <col min="3600" max="3600" width="22.42578125" bestFit="1" customWidth="1"/>
    <col min="3601" max="3601" width="26" bestFit="1" customWidth="1"/>
    <col min="3602" max="3602" width="18.28515625" bestFit="1" customWidth="1"/>
    <col min="3603" max="3603" width="22.42578125" bestFit="1" customWidth="1"/>
    <col min="3604" max="3604" width="26" bestFit="1" customWidth="1"/>
    <col min="3605" max="3605" width="18.28515625" bestFit="1" customWidth="1"/>
    <col min="3606" max="3606" width="22.42578125" bestFit="1" customWidth="1"/>
    <col min="3607" max="3607" width="26" bestFit="1" customWidth="1"/>
    <col min="3608" max="3608" width="18.28515625" bestFit="1" customWidth="1"/>
    <col min="3609" max="3609" width="22.42578125" bestFit="1" customWidth="1"/>
    <col min="3610" max="3610" width="26" bestFit="1" customWidth="1"/>
    <col min="3611" max="3611" width="18.28515625" bestFit="1" customWidth="1"/>
    <col min="3612" max="3612" width="22.42578125" bestFit="1" customWidth="1"/>
    <col min="3613" max="3613" width="26" bestFit="1" customWidth="1"/>
    <col min="3614" max="3614" width="18.28515625" bestFit="1" customWidth="1"/>
    <col min="3615" max="3615" width="22.42578125" bestFit="1" customWidth="1"/>
    <col min="3616" max="3616" width="26" bestFit="1" customWidth="1"/>
    <col min="3617" max="3617" width="18.28515625" bestFit="1" customWidth="1"/>
    <col min="3618" max="3618" width="22.42578125" bestFit="1" customWidth="1"/>
    <col min="3619" max="3619" width="26" bestFit="1" customWidth="1"/>
    <col min="3620" max="3620" width="18.28515625" bestFit="1" customWidth="1"/>
    <col min="3621" max="3621" width="22.42578125" bestFit="1" customWidth="1"/>
    <col min="3622" max="3622" width="26" bestFit="1" customWidth="1"/>
    <col min="3623" max="3623" width="18.28515625" bestFit="1" customWidth="1"/>
    <col min="3624" max="3624" width="22.42578125" bestFit="1" customWidth="1"/>
    <col min="3625" max="3625" width="26" bestFit="1" customWidth="1"/>
    <col min="3626" max="3626" width="18.28515625" bestFit="1" customWidth="1"/>
    <col min="3627" max="3627" width="22.42578125" bestFit="1" customWidth="1"/>
    <col min="3628" max="3628" width="26" bestFit="1" customWidth="1"/>
    <col min="3629" max="3629" width="18.28515625" bestFit="1" customWidth="1"/>
    <col min="3630" max="3630" width="22.42578125" bestFit="1" customWidth="1"/>
    <col min="3631" max="3631" width="26" bestFit="1" customWidth="1"/>
    <col min="3632" max="3632" width="18.28515625" bestFit="1" customWidth="1"/>
    <col min="3633" max="3633" width="22.42578125" bestFit="1" customWidth="1"/>
    <col min="3634" max="3634" width="26" bestFit="1" customWidth="1"/>
    <col min="3635" max="3635" width="18.28515625" bestFit="1" customWidth="1"/>
    <col min="3636" max="3636" width="22.42578125" bestFit="1" customWidth="1"/>
    <col min="3637" max="3637" width="26" bestFit="1" customWidth="1"/>
    <col min="3638" max="3638" width="18.28515625" bestFit="1" customWidth="1"/>
    <col min="3639" max="3639" width="22.42578125" bestFit="1" customWidth="1"/>
    <col min="3640" max="3640" width="26" bestFit="1" customWidth="1"/>
    <col min="3641" max="3641" width="18.28515625" bestFit="1" customWidth="1"/>
    <col min="3642" max="3642" width="22.42578125" bestFit="1" customWidth="1"/>
    <col min="3643" max="3643" width="26" bestFit="1" customWidth="1"/>
    <col min="3644" max="3644" width="18.28515625" bestFit="1" customWidth="1"/>
    <col min="3645" max="3645" width="22.42578125" bestFit="1" customWidth="1"/>
    <col min="3646" max="3646" width="26" bestFit="1" customWidth="1"/>
    <col min="3647" max="3647" width="18.28515625" bestFit="1" customWidth="1"/>
    <col min="3648" max="3648" width="22.42578125" bestFit="1" customWidth="1"/>
    <col min="3649" max="3649" width="26" bestFit="1" customWidth="1"/>
    <col min="3650" max="3650" width="18.28515625" bestFit="1" customWidth="1"/>
    <col min="3651" max="3651" width="22.42578125" bestFit="1" customWidth="1"/>
    <col min="3652" max="3652" width="26" bestFit="1" customWidth="1"/>
    <col min="3653" max="3653" width="18.28515625" bestFit="1" customWidth="1"/>
    <col min="3654" max="3654" width="22.42578125" bestFit="1" customWidth="1"/>
    <col min="3655" max="3655" width="26" bestFit="1" customWidth="1"/>
    <col min="3656" max="3656" width="18.28515625" bestFit="1" customWidth="1"/>
    <col min="3657" max="3657" width="22.42578125" bestFit="1" customWidth="1"/>
    <col min="3658" max="3658" width="26" bestFit="1" customWidth="1"/>
    <col min="3659" max="3659" width="18.28515625" bestFit="1" customWidth="1"/>
    <col min="3660" max="3660" width="22.42578125" bestFit="1" customWidth="1"/>
    <col min="3661" max="3661" width="26" bestFit="1" customWidth="1"/>
    <col min="3662" max="3662" width="18.28515625" bestFit="1" customWidth="1"/>
    <col min="3663" max="3663" width="22.42578125" bestFit="1" customWidth="1"/>
    <col min="3664" max="3664" width="26" bestFit="1" customWidth="1"/>
    <col min="3665" max="3665" width="18.28515625" bestFit="1" customWidth="1"/>
    <col min="3666" max="3666" width="22.42578125" bestFit="1" customWidth="1"/>
    <col min="3667" max="3667" width="26" bestFit="1" customWidth="1"/>
    <col min="3668" max="3668" width="18.28515625" bestFit="1" customWidth="1"/>
    <col min="3669" max="3669" width="22.42578125" bestFit="1" customWidth="1"/>
    <col min="3670" max="3670" width="26" bestFit="1" customWidth="1"/>
    <col min="3671" max="3671" width="18.28515625" bestFit="1" customWidth="1"/>
    <col min="3672" max="3672" width="22.42578125" bestFit="1" customWidth="1"/>
    <col min="3673" max="3673" width="26" bestFit="1" customWidth="1"/>
    <col min="3674" max="3674" width="18.28515625" bestFit="1" customWidth="1"/>
    <col min="3675" max="3675" width="22.42578125" bestFit="1" customWidth="1"/>
    <col min="3676" max="3676" width="26" bestFit="1" customWidth="1"/>
    <col min="3677" max="3677" width="18.28515625" bestFit="1" customWidth="1"/>
    <col min="3678" max="3678" width="22.42578125" bestFit="1" customWidth="1"/>
    <col min="3679" max="3679" width="26" bestFit="1" customWidth="1"/>
    <col min="3680" max="3680" width="18.28515625" bestFit="1" customWidth="1"/>
    <col min="3681" max="3681" width="22.42578125" bestFit="1" customWidth="1"/>
    <col min="3682" max="3682" width="26" bestFit="1" customWidth="1"/>
    <col min="3683" max="3683" width="18.28515625" bestFit="1" customWidth="1"/>
    <col min="3684" max="3684" width="22.42578125" bestFit="1" customWidth="1"/>
    <col min="3685" max="3685" width="26" bestFit="1" customWidth="1"/>
    <col min="3686" max="3686" width="18.28515625" bestFit="1" customWidth="1"/>
    <col min="3687" max="3687" width="22.42578125" bestFit="1" customWidth="1"/>
    <col min="3688" max="3688" width="26" bestFit="1" customWidth="1"/>
    <col min="3689" max="3689" width="18.28515625" bestFit="1" customWidth="1"/>
    <col min="3690" max="3690" width="22.42578125" bestFit="1" customWidth="1"/>
    <col min="3691" max="3691" width="26" bestFit="1" customWidth="1"/>
    <col min="3692" max="3692" width="18.28515625" bestFit="1" customWidth="1"/>
    <col min="3693" max="3693" width="22.42578125" bestFit="1" customWidth="1"/>
    <col min="3694" max="3694" width="26" bestFit="1" customWidth="1"/>
    <col min="3695" max="3695" width="18.28515625" bestFit="1" customWidth="1"/>
    <col min="3696" max="3696" width="22.42578125" bestFit="1" customWidth="1"/>
    <col min="3697" max="3697" width="26" bestFit="1" customWidth="1"/>
    <col min="3698" max="3698" width="18.28515625" bestFit="1" customWidth="1"/>
    <col min="3699" max="3699" width="22.42578125" bestFit="1" customWidth="1"/>
    <col min="3700" max="3700" width="26" bestFit="1" customWidth="1"/>
    <col min="3701" max="3701" width="18.28515625" bestFit="1" customWidth="1"/>
    <col min="3702" max="3702" width="22.42578125" bestFit="1" customWidth="1"/>
    <col min="3703" max="3703" width="26" bestFit="1" customWidth="1"/>
    <col min="3704" max="3704" width="18.28515625" bestFit="1" customWidth="1"/>
    <col min="3705" max="3705" width="22.42578125" bestFit="1" customWidth="1"/>
    <col min="3706" max="3706" width="26" bestFit="1" customWidth="1"/>
    <col min="3707" max="3707" width="18.28515625" bestFit="1" customWidth="1"/>
    <col min="3708" max="3708" width="22.42578125" bestFit="1" customWidth="1"/>
    <col min="3709" max="3709" width="26" bestFit="1" customWidth="1"/>
    <col min="3710" max="3710" width="18.28515625" bestFit="1" customWidth="1"/>
    <col min="3711" max="3711" width="22.42578125" bestFit="1" customWidth="1"/>
    <col min="3712" max="3712" width="26" bestFit="1" customWidth="1"/>
    <col min="3713" max="3713" width="18.28515625" bestFit="1" customWidth="1"/>
    <col min="3714" max="3714" width="22.42578125" bestFit="1" customWidth="1"/>
    <col min="3715" max="3715" width="26" bestFit="1" customWidth="1"/>
    <col min="3716" max="3716" width="18.28515625" bestFit="1" customWidth="1"/>
    <col min="3717" max="3717" width="22.42578125" bestFit="1" customWidth="1"/>
    <col min="3718" max="3718" width="26" bestFit="1" customWidth="1"/>
    <col min="3719" max="3719" width="18.28515625" bestFit="1" customWidth="1"/>
    <col min="3720" max="3720" width="22.42578125" bestFit="1" customWidth="1"/>
    <col min="3721" max="3721" width="26" bestFit="1" customWidth="1"/>
    <col min="3722" max="3722" width="18.28515625" bestFit="1" customWidth="1"/>
    <col min="3723" max="3723" width="22.42578125" bestFit="1" customWidth="1"/>
    <col min="3724" max="3724" width="26" bestFit="1" customWidth="1"/>
    <col min="3725" max="3725" width="18.28515625" bestFit="1" customWidth="1"/>
    <col min="3726" max="3726" width="22.42578125" bestFit="1" customWidth="1"/>
    <col min="3727" max="3727" width="26" bestFit="1" customWidth="1"/>
    <col min="3728" max="3728" width="18.28515625" bestFit="1" customWidth="1"/>
    <col min="3729" max="3729" width="22.42578125" bestFit="1" customWidth="1"/>
    <col min="3730" max="3730" width="26" bestFit="1" customWidth="1"/>
    <col min="3731" max="3731" width="18.28515625" bestFit="1" customWidth="1"/>
    <col min="3732" max="3732" width="22.42578125" bestFit="1" customWidth="1"/>
    <col min="3733" max="3733" width="26" bestFit="1" customWidth="1"/>
    <col min="3734" max="3734" width="18.28515625" bestFit="1" customWidth="1"/>
    <col min="3735" max="3735" width="22.42578125" bestFit="1" customWidth="1"/>
    <col min="3736" max="3736" width="26" bestFit="1" customWidth="1"/>
    <col min="3737" max="3737" width="18.28515625" bestFit="1" customWidth="1"/>
    <col min="3738" max="3738" width="22.42578125" bestFit="1" customWidth="1"/>
    <col min="3739" max="3739" width="26" bestFit="1" customWidth="1"/>
    <col min="3740" max="3740" width="18.28515625" bestFit="1" customWidth="1"/>
    <col min="3741" max="3741" width="22.42578125" bestFit="1" customWidth="1"/>
    <col min="3742" max="3742" width="26" bestFit="1" customWidth="1"/>
    <col min="3743" max="3743" width="18.28515625" bestFit="1" customWidth="1"/>
    <col min="3744" max="3744" width="22.42578125" bestFit="1" customWidth="1"/>
    <col min="3745" max="3745" width="26" bestFit="1" customWidth="1"/>
    <col min="3746" max="3746" width="18.28515625" bestFit="1" customWidth="1"/>
    <col min="3747" max="3747" width="22.42578125" bestFit="1" customWidth="1"/>
    <col min="3748" max="3748" width="26" bestFit="1" customWidth="1"/>
    <col min="3749" max="3749" width="18.28515625" bestFit="1" customWidth="1"/>
    <col min="3750" max="3750" width="22.42578125" bestFit="1" customWidth="1"/>
    <col min="3751" max="3751" width="26" bestFit="1" customWidth="1"/>
    <col min="3752" max="3752" width="18.28515625" bestFit="1" customWidth="1"/>
    <col min="3753" max="3753" width="22.42578125" bestFit="1" customWidth="1"/>
    <col min="3754" max="3754" width="26" bestFit="1" customWidth="1"/>
    <col min="3755" max="3755" width="18.28515625" bestFit="1" customWidth="1"/>
    <col min="3756" max="3756" width="22.42578125" bestFit="1" customWidth="1"/>
    <col min="3757" max="3757" width="26" bestFit="1" customWidth="1"/>
    <col min="3758" max="3758" width="18.28515625" bestFit="1" customWidth="1"/>
    <col min="3759" max="3759" width="22.42578125" bestFit="1" customWidth="1"/>
    <col min="3760" max="3760" width="26" bestFit="1" customWidth="1"/>
    <col min="3761" max="3761" width="18.28515625" bestFit="1" customWidth="1"/>
    <col min="3762" max="3762" width="22.42578125" bestFit="1" customWidth="1"/>
    <col min="3763" max="3763" width="26" bestFit="1" customWidth="1"/>
    <col min="3764" max="3764" width="18.28515625" bestFit="1" customWidth="1"/>
    <col min="3765" max="3765" width="22.42578125" bestFit="1" customWidth="1"/>
    <col min="3766" max="3766" width="26" bestFit="1" customWidth="1"/>
    <col min="3767" max="3767" width="18.28515625" bestFit="1" customWidth="1"/>
    <col min="3768" max="3768" width="22.42578125" bestFit="1" customWidth="1"/>
    <col min="3769" max="3769" width="26" bestFit="1" customWidth="1"/>
    <col min="3770" max="3770" width="18.28515625" bestFit="1" customWidth="1"/>
    <col min="3771" max="3771" width="22.42578125" bestFit="1" customWidth="1"/>
    <col min="3772" max="3772" width="26" bestFit="1" customWidth="1"/>
    <col min="3773" max="3773" width="18.28515625" bestFit="1" customWidth="1"/>
    <col min="3774" max="3774" width="22.42578125" bestFit="1" customWidth="1"/>
    <col min="3775" max="3775" width="26" bestFit="1" customWidth="1"/>
    <col min="3776" max="3776" width="18.28515625" bestFit="1" customWidth="1"/>
    <col min="3777" max="3777" width="22.42578125" bestFit="1" customWidth="1"/>
    <col min="3778" max="3778" width="26" bestFit="1" customWidth="1"/>
    <col min="3779" max="3779" width="18.28515625" bestFit="1" customWidth="1"/>
    <col min="3780" max="3780" width="22.42578125" bestFit="1" customWidth="1"/>
    <col min="3781" max="3781" width="26" bestFit="1" customWidth="1"/>
    <col min="3782" max="3782" width="18.28515625" bestFit="1" customWidth="1"/>
    <col min="3783" max="3783" width="22.42578125" bestFit="1" customWidth="1"/>
    <col min="3784" max="3784" width="26" bestFit="1" customWidth="1"/>
    <col min="3785" max="3785" width="18.28515625" bestFit="1" customWidth="1"/>
    <col min="3786" max="3786" width="22.42578125" bestFit="1" customWidth="1"/>
    <col min="3787" max="3787" width="26" bestFit="1" customWidth="1"/>
    <col min="3788" max="3788" width="18.28515625" bestFit="1" customWidth="1"/>
    <col min="3789" max="3789" width="22.42578125" bestFit="1" customWidth="1"/>
    <col min="3790" max="3790" width="26" bestFit="1" customWidth="1"/>
    <col min="3791" max="3791" width="18.28515625" bestFit="1" customWidth="1"/>
    <col min="3792" max="3792" width="22.42578125" bestFit="1" customWidth="1"/>
    <col min="3793" max="3793" width="26" bestFit="1" customWidth="1"/>
    <col min="3794" max="3794" width="18.28515625" bestFit="1" customWidth="1"/>
    <col min="3795" max="3795" width="22.42578125" bestFit="1" customWidth="1"/>
    <col min="3796" max="3796" width="26" bestFit="1" customWidth="1"/>
    <col min="3797" max="3797" width="18.28515625" bestFit="1" customWidth="1"/>
    <col min="3798" max="3798" width="22.42578125" bestFit="1" customWidth="1"/>
    <col min="3799" max="3799" width="26" bestFit="1" customWidth="1"/>
    <col min="3800" max="3800" width="18.28515625" bestFit="1" customWidth="1"/>
    <col min="3801" max="3801" width="22.42578125" bestFit="1" customWidth="1"/>
    <col min="3802" max="3802" width="26" bestFit="1" customWidth="1"/>
    <col min="3803" max="3803" width="18.28515625" bestFit="1" customWidth="1"/>
    <col min="3804" max="3804" width="22.42578125" bestFit="1" customWidth="1"/>
    <col min="3805" max="3805" width="26" bestFit="1" customWidth="1"/>
    <col min="3806" max="3806" width="18.28515625" bestFit="1" customWidth="1"/>
    <col min="3807" max="3807" width="22.42578125" bestFit="1" customWidth="1"/>
    <col min="3808" max="3808" width="26" bestFit="1" customWidth="1"/>
    <col min="3809" max="3809" width="18.28515625" bestFit="1" customWidth="1"/>
    <col min="3810" max="3810" width="22.42578125" bestFit="1" customWidth="1"/>
    <col min="3811" max="3811" width="26" bestFit="1" customWidth="1"/>
    <col min="3812" max="3812" width="18.28515625" bestFit="1" customWidth="1"/>
    <col min="3813" max="3813" width="22.42578125" bestFit="1" customWidth="1"/>
    <col min="3814" max="3814" width="26" bestFit="1" customWidth="1"/>
    <col min="3815" max="3815" width="18.28515625" bestFit="1" customWidth="1"/>
    <col min="3816" max="3816" width="22.42578125" bestFit="1" customWidth="1"/>
    <col min="3817" max="3817" width="26" bestFit="1" customWidth="1"/>
    <col min="3818" max="3818" width="18.28515625" bestFit="1" customWidth="1"/>
    <col min="3819" max="3819" width="22.42578125" bestFit="1" customWidth="1"/>
    <col min="3820" max="3820" width="26" bestFit="1" customWidth="1"/>
    <col min="3821" max="3821" width="18.28515625" bestFit="1" customWidth="1"/>
    <col min="3822" max="3822" width="22.42578125" bestFit="1" customWidth="1"/>
    <col min="3823" max="3823" width="26" bestFit="1" customWidth="1"/>
    <col min="3824" max="3824" width="18.28515625" bestFit="1" customWidth="1"/>
    <col min="3825" max="3825" width="22.42578125" bestFit="1" customWidth="1"/>
    <col min="3826" max="3826" width="26" bestFit="1" customWidth="1"/>
    <col min="3827" max="3827" width="18.28515625" bestFit="1" customWidth="1"/>
    <col min="3828" max="3828" width="22.42578125" bestFit="1" customWidth="1"/>
    <col min="3829" max="3829" width="26" bestFit="1" customWidth="1"/>
    <col min="3830" max="3830" width="18.28515625" bestFit="1" customWidth="1"/>
    <col min="3831" max="3831" width="22.42578125" bestFit="1" customWidth="1"/>
    <col min="3832" max="3832" width="26" bestFit="1" customWidth="1"/>
    <col min="3833" max="3833" width="18.28515625" bestFit="1" customWidth="1"/>
    <col min="3834" max="3834" width="22.42578125" bestFit="1" customWidth="1"/>
    <col min="3835" max="3835" width="26" bestFit="1" customWidth="1"/>
    <col min="3836" max="3836" width="18.28515625" bestFit="1" customWidth="1"/>
    <col min="3837" max="3837" width="22.42578125" bestFit="1" customWidth="1"/>
    <col min="3838" max="3838" width="26" bestFit="1" customWidth="1"/>
    <col min="3839" max="3839" width="18.28515625" bestFit="1" customWidth="1"/>
    <col min="3840" max="3840" width="22.42578125" bestFit="1" customWidth="1"/>
    <col min="3841" max="3841" width="26" bestFit="1" customWidth="1"/>
    <col min="3842" max="3842" width="18.28515625" bestFit="1" customWidth="1"/>
    <col min="3843" max="3843" width="22.42578125" bestFit="1" customWidth="1"/>
    <col min="3844" max="3844" width="26" bestFit="1" customWidth="1"/>
    <col min="3845" max="3845" width="18.28515625" bestFit="1" customWidth="1"/>
    <col min="3846" max="3846" width="22.42578125" bestFit="1" customWidth="1"/>
    <col min="3847" max="3847" width="26" bestFit="1" customWidth="1"/>
    <col min="3848" max="3848" width="18.28515625" bestFit="1" customWidth="1"/>
    <col min="3849" max="3849" width="22.42578125" bestFit="1" customWidth="1"/>
    <col min="3850" max="3850" width="26" bestFit="1" customWidth="1"/>
    <col min="3851" max="3851" width="18.28515625" bestFit="1" customWidth="1"/>
    <col min="3852" max="3852" width="22.42578125" bestFit="1" customWidth="1"/>
    <col min="3853" max="3853" width="26" bestFit="1" customWidth="1"/>
    <col min="3854" max="3854" width="18.28515625" bestFit="1" customWidth="1"/>
    <col min="3855" max="3855" width="22.42578125" bestFit="1" customWidth="1"/>
    <col min="3856" max="3856" width="26" bestFit="1" customWidth="1"/>
    <col min="3857" max="3857" width="18.28515625" bestFit="1" customWidth="1"/>
    <col min="3858" max="3858" width="22.42578125" bestFit="1" customWidth="1"/>
    <col min="3859" max="3859" width="26" bestFit="1" customWidth="1"/>
    <col min="3860" max="3860" width="18.28515625" bestFit="1" customWidth="1"/>
    <col min="3861" max="3861" width="22.42578125" bestFit="1" customWidth="1"/>
    <col min="3862" max="3862" width="26" bestFit="1" customWidth="1"/>
    <col min="3863" max="3863" width="18.28515625" bestFit="1" customWidth="1"/>
    <col min="3864" max="3864" width="22.42578125" bestFit="1" customWidth="1"/>
    <col min="3865" max="3865" width="26" bestFit="1" customWidth="1"/>
    <col min="3866" max="3866" width="18.28515625" bestFit="1" customWidth="1"/>
    <col min="3867" max="3867" width="22.42578125" bestFit="1" customWidth="1"/>
    <col min="3868" max="3868" width="26" bestFit="1" customWidth="1"/>
    <col min="3869" max="3869" width="18.28515625" bestFit="1" customWidth="1"/>
    <col min="3870" max="3870" width="22.42578125" bestFit="1" customWidth="1"/>
    <col min="3871" max="3871" width="26" bestFit="1" customWidth="1"/>
    <col min="3872" max="3872" width="18.28515625" bestFit="1" customWidth="1"/>
    <col min="3873" max="3873" width="22.42578125" bestFit="1" customWidth="1"/>
    <col min="3874" max="3874" width="26" bestFit="1" customWidth="1"/>
    <col min="3875" max="3875" width="18.28515625" bestFit="1" customWidth="1"/>
    <col min="3876" max="3876" width="22.42578125" bestFit="1" customWidth="1"/>
    <col min="3877" max="3877" width="26" bestFit="1" customWidth="1"/>
    <col min="3878" max="3878" width="18.28515625" bestFit="1" customWidth="1"/>
    <col min="3879" max="3879" width="22.42578125" bestFit="1" customWidth="1"/>
    <col min="3880" max="3880" width="26" bestFit="1" customWidth="1"/>
    <col min="3881" max="3881" width="18.28515625" bestFit="1" customWidth="1"/>
    <col min="3882" max="3882" width="22.42578125" bestFit="1" customWidth="1"/>
    <col min="3883" max="3883" width="26" bestFit="1" customWidth="1"/>
    <col min="3884" max="3884" width="18.28515625" bestFit="1" customWidth="1"/>
    <col min="3885" max="3885" width="22.42578125" bestFit="1" customWidth="1"/>
    <col min="3886" max="3886" width="26" bestFit="1" customWidth="1"/>
    <col min="3887" max="3887" width="18.28515625" bestFit="1" customWidth="1"/>
    <col min="3888" max="3888" width="22.42578125" bestFit="1" customWidth="1"/>
    <col min="3889" max="3889" width="26" bestFit="1" customWidth="1"/>
    <col min="3890" max="3890" width="18.28515625" bestFit="1" customWidth="1"/>
    <col min="3891" max="3891" width="22.42578125" bestFit="1" customWidth="1"/>
    <col min="3892" max="3892" width="26" bestFit="1" customWidth="1"/>
    <col min="3893" max="3893" width="18.28515625" bestFit="1" customWidth="1"/>
    <col min="3894" max="3894" width="22.42578125" bestFit="1" customWidth="1"/>
    <col min="3895" max="3895" width="26" bestFit="1" customWidth="1"/>
    <col min="3896" max="3896" width="18.28515625" bestFit="1" customWidth="1"/>
    <col min="3897" max="3897" width="22.42578125" bestFit="1" customWidth="1"/>
    <col min="3898" max="3898" width="26" bestFit="1" customWidth="1"/>
    <col min="3899" max="3899" width="18.28515625" bestFit="1" customWidth="1"/>
    <col min="3900" max="3900" width="22.42578125" bestFit="1" customWidth="1"/>
    <col min="3901" max="3901" width="26" bestFit="1" customWidth="1"/>
    <col min="3902" max="3902" width="18.28515625" bestFit="1" customWidth="1"/>
    <col min="3903" max="3903" width="22.42578125" bestFit="1" customWidth="1"/>
    <col min="3904" max="3904" width="26" bestFit="1" customWidth="1"/>
    <col min="3905" max="3905" width="18.28515625" bestFit="1" customWidth="1"/>
    <col min="3906" max="3906" width="22.42578125" bestFit="1" customWidth="1"/>
    <col min="3907" max="3907" width="26" bestFit="1" customWidth="1"/>
    <col min="3908" max="3908" width="18.28515625" bestFit="1" customWidth="1"/>
    <col min="3909" max="3909" width="22.42578125" bestFit="1" customWidth="1"/>
    <col min="3910" max="3910" width="26" bestFit="1" customWidth="1"/>
    <col min="3911" max="3911" width="18.28515625" bestFit="1" customWidth="1"/>
    <col min="3912" max="3912" width="22.42578125" bestFit="1" customWidth="1"/>
    <col min="3913" max="3913" width="26" bestFit="1" customWidth="1"/>
    <col min="3914" max="3914" width="18.28515625" bestFit="1" customWidth="1"/>
    <col min="3915" max="3915" width="22.42578125" bestFit="1" customWidth="1"/>
    <col min="3916" max="3916" width="26" bestFit="1" customWidth="1"/>
    <col min="3917" max="3917" width="18.28515625" bestFit="1" customWidth="1"/>
    <col min="3918" max="3918" width="22.42578125" bestFit="1" customWidth="1"/>
    <col min="3919" max="3919" width="26" bestFit="1" customWidth="1"/>
    <col min="3920" max="3920" width="18.28515625" bestFit="1" customWidth="1"/>
    <col min="3921" max="3921" width="22.42578125" bestFit="1" customWidth="1"/>
    <col min="3922" max="3922" width="26" bestFit="1" customWidth="1"/>
    <col min="3923" max="3923" width="18.28515625" bestFit="1" customWidth="1"/>
    <col min="3924" max="3924" width="22.42578125" bestFit="1" customWidth="1"/>
    <col min="3925" max="3925" width="26" bestFit="1" customWidth="1"/>
    <col min="3926" max="3926" width="18.28515625" bestFit="1" customWidth="1"/>
    <col min="3927" max="3927" width="22.42578125" bestFit="1" customWidth="1"/>
    <col min="3928" max="3928" width="26" bestFit="1" customWidth="1"/>
    <col min="3929" max="3929" width="18.28515625" bestFit="1" customWidth="1"/>
    <col min="3930" max="3930" width="22.42578125" bestFit="1" customWidth="1"/>
    <col min="3931" max="3931" width="26" bestFit="1" customWidth="1"/>
    <col min="3932" max="3932" width="18.28515625" bestFit="1" customWidth="1"/>
    <col min="3933" max="3933" width="22.42578125" bestFit="1" customWidth="1"/>
    <col min="3934" max="3934" width="26" bestFit="1" customWidth="1"/>
    <col min="3935" max="3935" width="18.28515625" bestFit="1" customWidth="1"/>
    <col min="3936" max="3936" width="22.42578125" bestFit="1" customWidth="1"/>
    <col min="3937" max="3937" width="26" bestFit="1" customWidth="1"/>
    <col min="3938" max="3938" width="18.28515625" bestFit="1" customWidth="1"/>
    <col min="3939" max="3939" width="22.42578125" bestFit="1" customWidth="1"/>
    <col min="3940" max="3940" width="26" bestFit="1" customWidth="1"/>
    <col min="3941" max="3941" width="18.28515625" bestFit="1" customWidth="1"/>
    <col min="3942" max="3942" width="22.42578125" bestFit="1" customWidth="1"/>
    <col min="3943" max="3943" width="26" bestFit="1" customWidth="1"/>
    <col min="3944" max="3944" width="18.28515625" bestFit="1" customWidth="1"/>
    <col min="3945" max="3945" width="22.42578125" bestFit="1" customWidth="1"/>
    <col min="3946" max="3946" width="26" bestFit="1" customWidth="1"/>
    <col min="3947" max="3947" width="18.28515625" bestFit="1" customWidth="1"/>
    <col min="3948" max="3948" width="22.42578125" bestFit="1" customWidth="1"/>
    <col min="3949" max="3949" width="26" bestFit="1" customWidth="1"/>
    <col min="3950" max="3950" width="18.28515625" bestFit="1" customWidth="1"/>
    <col min="3951" max="3951" width="22.42578125" bestFit="1" customWidth="1"/>
    <col min="3952" max="3952" width="26" bestFit="1" customWidth="1"/>
    <col min="3953" max="3953" width="18.28515625" bestFit="1" customWidth="1"/>
    <col min="3954" max="3954" width="22.42578125" bestFit="1" customWidth="1"/>
    <col min="3955" max="3955" width="26" bestFit="1" customWidth="1"/>
    <col min="3956" max="3956" width="18.28515625" bestFit="1" customWidth="1"/>
    <col min="3957" max="3957" width="22.42578125" bestFit="1" customWidth="1"/>
    <col min="3958" max="3958" width="26" bestFit="1" customWidth="1"/>
    <col min="3959" max="3959" width="18.28515625" bestFit="1" customWidth="1"/>
    <col min="3960" max="3960" width="22.42578125" bestFit="1" customWidth="1"/>
    <col min="3961" max="3961" width="26" bestFit="1" customWidth="1"/>
    <col min="3962" max="3962" width="18.28515625" bestFit="1" customWidth="1"/>
    <col min="3963" max="3963" width="22.42578125" bestFit="1" customWidth="1"/>
    <col min="3964" max="3964" width="26" bestFit="1" customWidth="1"/>
    <col min="3965" max="3965" width="18.28515625" bestFit="1" customWidth="1"/>
    <col min="3966" max="3966" width="22.42578125" bestFit="1" customWidth="1"/>
    <col min="3967" max="3967" width="26" bestFit="1" customWidth="1"/>
    <col min="3968" max="3968" width="18.28515625" bestFit="1" customWidth="1"/>
    <col min="3969" max="3969" width="22.42578125" bestFit="1" customWidth="1"/>
    <col min="3970" max="3970" width="26" bestFit="1" customWidth="1"/>
    <col min="3971" max="3971" width="18.28515625" bestFit="1" customWidth="1"/>
    <col min="3972" max="3972" width="22.42578125" bestFit="1" customWidth="1"/>
    <col min="3973" max="3973" width="26" bestFit="1" customWidth="1"/>
    <col min="3974" max="3974" width="18.28515625" bestFit="1" customWidth="1"/>
    <col min="3975" max="3975" width="22.42578125" bestFit="1" customWidth="1"/>
    <col min="3976" max="3976" width="26" bestFit="1" customWidth="1"/>
    <col min="3977" max="3977" width="18.28515625" bestFit="1" customWidth="1"/>
    <col min="3978" max="3978" width="22.42578125" bestFit="1" customWidth="1"/>
    <col min="3979" max="3979" width="26" bestFit="1" customWidth="1"/>
    <col min="3980" max="3980" width="18.28515625" bestFit="1" customWidth="1"/>
    <col min="3981" max="3981" width="22.42578125" bestFit="1" customWidth="1"/>
    <col min="3982" max="3982" width="26" bestFit="1" customWidth="1"/>
    <col min="3983" max="3983" width="18.28515625" bestFit="1" customWidth="1"/>
    <col min="3984" max="3984" width="22.42578125" bestFit="1" customWidth="1"/>
    <col min="3985" max="3985" width="26" bestFit="1" customWidth="1"/>
    <col min="3986" max="3986" width="18.28515625" bestFit="1" customWidth="1"/>
    <col min="3987" max="3987" width="22.42578125" bestFit="1" customWidth="1"/>
    <col min="3988" max="3988" width="26" bestFit="1" customWidth="1"/>
    <col min="3989" max="3989" width="18.28515625" bestFit="1" customWidth="1"/>
    <col min="3990" max="3990" width="22.42578125" bestFit="1" customWidth="1"/>
    <col min="3991" max="3991" width="26" bestFit="1" customWidth="1"/>
    <col min="3992" max="3992" width="18.28515625" bestFit="1" customWidth="1"/>
    <col min="3993" max="3993" width="22.42578125" bestFit="1" customWidth="1"/>
    <col min="3994" max="3994" width="26" bestFit="1" customWidth="1"/>
    <col min="3995" max="3995" width="18.28515625" bestFit="1" customWidth="1"/>
    <col min="3996" max="3996" width="22.42578125" bestFit="1" customWidth="1"/>
    <col min="3997" max="3997" width="26" bestFit="1" customWidth="1"/>
    <col min="3998" max="3998" width="18.28515625" bestFit="1" customWidth="1"/>
    <col min="3999" max="3999" width="22.42578125" bestFit="1" customWidth="1"/>
    <col min="4000" max="4000" width="26" bestFit="1" customWidth="1"/>
    <col min="4001" max="4001" width="18.28515625" bestFit="1" customWidth="1"/>
    <col min="4002" max="4002" width="22.42578125" bestFit="1" customWidth="1"/>
    <col min="4003" max="4003" width="26" bestFit="1" customWidth="1"/>
    <col min="4004" max="4004" width="18.28515625" bestFit="1" customWidth="1"/>
    <col min="4005" max="4005" width="22.42578125" bestFit="1" customWidth="1"/>
    <col min="4006" max="4006" width="26" bestFit="1" customWidth="1"/>
    <col min="4007" max="4007" width="18.28515625" bestFit="1" customWidth="1"/>
    <col min="4008" max="4008" width="22.42578125" bestFit="1" customWidth="1"/>
    <col min="4009" max="4009" width="26" bestFit="1" customWidth="1"/>
    <col min="4010" max="4010" width="18.28515625" bestFit="1" customWidth="1"/>
    <col min="4011" max="4011" width="22.42578125" bestFit="1" customWidth="1"/>
    <col min="4012" max="4012" width="26" bestFit="1" customWidth="1"/>
    <col min="4013" max="4013" width="18.28515625" bestFit="1" customWidth="1"/>
    <col min="4014" max="4014" width="22.42578125" bestFit="1" customWidth="1"/>
    <col min="4015" max="4015" width="26" bestFit="1" customWidth="1"/>
    <col min="4016" max="4016" width="18.28515625" bestFit="1" customWidth="1"/>
    <col min="4017" max="4017" width="22.42578125" bestFit="1" customWidth="1"/>
    <col min="4018" max="4018" width="26" bestFit="1" customWidth="1"/>
    <col min="4019" max="4019" width="18.28515625" bestFit="1" customWidth="1"/>
    <col min="4020" max="4020" width="22.42578125" bestFit="1" customWidth="1"/>
    <col min="4021" max="4021" width="26" bestFit="1" customWidth="1"/>
    <col min="4022" max="4022" width="18.28515625" bestFit="1" customWidth="1"/>
    <col min="4023" max="4023" width="22.42578125" bestFit="1" customWidth="1"/>
    <col min="4024" max="4024" width="26" bestFit="1" customWidth="1"/>
    <col min="4025" max="4025" width="18.28515625" bestFit="1" customWidth="1"/>
    <col min="4026" max="4026" width="22.42578125" bestFit="1" customWidth="1"/>
    <col min="4027" max="4027" width="26" bestFit="1" customWidth="1"/>
    <col min="4028" max="4028" width="18.28515625" bestFit="1" customWidth="1"/>
    <col min="4029" max="4029" width="22.42578125" bestFit="1" customWidth="1"/>
    <col min="4030" max="4030" width="26" bestFit="1" customWidth="1"/>
    <col min="4031" max="4031" width="18.28515625" bestFit="1" customWidth="1"/>
    <col min="4032" max="4032" width="22.42578125" bestFit="1" customWidth="1"/>
    <col min="4033" max="4033" width="26" bestFit="1" customWidth="1"/>
    <col min="4034" max="4034" width="18.28515625" bestFit="1" customWidth="1"/>
    <col min="4035" max="4035" width="22.42578125" bestFit="1" customWidth="1"/>
    <col min="4036" max="4036" width="26" bestFit="1" customWidth="1"/>
    <col min="4037" max="4037" width="18.28515625" bestFit="1" customWidth="1"/>
    <col min="4038" max="4038" width="22.42578125" bestFit="1" customWidth="1"/>
    <col min="4039" max="4039" width="26" bestFit="1" customWidth="1"/>
    <col min="4040" max="4040" width="18.28515625" bestFit="1" customWidth="1"/>
    <col min="4041" max="4041" width="22.42578125" bestFit="1" customWidth="1"/>
    <col min="4042" max="4042" width="26" bestFit="1" customWidth="1"/>
    <col min="4043" max="4043" width="18.28515625" bestFit="1" customWidth="1"/>
    <col min="4044" max="4044" width="22.42578125" bestFit="1" customWidth="1"/>
    <col min="4045" max="4045" width="26" bestFit="1" customWidth="1"/>
    <col min="4046" max="4046" width="18.28515625" bestFit="1" customWidth="1"/>
    <col min="4047" max="4047" width="22.42578125" bestFit="1" customWidth="1"/>
    <col min="4048" max="4048" width="26" bestFit="1" customWidth="1"/>
    <col min="4049" max="4049" width="18.28515625" bestFit="1" customWidth="1"/>
    <col min="4050" max="4050" width="22.42578125" bestFit="1" customWidth="1"/>
    <col min="4051" max="4051" width="26" bestFit="1" customWidth="1"/>
    <col min="4052" max="4052" width="18.28515625" bestFit="1" customWidth="1"/>
    <col min="4053" max="4053" width="22.42578125" bestFit="1" customWidth="1"/>
    <col min="4054" max="4054" width="26" bestFit="1" customWidth="1"/>
    <col min="4055" max="4055" width="18.28515625" bestFit="1" customWidth="1"/>
    <col min="4056" max="4056" width="22.42578125" bestFit="1" customWidth="1"/>
    <col min="4057" max="4057" width="26" bestFit="1" customWidth="1"/>
    <col min="4058" max="4058" width="18.28515625" bestFit="1" customWidth="1"/>
    <col min="4059" max="4059" width="22.42578125" bestFit="1" customWidth="1"/>
    <col min="4060" max="4060" width="26" bestFit="1" customWidth="1"/>
    <col min="4061" max="4061" width="18.28515625" bestFit="1" customWidth="1"/>
    <col min="4062" max="4062" width="22.42578125" bestFit="1" customWidth="1"/>
    <col min="4063" max="4063" width="26" bestFit="1" customWidth="1"/>
    <col min="4064" max="4064" width="18.28515625" bestFit="1" customWidth="1"/>
    <col min="4065" max="4065" width="22.42578125" bestFit="1" customWidth="1"/>
    <col min="4066" max="4066" width="26" bestFit="1" customWidth="1"/>
    <col min="4067" max="4067" width="18.28515625" bestFit="1" customWidth="1"/>
    <col min="4068" max="4068" width="22.42578125" bestFit="1" customWidth="1"/>
    <col min="4069" max="4069" width="26" bestFit="1" customWidth="1"/>
    <col min="4070" max="4070" width="18.28515625" bestFit="1" customWidth="1"/>
    <col min="4071" max="4071" width="22.42578125" bestFit="1" customWidth="1"/>
    <col min="4072" max="4072" width="26" bestFit="1" customWidth="1"/>
    <col min="4073" max="4073" width="18.28515625" bestFit="1" customWidth="1"/>
    <col min="4074" max="4074" width="22.42578125" bestFit="1" customWidth="1"/>
    <col min="4075" max="4075" width="26" bestFit="1" customWidth="1"/>
    <col min="4076" max="4076" width="18.28515625" bestFit="1" customWidth="1"/>
    <col min="4077" max="4077" width="22.42578125" bestFit="1" customWidth="1"/>
    <col min="4078" max="4078" width="26" bestFit="1" customWidth="1"/>
    <col min="4079" max="4079" width="18.28515625" bestFit="1" customWidth="1"/>
    <col min="4080" max="4080" width="22.42578125" bestFit="1" customWidth="1"/>
    <col min="4081" max="4081" width="26" bestFit="1" customWidth="1"/>
    <col min="4082" max="4082" width="18.28515625" bestFit="1" customWidth="1"/>
    <col min="4083" max="4083" width="22.42578125" bestFit="1" customWidth="1"/>
    <col min="4084" max="4084" width="26" bestFit="1" customWidth="1"/>
    <col min="4085" max="4085" width="18.28515625" bestFit="1" customWidth="1"/>
    <col min="4086" max="4086" width="22.42578125" bestFit="1" customWidth="1"/>
    <col min="4087" max="4087" width="26" bestFit="1" customWidth="1"/>
    <col min="4088" max="4088" width="18.28515625" bestFit="1" customWidth="1"/>
    <col min="4089" max="4089" width="22.42578125" bestFit="1" customWidth="1"/>
    <col min="4090" max="4090" width="26" bestFit="1" customWidth="1"/>
    <col min="4091" max="4091" width="18.28515625" bestFit="1" customWidth="1"/>
    <col min="4092" max="4092" width="22.42578125" bestFit="1" customWidth="1"/>
    <col min="4093" max="4093" width="26" bestFit="1" customWidth="1"/>
    <col min="4094" max="4094" width="18.28515625" bestFit="1" customWidth="1"/>
    <col min="4095" max="4095" width="22.42578125" bestFit="1" customWidth="1"/>
    <col min="4096" max="4096" width="26" bestFit="1" customWidth="1"/>
    <col min="4097" max="4097" width="18.28515625" bestFit="1" customWidth="1"/>
    <col min="4098" max="4098" width="22.42578125" bestFit="1" customWidth="1"/>
    <col min="4099" max="4099" width="26" bestFit="1" customWidth="1"/>
    <col min="4100" max="4100" width="18.28515625" bestFit="1" customWidth="1"/>
    <col min="4101" max="4101" width="22.42578125" bestFit="1" customWidth="1"/>
    <col min="4102" max="4102" width="26" bestFit="1" customWidth="1"/>
    <col min="4103" max="4103" width="18.28515625" bestFit="1" customWidth="1"/>
    <col min="4104" max="4104" width="22.42578125" bestFit="1" customWidth="1"/>
    <col min="4105" max="4105" width="26" bestFit="1" customWidth="1"/>
    <col min="4106" max="4106" width="18.28515625" bestFit="1" customWidth="1"/>
    <col min="4107" max="4107" width="22.42578125" bestFit="1" customWidth="1"/>
    <col min="4108" max="4108" width="26" bestFit="1" customWidth="1"/>
    <col min="4109" max="4109" width="18.28515625" bestFit="1" customWidth="1"/>
    <col min="4110" max="4110" width="22.42578125" bestFit="1" customWidth="1"/>
    <col min="4111" max="4111" width="26" bestFit="1" customWidth="1"/>
    <col min="4112" max="4112" width="18.28515625" bestFit="1" customWidth="1"/>
    <col min="4113" max="4113" width="22.42578125" bestFit="1" customWidth="1"/>
    <col min="4114" max="4114" width="26" bestFit="1" customWidth="1"/>
    <col min="4115" max="4115" width="18.28515625" bestFit="1" customWidth="1"/>
    <col min="4116" max="4116" width="22.42578125" bestFit="1" customWidth="1"/>
    <col min="4117" max="4117" width="26" bestFit="1" customWidth="1"/>
    <col min="4118" max="4118" width="18.28515625" bestFit="1" customWidth="1"/>
    <col min="4119" max="4119" width="22.42578125" bestFit="1" customWidth="1"/>
    <col min="4120" max="4120" width="26" bestFit="1" customWidth="1"/>
    <col min="4121" max="4121" width="18.28515625" bestFit="1" customWidth="1"/>
    <col min="4122" max="4122" width="22.42578125" bestFit="1" customWidth="1"/>
    <col min="4123" max="4123" width="26" bestFit="1" customWidth="1"/>
    <col min="4124" max="4124" width="18.28515625" bestFit="1" customWidth="1"/>
    <col min="4125" max="4125" width="22.42578125" bestFit="1" customWidth="1"/>
    <col min="4126" max="4126" width="26" bestFit="1" customWidth="1"/>
    <col min="4127" max="4127" width="18.28515625" bestFit="1" customWidth="1"/>
    <col min="4128" max="4128" width="22.42578125" bestFit="1" customWidth="1"/>
    <col min="4129" max="4129" width="26" bestFit="1" customWidth="1"/>
    <col min="4130" max="4130" width="18.28515625" bestFit="1" customWidth="1"/>
    <col min="4131" max="4131" width="22.42578125" bestFit="1" customWidth="1"/>
    <col min="4132" max="4132" width="26" bestFit="1" customWidth="1"/>
    <col min="4133" max="4133" width="18.28515625" bestFit="1" customWidth="1"/>
    <col min="4134" max="4134" width="22.42578125" bestFit="1" customWidth="1"/>
    <col min="4135" max="4135" width="26" bestFit="1" customWidth="1"/>
    <col min="4136" max="4136" width="18.28515625" bestFit="1" customWidth="1"/>
    <col min="4137" max="4137" width="22.42578125" bestFit="1" customWidth="1"/>
    <col min="4138" max="4138" width="26" bestFit="1" customWidth="1"/>
    <col min="4139" max="4139" width="18.28515625" bestFit="1" customWidth="1"/>
    <col min="4140" max="4140" width="22.42578125" bestFit="1" customWidth="1"/>
    <col min="4141" max="4141" width="26" bestFit="1" customWidth="1"/>
    <col min="4142" max="4142" width="18.28515625" bestFit="1" customWidth="1"/>
    <col min="4143" max="4143" width="22.42578125" bestFit="1" customWidth="1"/>
    <col min="4144" max="4144" width="26" bestFit="1" customWidth="1"/>
    <col min="4145" max="4145" width="18.28515625" bestFit="1" customWidth="1"/>
    <col min="4146" max="4146" width="22.42578125" bestFit="1" customWidth="1"/>
    <col min="4147" max="4147" width="26" bestFit="1" customWidth="1"/>
    <col min="4148" max="4148" width="18.28515625" bestFit="1" customWidth="1"/>
    <col min="4149" max="4149" width="22.42578125" bestFit="1" customWidth="1"/>
    <col min="4150" max="4150" width="26" bestFit="1" customWidth="1"/>
    <col min="4151" max="4151" width="18.28515625" bestFit="1" customWidth="1"/>
    <col min="4152" max="4152" width="22.42578125" bestFit="1" customWidth="1"/>
    <col min="4153" max="4153" width="26" bestFit="1" customWidth="1"/>
    <col min="4154" max="4154" width="18.28515625" bestFit="1" customWidth="1"/>
    <col min="4155" max="4155" width="22.42578125" bestFit="1" customWidth="1"/>
    <col min="4156" max="4156" width="26" bestFit="1" customWidth="1"/>
    <col min="4157" max="4157" width="18.28515625" bestFit="1" customWidth="1"/>
    <col min="4158" max="4158" width="22.42578125" bestFit="1" customWidth="1"/>
    <col min="4159" max="4159" width="26" bestFit="1" customWidth="1"/>
    <col min="4160" max="4160" width="18.28515625" bestFit="1" customWidth="1"/>
    <col min="4161" max="4161" width="22.42578125" bestFit="1" customWidth="1"/>
    <col min="4162" max="4162" width="26" bestFit="1" customWidth="1"/>
    <col min="4163" max="4163" width="18.28515625" bestFit="1" customWidth="1"/>
    <col min="4164" max="4164" width="22.42578125" bestFit="1" customWidth="1"/>
    <col min="4165" max="4165" width="26" bestFit="1" customWidth="1"/>
    <col min="4166" max="4166" width="18.28515625" bestFit="1" customWidth="1"/>
    <col min="4167" max="4167" width="22.42578125" bestFit="1" customWidth="1"/>
    <col min="4168" max="4168" width="26" bestFit="1" customWidth="1"/>
    <col min="4169" max="4169" width="18.28515625" bestFit="1" customWidth="1"/>
    <col min="4170" max="4170" width="22.42578125" bestFit="1" customWidth="1"/>
    <col min="4171" max="4171" width="26" bestFit="1" customWidth="1"/>
    <col min="4172" max="4172" width="18.28515625" bestFit="1" customWidth="1"/>
    <col min="4173" max="4173" width="22.42578125" bestFit="1" customWidth="1"/>
    <col min="4174" max="4174" width="26" bestFit="1" customWidth="1"/>
    <col min="4175" max="4175" width="18.28515625" bestFit="1" customWidth="1"/>
    <col min="4176" max="4176" width="22.42578125" bestFit="1" customWidth="1"/>
    <col min="4177" max="4177" width="26" bestFit="1" customWidth="1"/>
    <col min="4178" max="4178" width="18.28515625" bestFit="1" customWidth="1"/>
    <col min="4179" max="4179" width="22.42578125" bestFit="1" customWidth="1"/>
    <col min="4180" max="4180" width="26" bestFit="1" customWidth="1"/>
    <col min="4181" max="4181" width="18.28515625" bestFit="1" customWidth="1"/>
    <col min="4182" max="4182" width="22.42578125" bestFit="1" customWidth="1"/>
    <col min="4183" max="4183" width="26" bestFit="1" customWidth="1"/>
    <col min="4184" max="4184" width="18.28515625" bestFit="1" customWidth="1"/>
    <col min="4185" max="4185" width="22.42578125" bestFit="1" customWidth="1"/>
    <col min="4186" max="4186" width="26" bestFit="1" customWidth="1"/>
    <col min="4187" max="4187" width="18.28515625" bestFit="1" customWidth="1"/>
    <col min="4188" max="4188" width="22.42578125" bestFit="1" customWidth="1"/>
    <col min="4189" max="4189" width="26" bestFit="1" customWidth="1"/>
    <col min="4190" max="4190" width="18.28515625" bestFit="1" customWidth="1"/>
    <col min="4191" max="4191" width="22.42578125" bestFit="1" customWidth="1"/>
    <col min="4192" max="4192" width="26" bestFit="1" customWidth="1"/>
    <col min="4193" max="4193" width="18.28515625" bestFit="1" customWidth="1"/>
    <col min="4194" max="4194" width="22.42578125" bestFit="1" customWidth="1"/>
    <col min="4195" max="4195" width="26" bestFit="1" customWidth="1"/>
    <col min="4196" max="4196" width="18.28515625" bestFit="1" customWidth="1"/>
    <col min="4197" max="4197" width="22.42578125" bestFit="1" customWidth="1"/>
    <col min="4198" max="4198" width="26" bestFit="1" customWidth="1"/>
    <col min="4199" max="4199" width="18.28515625" bestFit="1" customWidth="1"/>
    <col min="4200" max="4200" width="22.42578125" bestFit="1" customWidth="1"/>
    <col min="4201" max="4201" width="26" bestFit="1" customWidth="1"/>
    <col min="4202" max="4202" width="18.28515625" bestFit="1" customWidth="1"/>
    <col min="4203" max="4203" width="22.42578125" bestFit="1" customWidth="1"/>
    <col min="4204" max="4204" width="26" bestFit="1" customWidth="1"/>
    <col min="4205" max="4205" width="18.28515625" bestFit="1" customWidth="1"/>
    <col min="4206" max="4206" width="22.42578125" bestFit="1" customWidth="1"/>
    <col min="4207" max="4207" width="26" bestFit="1" customWidth="1"/>
    <col min="4208" max="4208" width="18.28515625" bestFit="1" customWidth="1"/>
    <col min="4209" max="4209" width="22.42578125" bestFit="1" customWidth="1"/>
    <col min="4210" max="4210" width="26" bestFit="1" customWidth="1"/>
    <col min="4211" max="4211" width="18.28515625" bestFit="1" customWidth="1"/>
    <col min="4212" max="4212" width="22.42578125" bestFit="1" customWidth="1"/>
    <col min="4213" max="4213" width="26" bestFit="1" customWidth="1"/>
    <col min="4214" max="4214" width="18.28515625" bestFit="1" customWidth="1"/>
    <col min="4215" max="4215" width="22.42578125" bestFit="1" customWidth="1"/>
    <col min="4216" max="4216" width="26" bestFit="1" customWidth="1"/>
    <col min="4217" max="4217" width="18.28515625" bestFit="1" customWidth="1"/>
    <col min="4218" max="4218" width="22.42578125" bestFit="1" customWidth="1"/>
    <col min="4219" max="4219" width="26" bestFit="1" customWidth="1"/>
    <col min="4220" max="4220" width="18.28515625" bestFit="1" customWidth="1"/>
    <col min="4221" max="4221" width="22.42578125" bestFit="1" customWidth="1"/>
    <col min="4222" max="4222" width="26" bestFit="1" customWidth="1"/>
    <col min="4223" max="4223" width="18.28515625" bestFit="1" customWidth="1"/>
    <col min="4224" max="4224" width="22.42578125" bestFit="1" customWidth="1"/>
    <col min="4225" max="4225" width="26" bestFit="1" customWidth="1"/>
    <col min="4226" max="4226" width="18.28515625" bestFit="1" customWidth="1"/>
    <col min="4227" max="4227" width="22.42578125" bestFit="1" customWidth="1"/>
    <col min="4228" max="4228" width="26" bestFit="1" customWidth="1"/>
    <col min="4229" max="4229" width="18.28515625" bestFit="1" customWidth="1"/>
    <col min="4230" max="4230" width="22.42578125" bestFit="1" customWidth="1"/>
    <col min="4231" max="4231" width="26" bestFit="1" customWidth="1"/>
    <col min="4232" max="4232" width="18.28515625" bestFit="1" customWidth="1"/>
    <col min="4233" max="4233" width="22.42578125" bestFit="1" customWidth="1"/>
    <col min="4234" max="4234" width="26" bestFit="1" customWidth="1"/>
    <col min="4235" max="4235" width="18.28515625" bestFit="1" customWidth="1"/>
    <col min="4236" max="4236" width="22.42578125" bestFit="1" customWidth="1"/>
    <col min="4237" max="4237" width="26" bestFit="1" customWidth="1"/>
    <col min="4238" max="4238" width="18.28515625" bestFit="1" customWidth="1"/>
    <col min="4239" max="4239" width="22.42578125" bestFit="1" customWidth="1"/>
    <col min="4240" max="4240" width="26" bestFit="1" customWidth="1"/>
    <col min="4241" max="4241" width="18.28515625" bestFit="1" customWidth="1"/>
    <col min="4242" max="4242" width="22.42578125" bestFit="1" customWidth="1"/>
    <col min="4243" max="4243" width="26" bestFit="1" customWidth="1"/>
    <col min="4244" max="4244" width="18.28515625" bestFit="1" customWidth="1"/>
    <col min="4245" max="4245" width="22.42578125" bestFit="1" customWidth="1"/>
    <col min="4246" max="4246" width="26" bestFit="1" customWidth="1"/>
    <col min="4247" max="4247" width="18.28515625" bestFit="1" customWidth="1"/>
    <col min="4248" max="4248" width="22.42578125" bestFit="1" customWidth="1"/>
    <col min="4249" max="4249" width="26" bestFit="1" customWidth="1"/>
    <col min="4250" max="4250" width="18.28515625" bestFit="1" customWidth="1"/>
    <col min="4251" max="4251" width="22.42578125" bestFit="1" customWidth="1"/>
    <col min="4252" max="4252" width="26" bestFit="1" customWidth="1"/>
    <col min="4253" max="4253" width="18.28515625" bestFit="1" customWidth="1"/>
    <col min="4254" max="4254" width="22.42578125" bestFit="1" customWidth="1"/>
    <col min="4255" max="4255" width="26" bestFit="1" customWidth="1"/>
    <col min="4256" max="4256" width="18.28515625" bestFit="1" customWidth="1"/>
    <col min="4257" max="4257" width="22.42578125" bestFit="1" customWidth="1"/>
    <col min="4258" max="4258" width="26" bestFit="1" customWidth="1"/>
    <col min="4259" max="4259" width="18.28515625" bestFit="1" customWidth="1"/>
    <col min="4260" max="4260" width="22.42578125" bestFit="1" customWidth="1"/>
    <col min="4261" max="4261" width="26" bestFit="1" customWidth="1"/>
    <col min="4262" max="4262" width="18.28515625" bestFit="1" customWidth="1"/>
    <col min="4263" max="4263" width="22.42578125" bestFit="1" customWidth="1"/>
    <col min="4264" max="4264" width="26" bestFit="1" customWidth="1"/>
    <col min="4265" max="4265" width="18.28515625" bestFit="1" customWidth="1"/>
    <col min="4266" max="4266" width="22.42578125" bestFit="1" customWidth="1"/>
    <col min="4267" max="4267" width="26" bestFit="1" customWidth="1"/>
    <col min="4268" max="4268" width="18.28515625" bestFit="1" customWidth="1"/>
    <col min="4269" max="4269" width="22.42578125" bestFit="1" customWidth="1"/>
    <col min="4270" max="4270" width="26" bestFit="1" customWidth="1"/>
    <col min="4271" max="4271" width="18.28515625" bestFit="1" customWidth="1"/>
    <col min="4272" max="4272" width="22.42578125" bestFit="1" customWidth="1"/>
    <col min="4273" max="4273" width="26" bestFit="1" customWidth="1"/>
    <col min="4274" max="4274" width="18.28515625" bestFit="1" customWidth="1"/>
    <col min="4275" max="4275" width="22.42578125" bestFit="1" customWidth="1"/>
    <col min="4276" max="4276" width="26" bestFit="1" customWidth="1"/>
    <col min="4277" max="4277" width="18.28515625" bestFit="1" customWidth="1"/>
    <col min="4278" max="4278" width="22.42578125" bestFit="1" customWidth="1"/>
    <col min="4279" max="4279" width="26" bestFit="1" customWidth="1"/>
    <col min="4280" max="4280" width="18.28515625" bestFit="1" customWidth="1"/>
    <col min="4281" max="4281" width="22.42578125" bestFit="1" customWidth="1"/>
    <col min="4282" max="4282" width="26" bestFit="1" customWidth="1"/>
    <col min="4283" max="4283" width="18.28515625" bestFit="1" customWidth="1"/>
    <col min="4284" max="4284" width="22.42578125" bestFit="1" customWidth="1"/>
    <col min="4285" max="4285" width="26" bestFit="1" customWidth="1"/>
    <col min="4286" max="4286" width="18.28515625" bestFit="1" customWidth="1"/>
    <col min="4287" max="4287" width="22.42578125" bestFit="1" customWidth="1"/>
    <col min="4288" max="4288" width="26" bestFit="1" customWidth="1"/>
    <col min="4289" max="4289" width="18.28515625" bestFit="1" customWidth="1"/>
    <col min="4290" max="4290" width="22.42578125" bestFit="1" customWidth="1"/>
    <col min="4291" max="4291" width="26" bestFit="1" customWidth="1"/>
    <col min="4292" max="4292" width="18.28515625" bestFit="1" customWidth="1"/>
    <col min="4293" max="4293" width="22.42578125" bestFit="1" customWidth="1"/>
    <col min="4294" max="4294" width="26" bestFit="1" customWidth="1"/>
    <col min="4295" max="4295" width="18.28515625" bestFit="1" customWidth="1"/>
    <col min="4296" max="4296" width="22.42578125" bestFit="1" customWidth="1"/>
    <col min="4297" max="4297" width="26" bestFit="1" customWidth="1"/>
    <col min="4298" max="4298" width="18.28515625" bestFit="1" customWidth="1"/>
    <col min="4299" max="4299" width="22.42578125" bestFit="1" customWidth="1"/>
    <col min="4300" max="4300" width="26" bestFit="1" customWidth="1"/>
    <col min="4301" max="4301" width="18.28515625" bestFit="1" customWidth="1"/>
    <col min="4302" max="4302" width="22.42578125" bestFit="1" customWidth="1"/>
    <col min="4303" max="4303" width="26" bestFit="1" customWidth="1"/>
    <col min="4304" max="4304" width="18.28515625" bestFit="1" customWidth="1"/>
    <col min="4305" max="4305" width="22.42578125" bestFit="1" customWidth="1"/>
    <col min="4306" max="4306" width="26" bestFit="1" customWidth="1"/>
    <col min="4307" max="4307" width="18.28515625" bestFit="1" customWidth="1"/>
    <col min="4308" max="4308" width="22.42578125" bestFit="1" customWidth="1"/>
    <col min="4309" max="4309" width="26" bestFit="1" customWidth="1"/>
    <col min="4310" max="4310" width="18.28515625" bestFit="1" customWidth="1"/>
    <col min="4311" max="4311" width="22.42578125" bestFit="1" customWidth="1"/>
    <col min="4312" max="4312" width="26" bestFit="1" customWidth="1"/>
    <col min="4313" max="4313" width="18.28515625" bestFit="1" customWidth="1"/>
    <col min="4314" max="4314" width="22.42578125" bestFit="1" customWidth="1"/>
    <col min="4315" max="4315" width="26" bestFit="1" customWidth="1"/>
    <col min="4316" max="4316" width="18.28515625" bestFit="1" customWidth="1"/>
    <col min="4317" max="4317" width="22.42578125" bestFit="1" customWidth="1"/>
    <col min="4318" max="4318" width="26" bestFit="1" customWidth="1"/>
    <col min="4319" max="4319" width="18.28515625" bestFit="1" customWidth="1"/>
    <col min="4320" max="4320" width="22.42578125" bestFit="1" customWidth="1"/>
    <col min="4321" max="4321" width="26" bestFit="1" customWidth="1"/>
    <col min="4322" max="4322" width="18.28515625" bestFit="1" customWidth="1"/>
    <col min="4323" max="4323" width="22.42578125" bestFit="1" customWidth="1"/>
    <col min="4324" max="4324" width="26" bestFit="1" customWidth="1"/>
    <col min="4325" max="4325" width="18.28515625" bestFit="1" customWidth="1"/>
    <col min="4326" max="4326" width="22.42578125" bestFit="1" customWidth="1"/>
    <col min="4327" max="4327" width="26" bestFit="1" customWidth="1"/>
    <col min="4328" max="4328" width="18.28515625" bestFit="1" customWidth="1"/>
    <col min="4329" max="4329" width="22.42578125" bestFit="1" customWidth="1"/>
    <col min="4330" max="4330" width="26" bestFit="1" customWidth="1"/>
    <col min="4331" max="4331" width="18.28515625" bestFit="1" customWidth="1"/>
    <col min="4332" max="4332" width="22.42578125" bestFit="1" customWidth="1"/>
    <col min="4333" max="4333" width="26" bestFit="1" customWidth="1"/>
    <col min="4334" max="4334" width="18.28515625" bestFit="1" customWidth="1"/>
    <col min="4335" max="4335" width="22.42578125" bestFit="1" customWidth="1"/>
    <col min="4336" max="4336" width="26" bestFit="1" customWidth="1"/>
    <col min="4337" max="4337" width="18.28515625" bestFit="1" customWidth="1"/>
    <col min="4338" max="4338" width="22.42578125" bestFit="1" customWidth="1"/>
    <col min="4339" max="4339" width="26" bestFit="1" customWidth="1"/>
    <col min="4340" max="4340" width="18.28515625" bestFit="1" customWidth="1"/>
    <col min="4341" max="4341" width="22.42578125" bestFit="1" customWidth="1"/>
    <col min="4342" max="4342" width="26" bestFit="1" customWidth="1"/>
    <col min="4343" max="4343" width="18.28515625" bestFit="1" customWidth="1"/>
    <col min="4344" max="4344" width="22.42578125" bestFit="1" customWidth="1"/>
    <col min="4345" max="4345" width="26" bestFit="1" customWidth="1"/>
    <col min="4346" max="4346" width="18.28515625" bestFit="1" customWidth="1"/>
    <col min="4347" max="4347" width="22.42578125" bestFit="1" customWidth="1"/>
    <col min="4348" max="4348" width="26" bestFit="1" customWidth="1"/>
    <col min="4349" max="4349" width="18.28515625" bestFit="1" customWidth="1"/>
    <col min="4350" max="4350" width="22.42578125" bestFit="1" customWidth="1"/>
    <col min="4351" max="4351" width="26" bestFit="1" customWidth="1"/>
    <col min="4352" max="4352" width="18.28515625" bestFit="1" customWidth="1"/>
    <col min="4353" max="4353" width="22.42578125" bestFit="1" customWidth="1"/>
    <col min="4354" max="4354" width="26" bestFit="1" customWidth="1"/>
    <col min="4355" max="4355" width="18.28515625" bestFit="1" customWidth="1"/>
    <col min="4356" max="4356" width="22.42578125" bestFit="1" customWidth="1"/>
    <col min="4357" max="4357" width="26" bestFit="1" customWidth="1"/>
    <col min="4358" max="4358" width="18.28515625" bestFit="1" customWidth="1"/>
    <col min="4359" max="4359" width="22.42578125" bestFit="1" customWidth="1"/>
    <col min="4360" max="4360" width="26" bestFit="1" customWidth="1"/>
    <col min="4361" max="4361" width="18.28515625" bestFit="1" customWidth="1"/>
    <col min="4362" max="4362" width="22.42578125" bestFit="1" customWidth="1"/>
    <col min="4363" max="4363" width="26" bestFit="1" customWidth="1"/>
    <col min="4364" max="4364" width="18.28515625" bestFit="1" customWidth="1"/>
    <col min="4365" max="4365" width="22.42578125" bestFit="1" customWidth="1"/>
    <col min="4366" max="4366" width="26" bestFit="1" customWidth="1"/>
    <col min="4367" max="4367" width="18.28515625" bestFit="1" customWidth="1"/>
    <col min="4368" max="4368" width="22.42578125" bestFit="1" customWidth="1"/>
    <col min="4369" max="4369" width="26" bestFit="1" customWidth="1"/>
    <col min="4370" max="4370" width="18.28515625" bestFit="1" customWidth="1"/>
    <col min="4371" max="4371" width="22.42578125" bestFit="1" customWidth="1"/>
    <col min="4372" max="4372" width="26" bestFit="1" customWidth="1"/>
    <col min="4373" max="4373" width="18.28515625" bestFit="1" customWidth="1"/>
    <col min="4374" max="4374" width="22.42578125" bestFit="1" customWidth="1"/>
    <col min="4375" max="4375" width="26" bestFit="1" customWidth="1"/>
    <col min="4376" max="4376" width="18.28515625" bestFit="1" customWidth="1"/>
    <col min="4377" max="4377" width="22.42578125" bestFit="1" customWidth="1"/>
    <col min="4378" max="4378" width="26" bestFit="1" customWidth="1"/>
    <col min="4379" max="4379" width="18.28515625" bestFit="1" customWidth="1"/>
    <col min="4380" max="4380" width="22.42578125" bestFit="1" customWidth="1"/>
    <col min="4381" max="4381" width="26" bestFit="1" customWidth="1"/>
    <col min="4382" max="4382" width="18.28515625" bestFit="1" customWidth="1"/>
    <col min="4383" max="4383" width="22.42578125" bestFit="1" customWidth="1"/>
    <col min="4384" max="4384" width="26" bestFit="1" customWidth="1"/>
    <col min="4385" max="4385" width="18.28515625" bestFit="1" customWidth="1"/>
    <col min="4386" max="4386" width="22.42578125" bestFit="1" customWidth="1"/>
    <col min="4387" max="4387" width="26" bestFit="1" customWidth="1"/>
    <col min="4388" max="4388" width="18.28515625" bestFit="1" customWidth="1"/>
    <col min="4389" max="4389" width="22.42578125" bestFit="1" customWidth="1"/>
    <col min="4390" max="4390" width="26" bestFit="1" customWidth="1"/>
    <col min="4391" max="4391" width="18.28515625" bestFit="1" customWidth="1"/>
    <col min="4392" max="4392" width="22.42578125" bestFit="1" customWidth="1"/>
    <col min="4393" max="4393" width="26" bestFit="1" customWidth="1"/>
    <col min="4394" max="4394" width="18.28515625" bestFit="1" customWidth="1"/>
    <col min="4395" max="4395" width="22.42578125" bestFit="1" customWidth="1"/>
    <col min="4396" max="4396" width="26" bestFit="1" customWidth="1"/>
    <col min="4397" max="4397" width="18.28515625" bestFit="1" customWidth="1"/>
    <col min="4398" max="4398" width="22.42578125" bestFit="1" customWidth="1"/>
    <col min="4399" max="4399" width="26" bestFit="1" customWidth="1"/>
    <col min="4400" max="4400" width="18.28515625" bestFit="1" customWidth="1"/>
    <col min="4401" max="4401" width="22.42578125" bestFit="1" customWidth="1"/>
    <col min="4402" max="4402" width="26" bestFit="1" customWidth="1"/>
    <col min="4403" max="4403" width="18.28515625" bestFit="1" customWidth="1"/>
    <col min="4404" max="4404" width="22.42578125" bestFit="1" customWidth="1"/>
    <col min="4405" max="4405" width="26" bestFit="1" customWidth="1"/>
    <col min="4406" max="4406" width="18.28515625" bestFit="1" customWidth="1"/>
    <col min="4407" max="4407" width="22.42578125" bestFit="1" customWidth="1"/>
    <col min="4408" max="4408" width="26" bestFit="1" customWidth="1"/>
    <col min="4409" max="4409" width="18.28515625" bestFit="1" customWidth="1"/>
    <col min="4410" max="4410" width="22.42578125" bestFit="1" customWidth="1"/>
    <col min="4411" max="4411" width="26" bestFit="1" customWidth="1"/>
    <col min="4412" max="4412" width="18.28515625" bestFit="1" customWidth="1"/>
    <col min="4413" max="4413" width="22.42578125" bestFit="1" customWidth="1"/>
    <col min="4414" max="4414" width="26" bestFit="1" customWidth="1"/>
    <col min="4415" max="4415" width="18.28515625" bestFit="1" customWidth="1"/>
    <col min="4416" max="4416" width="22.42578125" bestFit="1" customWidth="1"/>
    <col min="4417" max="4417" width="26" bestFit="1" customWidth="1"/>
    <col min="4418" max="4418" width="18.28515625" bestFit="1" customWidth="1"/>
    <col min="4419" max="4419" width="22.42578125" bestFit="1" customWidth="1"/>
    <col min="4420" max="4420" width="26" bestFit="1" customWidth="1"/>
    <col min="4421" max="4421" width="18.28515625" bestFit="1" customWidth="1"/>
    <col min="4422" max="4422" width="22.42578125" bestFit="1" customWidth="1"/>
    <col min="4423" max="4423" width="26" bestFit="1" customWidth="1"/>
    <col min="4424" max="4424" width="18.28515625" bestFit="1" customWidth="1"/>
    <col min="4425" max="4425" width="22.42578125" bestFit="1" customWidth="1"/>
    <col min="4426" max="4426" width="26" bestFit="1" customWidth="1"/>
    <col min="4427" max="4427" width="18.28515625" bestFit="1" customWidth="1"/>
    <col min="4428" max="4428" width="22.42578125" bestFit="1" customWidth="1"/>
    <col min="4429" max="4429" width="26" bestFit="1" customWidth="1"/>
    <col min="4430" max="4430" width="18.28515625" bestFit="1" customWidth="1"/>
    <col min="4431" max="4431" width="22.42578125" bestFit="1" customWidth="1"/>
    <col min="4432" max="4432" width="26" bestFit="1" customWidth="1"/>
    <col min="4433" max="4433" width="18.28515625" bestFit="1" customWidth="1"/>
    <col min="4434" max="4434" width="22.42578125" bestFit="1" customWidth="1"/>
    <col min="4435" max="4435" width="26" bestFit="1" customWidth="1"/>
    <col min="4436" max="4436" width="18.28515625" bestFit="1" customWidth="1"/>
    <col min="4437" max="4437" width="22.42578125" bestFit="1" customWidth="1"/>
    <col min="4438" max="4438" width="26" bestFit="1" customWidth="1"/>
    <col min="4439" max="4439" width="18.28515625" bestFit="1" customWidth="1"/>
    <col min="4440" max="4440" width="22.42578125" bestFit="1" customWidth="1"/>
    <col min="4441" max="4441" width="26" bestFit="1" customWidth="1"/>
    <col min="4442" max="4442" width="18.28515625" bestFit="1" customWidth="1"/>
    <col min="4443" max="4443" width="22.42578125" bestFit="1" customWidth="1"/>
    <col min="4444" max="4444" width="26" bestFit="1" customWidth="1"/>
    <col min="4445" max="4445" width="18.28515625" bestFit="1" customWidth="1"/>
    <col min="4446" max="4446" width="22.42578125" bestFit="1" customWidth="1"/>
    <col min="4447" max="4447" width="26" bestFit="1" customWidth="1"/>
    <col min="4448" max="4448" width="18.28515625" bestFit="1" customWidth="1"/>
    <col min="4449" max="4449" width="22.42578125" bestFit="1" customWidth="1"/>
    <col min="4450" max="4450" width="26" bestFit="1" customWidth="1"/>
    <col min="4451" max="4451" width="18.28515625" bestFit="1" customWidth="1"/>
    <col min="4452" max="4452" width="22.42578125" bestFit="1" customWidth="1"/>
    <col min="4453" max="4453" width="26" bestFit="1" customWidth="1"/>
    <col min="4454" max="4454" width="18.28515625" bestFit="1" customWidth="1"/>
    <col min="4455" max="4455" width="22.42578125" bestFit="1" customWidth="1"/>
    <col min="4456" max="4456" width="31.140625" bestFit="1" customWidth="1"/>
    <col min="4457" max="4457" width="23.42578125" bestFit="1" customWidth="1"/>
    <col min="4458" max="4458" width="27.5703125" bestFit="1" customWidth="1"/>
  </cols>
  <sheetData>
    <row r="1" spans="1:49" ht="15.7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62</v>
      </c>
      <c r="AK1" t="s">
        <v>63</v>
      </c>
      <c r="AL1" t="s">
        <v>64</v>
      </c>
      <c r="AM1" t="s">
        <v>65</v>
      </c>
      <c r="AS1" s="25" t="s">
        <v>4</v>
      </c>
      <c r="AT1" s="10" t="s">
        <v>66</v>
      </c>
      <c r="AU1" s="10"/>
      <c r="AV1" s="25" t="s">
        <v>4</v>
      </c>
      <c r="AW1" s="10" t="s">
        <v>67</v>
      </c>
    </row>
    <row r="2" spans="1:49" ht="15.75" customHeight="1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  <c r="AJ2" t="str">
        <f t="shared" ref="AJ2:AJ65" si="0">IF(S2&gt;=6500,"High","Low")</f>
        <v>Low</v>
      </c>
      <c r="AK2" t="str" cm="1">
        <f t="array" ref="AK2">_xlfn.IFS(S2&lt;4000,"Low",S2&lt;8000,"Medium",S2&gt;=8000,"High")</f>
        <v>Medium</v>
      </c>
      <c r="AL2" t="str" cm="1">
        <f t="array" ref="AL2">_xlfn.IFS(AF2&lt;3,"new",AF2&lt;=7,"Experienced",AF2&gt;7,"High")</f>
        <v>Experienced</v>
      </c>
      <c r="AM2" s="1"/>
      <c r="AS2" s="10" t="s">
        <v>37</v>
      </c>
      <c r="AT2" s="26">
        <v>446</v>
      </c>
      <c r="AU2" s="10"/>
      <c r="AV2" s="10" t="s">
        <v>61</v>
      </c>
      <c r="AW2" s="27">
        <v>6654.5079365079364</v>
      </c>
    </row>
    <row r="3" spans="1:49" ht="15.75" customHeight="1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  <c r="AJ3" t="str">
        <f t="shared" si="0"/>
        <v>Low</v>
      </c>
      <c r="AK3" t="str" cm="1">
        <f t="array" ref="AK3">_xlfn.IFS(S3&lt;4000,"Low",S3&lt;8000,"Medium",S3&gt;=8000,"High")</f>
        <v>Medium</v>
      </c>
      <c r="AL3" t="str" cm="1">
        <f t="array" ref="AL3">_xlfn.IFS(AF3&lt;3,"new",AF3&lt;=7,"Experienced",AF3&gt;7,"High")</f>
        <v>High</v>
      </c>
      <c r="AM3" s="1"/>
      <c r="AS3" s="10" t="s">
        <v>68</v>
      </c>
      <c r="AT3" s="26">
        <v>446</v>
      </c>
      <c r="AU3" s="10"/>
      <c r="AV3" s="10" t="s">
        <v>45</v>
      </c>
      <c r="AW3" s="27">
        <v>6281.2528616024974</v>
      </c>
    </row>
    <row r="4" spans="1:49" ht="15.75" customHeight="1">
      <c r="A4">
        <v>37</v>
      </c>
      <c r="B4" t="s">
        <v>35</v>
      </c>
      <c r="C4" t="s">
        <v>36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  <c r="AJ4" t="str">
        <f t="shared" si="0"/>
        <v>Low</v>
      </c>
      <c r="AK4" t="str" cm="1">
        <f t="array" ref="AK4">_xlfn.IFS(S4&lt;4000,"Low",S4&lt;8000,"Medium",S4&gt;=8000,"High")</f>
        <v>Low</v>
      </c>
      <c r="AL4" t="str" cm="1">
        <f t="array" ref="AL4">_xlfn.IFS(AF4&lt;3,"new",AF4&lt;=7,"Experienced",AF4&gt;7,"High")</f>
        <v>new</v>
      </c>
      <c r="AM4" s="1"/>
      <c r="AU4" s="10"/>
      <c r="AV4" s="10" t="s">
        <v>37</v>
      </c>
      <c r="AW4" s="27">
        <v>6959.17264573991</v>
      </c>
    </row>
    <row r="5" spans="1:49" ht="15.75" customHeight="1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  <c r="AJ5" t="str">
        <f t="shared" si="0"/>
        <v>Low</v>
      </c>
      <c r="AK5" t="str" cm="1">
        <f t="array" ref="AK5">_xlfn.IFS(S5&lt;4000,"Low",S5&lt;8000,"Medium",S5&gt;=8000,"High")</f>
        <v>Low</v>
      </c>
      <c r="AL5" t="str" cm="1">
        <f t="array" ref="AL5">_xlfn.IFS(AF5&lt;3,"new",AF5&lt;=7,"Experienced",AF5&gt;7,"High")</f>
        <v>High</v>
      </c>
      <c r="AM5" s="1"/>
      <c r="AU5" s="10"/>
      <c r="AV5" s="10" t="s">
        <v>68</v>
      </c>
      <c r="AW5" s="28">
        <v>6502.931292517007</v>
      </c>
    </row>
    <row r="6" spans="1:49" ht="15.75" customHeight="1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  <c r="AJ6" t="str">
        <f t="shared" si="0"/>
        <v>Low</v>
      </c>
      <c r="AK6" t="str" cm="1">
        <f t="array" ref="AK6">_xlfn.IFS(S6&lt;4000,"Low",S6&lt;8000,"Medium",S6&gt;=8000,"High")</f>
        <v>Low</v>
      </c>
      <c r="AL6" t="str" cm="1">
        <f t="array" ref="AL6">_xlfn.IFS(AF6&lt;3,"new",AF6&lt;=7,"Experienced",AF6&gt;7,"High")</f>
        <v>new</v>
      </c>
      <c r="AM6" s="1"/>
      <c r="AS6" s="10"/>
      <c r="AT6" s="10"/>
      <c r="AU6" s="10"/>
      <c r="AV6" s="10"/>
      <c r="AW6" s="10"/>
    </row>
    <row r="7" spans="1:49" ht="15.75" customHeight="1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  <c r="AJ7" t="str">
        <f t="shared" si="0"/>
        <v>Low</v>
      </c>
      <c r="AK7" t="str" cm="1">
        <f t="array" ref="AK7">_xlfn.IFS(S7&lt;4000,"Low",S7&lt;8000,"Medium",S7&gt;=8000,"High")</f>
        <v>Low</v>
      </c>
      <c r="AL7" t="str" cm="1">
        <f t="array" ref="AL7">_xlfn.IFS(AF7&lt;3,"new",AF7&lt;=7,"Experienced",AF7&gt;7,"High")</f>
        <v>Experienced</v>
      </c>
      <c r="AM7" s="1"/>
      <c r="AS7" s="10"/>
      <c r="AT7" s="10"/>
      <c r="AU7" s="10"/>
      <c r="AV7" s="10"/>
      <c r="AW7" s="10"/>
    </row>
    <row r="8" spans="1:49" ht="15.75" customHeight="1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  <c r="AJ8" t="str">
        <f t="shared" si="0"/>
        <v>Low</v>
      </c>
      <c r="AK8" t="str" cm="1">
        <f t="array" ref="AK8">_xlfn.IFS(S8&lt;4000,"Low",S8&lt;8000,"Medium",S8&gt;=8000,"High")</f>
        <v>Low</v>
      </c>
      <c r="AL8" t="str" cm="1">
        <f t="array" ref="AL8">_xlfn.IFS(AF8&lt;3,"new",AF8&lt;=7,"Experienced",AF8&gt;7,"High")</f>
        <v>new</v>
      </c>
      <c r="AM8" s="1"/>
      <c r="AR8" s="24"/>
      <c r="AS8" s="29"/>
      <c r="AT8" s="29"/>
      <c r="AU8" s="29"/>
      <c r="AV8" s="29"/>
      <c r="AW8" s="10"/>
    </row>
    <row r="9" spans="1:49" ht="15.75" customHeight="1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  <c r="AJ9" t="str">
        <f t="shared" si="0"/>
        <v>Low</v>
      </c>
      <c r="AK9" t="str" cm="1">
        <f t="array" ref="AK9">_xlfn.IFS(S9&lt;4000,"Low",S9&lt;8000,"Medium",S9&gt;=8000,"High")</f>
        <v>Low</v>
      </c>
      <c r="AL9" t="str" cm="1">
        <f t="array" ref="AL9">_xlfn.IFS(AF9&lt;3,"new",AF9&lt;=7,"Experienced",AF9&gt;7,"High")</f>
        <v>new</v>
      </c>
      <c r="AM9" s="1"/>
      <c r="AR9" s="24"/>
      <c r="AS9" s="30" t="s">
        <v>66</v>
      </c>
      <c r="AT9" s="30" t="s">
        <v>22</v>
      </c>
      <c r="AU9" s="29"/>
      <c r="AV9" s="29"/>
      <c r="AW9" s="10"/>
    </row>
    <row r="10" spans="1:49" ht="15.75" customHeight="1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  <c r="AJ10" t="str">
        <f t="shared" si="0"/>
        <v>High</v>
      </c>
      <c r="AK10" t="str" cm="1">
        <f t="array" ref="AK10">_xlfn.IFS(S10&lt;4000,"Low",S10&lt;8000,"Medium",S10&gt;=8000,"High")</f>
        <v>High</v>
      </c>
      <c r="AL10" t="str" cm="1">
        <f t="array" ref="AL10">_xlfn.IFS(AF10&lt;3,"new",AF10&lt;=7,"Experienced",AF10&gt;7,"High")</f>
        <v>High</v>
      </c>
      <c r="AM10" s="1"/>
      <c r="AR10" s="24"/>
      <c r="AS10" s="30" t="s">
        <v>4</v>
      </c>
      <c r="AT10" s="29" t="s">
        <v>43</v>
      </c>
      <c r="AU10" s="29" t="s">
        <v>35</v>
      </c>
      <c r="AV10" s="29" t="s">
        <v>68</v>
      </c>
      <c r="AW10" s="10"/>
    </row>
    <row r="11" spans="1:49" ht="15.75" customHeight="1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  <c r="AJ11" t="str">
        <f t="shared" si="0"/>
        <v>Low</v>
      </c>
      <c r="AK11" t="str" cm="1">
        <f t="array" ref="AK11">_xlfn.IFS(S11&lt;4000,"Low",S11&lt;8000,"Medium",S11&gt;=8000,"High")</f>
        <v>Medium</v>
      </c>
      <c r="AL11" t="str" cm="1">
        <f t="array" ref="AL11">_xlfn.IFS(AF11&lt;3,"new",AF11&lt;=7,"Experienced",AF11&gt;7,"High")</f>
        <v>Experienced</v>
      </c>
      <c r="AM11" s="1"/>
      <c r="AR11" s="24"/>
      <c r="AS11" s="29" t="s">
        <v>61</v>
      </c>
      <c r="AT11" s="31">
        <v>46</v>
      </c>
      <c r="AU11" s="31">
        <v>17</v>
      </c>
      <c r="AV11" s="32">
        <v>63</v>
      </c>
      <c r="AW11" s="10"/>
    </row>
    <row r="12" spans="1:49" ht="15.75" customHeight="1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  <c r="AJ12" t="str">
        <f t="shared" si="0"/>
        <v>Low</v>
      </c>
      <c r="AK12" t="str" cm="1">
        <f t="array" ref="AK12">_xlfn.IFS(S12&lt;4000,"Low",S12&lt;8000,"Medium",S12&gt;=8000,"High")</f>
        <v>Low</v>
      </c>
      <c r="AL12" t="str" cm="1">
        <f t="array" ref="AL12">_xlfn.IFS(AF12&lt;3,"new",AF12&lt;=7,"Experienced",AF12&gt;7,"High")</f>
        <v>Experienced</v>
      </c>
      <c r="AM12" s="1"/>
      <c r="AR12" s="24"/>
      <c r="AS12" s="29" t="s">
        <v>45</v>
      </c>
      <c r="AT12" s="31">
        <v>690</v>
      </c>
      <c r="AU12" s="31">
        <v>271</v>
      </c>
      <c r="AV12" s="32">
        <v>961</v>
      </c>
      <c r="AW12" s="10"/>
    </row>
    <row r="13" spans="1:49" ht="15.75" customHeight="1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  <c r="AJ13" t="str">
        <f t="shared" si="0"/>
        <v>Low</v>
      </c>
      <c r="AK13" t="str" cm="1">
        <f t="array" ref="AK13">_xlfn.IFS(S13&lt;4000,"Low",S13&lt;8000,"Medium",S13&gt;=8000,"High")</f>
        <v>Medium</v>
      </c>
      <c r="AL13" t="str" cm="1">
        <f t="array" ref="AL13">_xlfn.IFS(AF13&lt;3,"new",AF13&lt;=7,"Experienced",AF13&gt;7,"High")</f>
        <v>High</v>
      </c>
      <c r="AM13" s="1"/>
      <c r="AR13" s="24"/>
      <c r="AS13" s="29" t="s">
        <v>37</v>
      </c>
      <c r="AT13" s="31">
        <v>318</v>
      </c>
      <c r="AU13" s="31">
        <v>128</v>
      </c>
      <c r="AV13" s="32">
        <v>446</v>
      </c>
      <c r="AW13" s="10"/>
    </row>
    <row r="14" spans="1:49" ht="15.75" customHeight="1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  <c r="AJ14" t="str">
        <f t="shared" si="0"/>
        <v>Low</v>
      </c>
      <c r="AK14" t="str" cm="1">
        <f t="array" ref="AK14">_xlfn.IFS(S14&lt;4000,"Low",S14&lt;8000,"Medium",S14&gt;=8000,"High")</f>
        <v>Low</v>
      </c>
      <c r="AL14" t="str" cm="1">
        <f t="array" ref="AL14">_xlfn.IFS(AF14&lt;3,"new",AF14&lt;=7,"Experienced",AF14&gt;7,"High")</f>
        <v>Experienced</v>
      </c>
      <c r="AM14" s="1"/>
      <c r="AR14" s="24"/>
      <c r="AS14" s="29" t="s">
        <v>68</v>
      </c>
      <c r="AT14" s="31">
        <v>1054</v>
      </c>
      <c r="AU14" s="31">
        <v>416</v>
      </c>
      <c r="AV14" s="32">
        <v>1470</v>
      </c>
      <c r="AW14" s="10"/>
    </row>
    <row r="15" spans="1:49" ht="15.75" customHeight="1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  <c r="AJ15" t="str">
        <f t="shared" si="0"/>
        <v>Low</v>
      </c>
      <c r="AK15" t="str" cm="1">
        <f t="array" ref="AK15">_xlfn.IFS(S15&lt;4000,"Low",S15&lt;8000,"Medium",S15&gt;=8000,"High")</f>
        <v>Low</v>
      </c>
      <c r="AL15" t="str" cm="1">
        <f t="array" ref="AL15">_xlfn.IFS(AF15&lt;3,"new",AF15&lt;=7,"Experienced",AF15&gt;7,"High")</f>
        <v>new</v>
      </c>
      <c r="AM15" s="1"/>
      <c r="AR15" s="24"/>
      <c r="AS15" s="29"/>
      <c r="AT15" s="29"/>
      <c r="AU15" s="29"/>
      <c r="AV15" s="29"/>
      <c r="AW15" s="10"/>
    </row>
    <row r="16" spans="1:49" ht="15.75" customHeight="1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  <c r="AJ16" t="str">
        <f t="shared" si="0"/>
        <v>Low</v>
      </c>
      <c r="AK16" t="str" cm="1">
        <f t="array" ref="AK16">_xlfn.IFS(S16&lt;4000,"Low",S16&lt;8000,"Medium",S16&gt;=8000,"High")</f>
        <v>Low</v>
      </c>
      <c r="AL16" t="str" cm="1">
        <f t="array" ref="AL16">_xlfn.IFS(AF16&lt;3,"new",AF16&lt;=7,"Experienced",AF16&gt;7,"High")</f>
        <v>Experienced</v>
      </c>
      <c r="AM16" s="1"/>
      <c r="AR16" s="24"/>
      <c r="AS16" s="30" t="s">
        <v>67</v>
      </c>
      <c r="AT16" s="30" t="s">
        <v>22</v>
      </c>
      <c r="AU16" s="29"/>
      <c r="AV16" s="29"/>
      <c r="AW16" s="10"/>
    </row>
    <row r="17" spans="1:49" ht="15.75" customHeight="1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  <c r="AJ17" t="str">
        <f t="shared" si="0"/>
        <v>High</v>
      </c>
      <c r="AK17" t="str" cm="1">
        <f t="array" ref="AK17">_xlfn.IFS(S17&lt;4000,"Low",S17&lt;8000,"Medium",S17&gt;=8000,"High")</f>
        <v>High</v>
      </c>
      <c r="AL17" t="str" cm="1">
        <f t="array" ref="AL17">_xlfn.IFS(AF17&lt;3,"new",AF17&lt;=7,"Experienced",AF17&gt;7,"High")</f>
        <v>High</v>
      </c>
      <c r="AM17" s="1"/>
      <c r="AR17" s="24"/>
      <c r="AS17" s="30" t="s">
        <v>8</v>
      </c>
      <c r="AT17" s="29" t="s">
        <v>43</v>
      </c>
      <c r="AU17" s="29" t="s">
        <v>35</v>
      </c>
      <c r="AV17" s="29" t="s">
        <v>68</v>
      </c>
      <c r="AW17" s="10"/>
    </row>
    <row r="18" spans="1:49" ht="15.75" customHeight="1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  <c r="AJ18" t="str">
        <f t="shared" si="0"/>
        <v>Low</v>
      </c>
      <c r="AK18" t="str" cm="1">
        <f t="array" ref="AK18">_xlfn.IFS(S18&lt;4000,"Low",S18&lt;8000,"Medium",S18&gt;=8000,"High")</f>
        <v>Low</v>
      </c>
      <c r="AL18" t="str" cm="1">
        <f t="array" ref="AL18">_xlfn.IFS(AF18&lt;3,"new",AF18&lt;=7,"Experienced",AF18&gt;7,"High")</f>
        <v>Experienced</v>
      </c>
      <c r="AM18" s="1"/>
      <c r="AR18" s="24"/>
      <c r="AS18" s="29">
        <v>1</v>
      </c>
      <c r="AT18" s="32">
        <v>6484.9269449715366</v>
      </c>
      <c r="AU18" s="33">
        <v>6548.5480769230771</v>
      </c>
      <c r="AV18" s="32">
        <v>6502.931292517007</v>
      </c>
      <c r="AW18" s="10"/>
    </row>
    <row r="19" spans="1:49" ht="15.75" customHeight="1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  <c r="AJ19" t="str">
        <f t="shared" si="0"/>
        <v>Low</v>
      </c>
      <c r="AK19" t="str" cm="1">
        <f t="array" ref="AK19">_xlfn.IFS(S19&lt;4000,"Low",S19&lt;8000,"Medium",S19&gt;=8000,"High")</f>
        <v>Low</v>
      </c>
      <c r="AL19" t="str" cm="1">
        <f t="array" ref="AL19">_xlfn.IFS(AF19&lt;3,"new",AF19&lt;=7,"Experienced",AF19&gt;7,"High")</f>
        <v>new</v>
      </c>
      <c r="AM19" s="1"/>
      <c r="AR19" s="24"/>
      <c r="AS19" s="29" t="s">
        <v>68</v>
      </c>
      <c r="AT19" s="32">
        <v>6484.9269449715366</v>
      </c>
      <c r="AU19" s="33">
        <v>6548.5480769230771</v>
      </c>
      <c r="AV19" s="32">
        <v>6502.931292517007</v>
      </c>
      <c r="AW19" s="10"/>
    </row>
    <row r="20" spans="1:49" ht="15.75" customHeight="1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  <c r="AJ20" t="str">
        <f t="shared" si="0"/>
        <v>High</v>
      </c>
      <c r="AK20" t="str" cm="1">
        <f t="array" ref="AK20">_xlfn.IFS(S20&lt;4000,"Low",S20&lt;8000,"Medium",S20&gt;=8000,"High")</f>
        <v>High</v>
      </c>
      <c r="AL20" t="str" cm="1">
        <f t="array" ref="AL20">_xlfn.IFS(AF20&lt;3,"new",AF20&lt;=7,"Experienced",AF20&gt;7,"High")</f>
        <v>High</v>
      </c>
      <c r="AM20" s="1"/>
      <c r="AR20" s="24"/>
      <c r="AS20" s="29"/>
      <c r="AT20" s="29"/>
      <c r="AU20" s="29"/>
      <c r="AV20" s="29"/>
      <c r="AW20" s="10"/>
    </row>
    <row r="21" spans="1:49" ht="15.75" customHeight="1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  <c r="AJ21" t="str">
        <f t="shared" si="0"/>
        <v>Low</v>
      </c>
      <c r="AK21" t="str" cm="1">
        <f t="array" ref="AK21">_xlfn.IFS(S21&lt;4000,"Low",S21&lt;8000,"Medium",S21&gt;=8000,"High")</f>
        <v>Low</v>
      </c>
      <c r="AL21" t="str" cm="1">
        <f t="array" ref="AL21">_xlfn.IFS(AF21&lt;3,"new",AF21&lt;=7,"Experienced",AF21&gt;7,"High")</f>
        <v>Experienced</v>
      </c>
      <c r="AM21" s="1"/>
      <c r="AR21" s="24"/>
      <c r="AS21" s="30" t="s">
        <v>66</v>
      </c>
      <c r="AT21" s="30" t="s">
        <v>1</v>
      </c>
      <c r="AU21" s="29"/>
      <c r="AV21" s="29"/>
      <c r="AW21" s="10"/>
    </row>
    <row r="22" spans="1:49" ht="15.75" customHeight="1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  <c r="AJ22" t="str">
        <f t="shared" si="0"/>
        <v>Low</v>
      </c>
      <c r="AK22" t="str" cm="1">
        <f t="array" ref="AK22">_xlfn.IFS(S22&lt;4000,"Low",S22&lt;8000,"Medium",S22&gt;=8000,"High")</f>
        <v>Medium</v>
      </c>
      <c r="AL22" t="str" cm="1">
        <f t="array" ref="AL22">_xlfn.IFS(AF22&lt;3,"new",AF22&lt;=7,"Experienced",AF22&gt;7,"High")</f>
        <v>Experienced</v>
      </c>
      <c r="AM22" s="1"/>
      <c r="AR22" s="24"/>
      <c r="AS22" s="30" t="s">
        <v>4</v>
      </c>
      <c r="AT22" s="29" t="s">
        <v>43</v>
      </c>
      <c r="AU22" s="29" t="s">
        <v>35</v>
      </c>
      <c r="AV22" s="29" t="s">
        <v>68</v>
      </c>
      <c r="AW22" s="10"/>
    </row>
    <row r="23" spans="1:49" ht="15.75" customHeight="1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  <c r="AJ23" t="str">
        <f t="shared" si="0"/>
        <v>Low</v>
      </c>
      <c r="AK23" t="str" cm="1">
        <f t="array" ref="AK23">_xlfn.IFS(S23&lt;4000,"Low",S23&lt;8000,"Medium",S23&gt;=8000,"High")</f>
        <v>Low</v>
      </c>
      <c r="AL23" t="str" cm="1">
        <f t="array" ref="AL23">_xlfn.IFS(AF23&lt;3,"new",AF23&lt;=7,"Experienced",AF23&gt;7,"High")</f>
        <v>Experienced</v>
      </c>
      <c r="AM23" s="1"/>
      <c r="AR23" s="24"/>
      <c r="AS23" s="29" t="s">
        <v>61</v>
      </c>
      <c r="AT23" s="31">
        <v>51</v>
      </c>
      <c r="AU23" s="31">
        <v>12</v>
      </c>
      <c r="AV23" s="31">
        <v>63</v>
      </c>
      <c r="AW23" s="10"/>
    </row>
    <row r="24" spans="1:49" ht="15.75" customHeight="1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  <c r="AJ24" t="str">
        <f t="shared" si="0"/>
        <v>High</v>
      </c>
      <c r="AK24" t="str" cm="1">
        <f t="array" ref="AK24">_xlfn.IFS(S24&lt;4000,"Low",S24&lt;8000,"Medium",S24&gt;=8000,"High")</f>
        <v>High</v>
      </c>
      <c r="AL24" t="str" cm="1">
        <f t="array" ref="AL24">_xlfn.IFS(AF24&lt;3,"new",AF24&lt;=7,"Experienced",AF24&gt;7,"High")</f>
        <v>High</v>
      </c>
      <c r="AM24" s="1"/>
      <c r="AR24" s="24"/>
      <c r="AS24" s="29" t="s">
        <v>45</v>
      </c>
      <c r="AT24" s="31">
        <v>827</v>
      </c>
      <c r="AU24" s="31">
        <v>132</v>
      </c>
      <c r="AV24" s="31">
        <v>959</v>
      </c>
      <c r="AW24" s="10"/>
    </row>
    <row r="25" spans="1:49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  <c r="AJ25" t="str">
        <f t="shared" si="0"/>
        <v>Low</v>
      </c>
      <c r="AK25" t="str" cm="1">
        <f t="array" ref="AK25">_xlfn.IFS(S25&lt;4000,"Low",S25&lt;8000,"Medium",S25&gt;=8000,"High")</f>
        <v>Low</v>
      </c>
      <c r="AL25" t="str" cm="1">
        <f t="array" ref="AL25">_xlfn.IFS(AF25&lt;3,"new",AF25&lt;=7,"Experienced",AF25&gt;7,"High")</f>
        <v>new</v>
      </c>
      <c r="AM25" s="1"/>
      <c r="AR25" s="24"/>
      <c r="AS25" s="29" t="s">
        <v>37</v>
      </c>
      <c r="AT25" s="31">
        <v>354</v>
      </c>
      <c r="AU25" s="31">
        <v>92</v>
      </c>
      <c r="AV25" s="31">
        <v>446</v>
      </c>
      <c r="AW25" s="10"/>
    </row>
    <row r="26" spans="1:49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  <c r="AJ26" t="str">
        <f t="shared" si="0"/>
        <v>Low</v>
      </c>
      <c r="AK26" t="str" cm="1">
        <f t="array" ref="AK26">_xlfn.IFS(S26&lt;4000,"Low",S26&lt;8000,"Medium",S26&gt;=8000,"High")</f>
        <v>Low</v>
      </c>
      <c r="AL26" t="str" cm="1">
        <f t="array" ref="AL26">_xlfn.IFS(AF26&lt;3,"new",AF26&lt;=7,"Experienced",AF26&gt;7,"High")</f>
        <v>Experienced</v>
      </c>
      <c r="AM26" s="1"/>
      <c r="AR26" s="24"/>
      <c r="AS26" s="29" t="s">
        <v>68</v>
      </c>
      <c r="AT26" s="31">
        <v>1232</v>
      </c>
      <c r="AU26" s="31">
        <v>236</v>
      </c>
      <c r="AV26" s="31">
        <v>1468</v>
      </c>
      <c r="AW26" s="10"/>
    </row>
    <row r="27" spans="1:49">
      <c r="A27">
        <v>53</v>
      </c>
      <c r="B27" t="s">
        <v>69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  <c r="AJ27" t="str">
        <f t="shared" si="0"/>
        <v>High</v>
      </c>
      <c r="AK27" t="str" cm="1">
        <f t="array" ref="AK27">_xlfn.IFS(S27&lt;4000,"Low",S27&lt;8000,"Medium",S27&gt;=8000,"High")</f>
        <v>High</v>
      </c>
      <c r="AL27" t="str" cm="1">
        <f t="array" ref="AL27">_xlfn.IFS(AF27&lt;3,"new",AF27&lt;=7,"Experienced",AF27&gt;7,"High")</f>
        <v>High</v>
      </c>
      <c r="AM27" s="1"/>
      <c r="AR27" s="24"/>
      <c r="AS27" s="24"/>
      <c r="AT27" s="24"/>
      <c r="AU27" s="24"/>
      <c r="AV27" s="24"/>
    </row>
    <row r="28" spans="1:49">
      <c r="A28">
        <v>32</v>
      </c>
      <c r="B28" t="s">
        <v>70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  <c r="AJ28" t="str">
        <f t="shared" si="0"/>
        <v>Low</v>
      </c>
      <c r="AK28" t="str" cm="1">
        <f t="array" ref="AK28">_xlfn.IFS(S28&lt;4000,"Low",S28&lt;8000,"Medium",S28&gt;=8000,"High")</f>
        <v>Low</v>
      </c>
      <c r="AL28" t="str" cm="1">
        <f t="array" ref="AL28">_xlfn.IFS(AF28&lt;3,"new",AF28&lt;=7,"Experienced",AF28&gt;7,"High")</f>
        <v>High</v>
      </c>
      <c r="AM28" s="1"/>
    </row>
    <row r="29" spans="1:49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  <c r="AJ29" t="str">
        <f t="shared" si="0"/>
        <v>High</v>
      </c>
      <c r="AK29" t="str" cm="1">
        <f t="array" ref="AK29">_xlfn.IFS(S29&lt;4000,"Low",S29&lt;8000,"Medium",S29&gt;=8000,"High")</f>
        <v>Medium</v>
      </c>
      <c r="AL29" t="str" cm="1">
        <f t="array" ref="AL29">_xlfn.IFS(AF29&lt;3,"new",AF29&lt;=7,"Experienced",AF29&gt;7,"High")</f>
        <v>High</v>
      </c>
      <c r="AM29" s="1"/>
    </row>
    <row r="30" spans="1:49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  <c r="AJ30" t="str">
        <f t="shared" si="0"/>
        <v>High</v>
      </c>
      <c r="AK30" t="str" cm="1">
        <f t="array" ref="AK30">_xlfn.IFS(S30&lt;4000,"Low",S30&lt;8000,"Medium",S30&gt;=8000,"High")</f>
        <v>High</v>
      </c>
      <c r="AL30" t="str" cm="1">
        <f t="array" ref="AL30">_xlfn.IFS(AF30&lt;3,"new",AF30&lt;=7,"Experienced",AF30&gt;7,"High")</f>
        <v>High</v>
      </c>
      <c r="AM30" s="1"/>
    </row>
    <row r="31" spans="1:49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  <c r="AJ31" t="str">
        <f t="shared" si="0"/>
        <v>High</v>
      </c>
      <c r="AK31" t="str" cm="1">
        <f t="array" ref="AK31">_xlfn.IFS(S31&lt;4000,"Low",S31&lt;8000,"Medium",S31&gt;=8000,"High")</f>
        <v>High</v>
      </c>
      <c r="AL31" t="str" cm="1">
        <f t="array" ref="AL31">_xlfn.IFS(AF31&lt;3,"new",AF31&lt;=7,"Experienced",AF31&gt;7,"High")</f>
        <v>new</v>
      </c>
      <c r="AM31" s="1"/>
    </row>
    <row r="32" spans="1:49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  <c r="AJ32" t="str">
        <f t="shared" si="0"/>
        <v>Low</v>
      </c>
      <c r="AK32" t="str" cm="1">
        <f t="array" ref="AK32">_xlfn.IFS(S32&lt;4000,"Low",S32&lt;8000,"Medium",S32&gt;=8000,"High")</f>
        <v>Low</v>
      </c>
      <c r="AL32" t="str" cm="1">
        <f t="array" ref="AL32">_xlfn.IFS(AF32&lt;3,"new",AF32&lt;=7,"Experienced",AF32&gt;7,"High")</f>
        <v>new</v>
      </c>
      <c r="AM32" s="1"/>
    </row>
    <row r="33" spans="1:39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  <c r="AJ33" t="str">
        <f t="shared" si="0"/>
        <v>Low</v>
      </c>
      <c r="AK33" t="str" cm="1">
        <f t="array" ref="AK33">_xlfn.IFS(S33&lt;4000,"Low",S33&lt;8000,"Medium",S33&gt;=8000,"High")</f>
        <v>Medium</v>
      </c>
      <c r="AL33" t="str" cm="1">
        <f t="array" ref="AL33">_xlfn.IFS(AF33&lt;3,"new",AF33&lt;=7,"Experienced",AF33&gt;7,"High")</f>
        <v>Experienced</v>
      </c>
      <c r="AM33" s="1"/>
    </row>
    <row r="34" spans="1:39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  <c r="AJ34" t="str">
        <f t="shared" si="0"/>
        <v>Low</v>
      </c>
      <c r="AK34" t="str" cm="1">
        <f t="array" ref="AK34">_xlfn.IFS(S34&lt;4000,"Low",S34&lt;8000,"Medium",S34&gt;=8000,"High")</f>
        <v>Low</v>
      </c>
      <c r="AL34" t="str" cm="1">
        <f t="array" ref="AL34">_xlfn.IFS(AF34&lt;3,"new",AF34&lt;=7,"Experienced",AF34&gt;7,"High")</f>
        <v>High</v>
      </c>
      <c r="AM34" s="1"/>
    </row>
    <row r="35" spans="1:39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  <c r="AJ35" t="str">
        <f t="shared" si="0"/>
        <v>Low</v>
      </c>
      <c r="AK35" t="str" cm="1">
        <f t="array" ref="AK35">_xlfn.IFS(S35&lt;4000,"Low",S35&lt;8000,"Medium",S35&gt;=8000,"High")</f>
        <v>Low</v>
      </c>
      <c r="AL35" t="str" cm="1">
        <f t="array" ref="AL35">_xlfn.IFS(AF35&lt;3,"new",AF35&lt;=7,"Experienced",AF35&gt;7,"High")</f>
        <v>new</v>
      </c>
      <c r="AM35" s="1"/>
    </row>
    <row r="36" spans="1:39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  <c r="AJ36" t="str">
        <f t="shared" si="0"/>
        <v>Low</v>
      </c>
      <c r="AK36" t="str" cm="1">
        <f t="array" ref="AK36">_xlfn.IFS(S36&lt;4000,"Low",S36&lt;8000,"Medium",S36&gt;=8000,"High")</f>
        <v>Low</v>
      </c>
      <c r="AL36" t="str" cm="1">
        <f t="array" ref="AL36">_xlfn.IFS(AF36&lt;3,"new",AF36&lt;=7,"Experienced",AF36&gt;7,"High")</f>
        <v>new</v>
      </c>
      <c r="AM36" s="1"/>
    </row>
    <row r="37" spans="1:39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  <c r="AJ37" t="str">
        <f t="shared" si="0"/>
        <v>Low</v>
      </c>
      <c r="AK37" t="str" cm="1">
        <f t="array" ref="AK37">_xlfn.IFS(S37&lt;4000,"Low",S37&lt;8000,"Medium",S37&gt;=8000,"High")</f>
        <v>Low</v>
      </c>
      <c r="AL37" t="str" cm="1">
        <f t="array" ref="AL37">_xlfn.IFS(AF37&lt;3,"new",AF37&lt;=7,"Experienced",AF37&gt;7,"High")</f>
        <v>Experienced</v>
      </c>
      <c r="AM37" s="1"/>
    </row>
    <row r="38" spans="1:39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  <c r="AJ38" t="str">
        <f t="shared" si="0"/>
        <v>Low</v>
      </c>
      <c r="AK38" t="str" cm="1">
        <f t="array" ref="AK38">_xlfn.IFS(S38&lt;4000,"Low",S38&lt;8000,"Medium",S38&gt;=8000,"High")</f>
        <v>Low</v>
      </c>
      <c r="AL38" t="str" cm="1">
        <f t="array" ref="AL38">_xlfn.IFS(AF38&lt;3,"new",AF38&lt;=7,"Experienced",AF38&gt;7,"High")</f>
        <v>Experienced</v>
      </c>
      <c r="AM38" s="1"/>
    </row>
    <row r="39" spans="1:39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  <c r="AJ39" t="str">
        <f t="shared" si="0"/>
        <v>Low</v>
      </c>
      <c r="AK39" t="str" cm="1">
        <f t="array" ref="AK39">_xlfn.IFS(S39&lt;4000,"Low",S39&lt;8000,"Medium",S39&gt;=8000,"High")</f>
        <v>Low</v>
      </c>
      <c r="AL39" t="str" cm="1">
        <f t="array" ref="AL39">_xlfn.IFS(AF39&lt;3,"new",AF39&lt;=7,"Experienced",AF39&gt;7,"High")</f>
        <v>new</v>
      </c>
      <c r="AM39" s="1"/>
    </row>
    <row r="40" spans="1:39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  <c r="AJ40" t="str">
        <f t="shared" si="0"/>
        <v>Low</v>
      </c>
      <c r="AK40" t="str" cm="1">
        <f t="array" ref="AK40">_xlfn.IFS(S40&lt;4000,"Low",S40&lt;8000,"Medium",S40&gt;=8000,"High")</f>
        <v>Low</v>
      </c>
      <c r="AL40" t="str" cm="1">
        <f t="array" ref="AL40">_xlfn.IFS(AF40&lt;3,"new",AF40&lt;=7,"Experienced",AF40&gt;7,"High")</f>
        <v>new</v>
      </c>
      <c r="AM40" s="1"/>
    </row>
    <row r="41" spans="1:39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  <c r="AJ41" t="str">
        <f t="shared" si="0"/>
        <v>Low</v>
      </c>
      <c r="AK41" t="str" cm="1">
        <f t="array" ref="AK41">_xlfn.IFS(S41&lt;4000,"Low",S41&lt;8000,"Medium",S41&gt;=8000,"High")</f>
        <v>Medium</v>
      </c>
      <c r="AL41" t="str" cm="1">
        <f t="array" ref="AL41">_xlfn.IFS(AF41&lt;3,"new",AF41&lt;=7,"Experienced",AF41&gt;7,"High")</f>
        <v>Experienced</v>
      </c>
      <c r="AM41" s="1"/>
    </row>
    <row r="42" spans="1:39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  <c r="AJ42" t="str">
        <f t="shared" si="0"/>
        <v>Low</v>
      </c>
      <c r="AK42" t="str" cm="1">
        <f t="array" ref="AK42">_xlfn.IFS(S42&lt;4000,"Low",S42&lt;8000,"Medium",S42&gt;=8000,"High")</f>
        <v>Low</v>
      </c>
      <c r="AL42" t="str" cm="1">
        <f t="array" ref="AL42">_xlfn.IFS(AF42&lt;3,"new",AF42&lt;=7,"Experienced",AF42&gt;7,"High")</f>
        <v>new</v>
      </c>
      <c r="AM42" s="1"/>
    </row>
    <row r="43" spans="1:39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  <c r="AJ43" t="str">
        <f t="shared" si="0"/>
        <v>Low</v>
      </c>
      <c r="AK43" t="str" cm="1">
        <f t="array" ref="AK43">_xlfn.IFS(S43&lt;4000,"Low",S43&lt;8000,"Medium",S43&gt;=8000,"High")</f>
        <v>Low</v>
      </c>
      <c r="AL43" t="str" cm="1">
        <f t="array" ref="AL43">_xlfn.IFS(AF43&lt;3,"new",AF43&lt;=7,"Experienced",AF43&gt;7,"High")</f>
        <v>new</v>
      </c>
      <c r="AM43" s="1"/>
    </row>
    <row r="44" spans="1:39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  <c r="AJ44" t="str">
        <f t="shared" si="0"/>
        <v>Low</v>
      </c>
      <c r="AK44" t="str" cm="1">
        <f t="array" ref="AK44">_xlfn.IFS(S44&lt;4000,"Low",S44&lt;8000,"Medium",S44&gt;=8000,"High")</f>
        <v>Low</v>
      </c>
      <c r="AL44" t="str" cm="1">
        <f t="array" ref="AL44">_xlfn.IFS(AF44&lt;3,"new",AF44&lt;=7,"Experienced",AF44&gt;7,"High")</f>
        <v>new</v>
      </c>
      <c r="AM44" s="1"/>
    </row>
    <row r="45" spans="1:39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  <c r="AJ45" t="str">
        <f t="shared" si="0"/>
        <v>High</v>
      </c>
      <c r="AK45" t="str" cm="1">
        <f t="array" ref="AK45">_xlfn.IFS(S45&lt;4000,"Low",S45&lt;8000,"Medium",S45&gt;=8000,"High")</f>
        <v>High</v>
      </c>
      <c r="AL45" t="str" cm="1">
        <f t="array" ref="AL45">_xlfn.IFS(AF45&lt;3,"new",AF45&lt;=7,"Experienced",AF45&gt;7,"High")</f>
        <v>High</v>
      </c>
      <c r="AM45" s="1"/>
    </row>
    <row r="46" spans="1:39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  <c r="AJ46" t="str">
        <f t="shared" si="0"/>
        <v>Low</v>
      </c>
      <c r="AK46" t="str" cm="1">
        <f t="array" ref="AK46">_xlfn.IFS(S46&lt;4000,"Low",S46&lt;8000,"Medium",S46&gt;=8000,"High")</f>
        <v>Medium</v>
      </c>
      <c r="AL46" t="str" cm="1">
        <f t="array" ref="AL46">_xlfn.IFS(AF46&lt;3,"new",AF46&lt;=7,"Experienced",AF46&gt;7,"High")</f>
        <v>High</v>
      </c>
      <c r="AM46" s="1"/>
    </row>
    <row r="47" spans="1:39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  <c r="AJ47" t="str">
        <f t="shared" si="0"/>
        <v>High</v>
      </c>
      <c r="AK47" t="str" cm="1">
        <f t="array" ref="AK47">_xlfn.IFS(S47&lt;4000,"Low",S47&lt;8000,"Medium",S47&gt;=8000,"High")</f>
        <v>High</v>
      </c>
      <c r="AL47" t="str" cm="1">
        <f t="array" ref="AL47">_xlfn.IFS(AF47&lt;3,"new",AF47&lt;=7,"Experienced",AF47&gt;7,"High")</f>
        <v>High</v>
      </c>
      <c r="AM47" s="1"/>
    </row>
    <row r="48" spans="1:39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  <c r="AJ48" t="str">
        <f t="shared" si="0"/>
        <v>Low</v>
      </c>
      <c r="AK48" t="str" cm="1">
        <f t="array" ref="AK48">_xlfn.IFS(S48&lt;4000,"Low",S48&lt;8000,"Medium",S48&gt;=8000,"High")</f>
        <v>Medium</v>
      </c>
      <c r="AL48" t="str" cm="1">
        <f t="array" ref="AL48">_xlfn.IFS(AF48&lt;3,"new",AF48&lt;=7,"Experienced",AF48&gt;7,"High")</f>
        <v>High</v>
      </c>
      <c r="AM48" s="1"/>
    </row>
    <row r="49" spans="1:39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  <c r="AJ49" t="str">
        <f t="shared" si="0"/>
        <v>Low</v>
      </c>
      <c r="AK49" t="str" cm="1">
        <f t="array" ref="AK49">_xlfn.IFS(S49&lt;4000,"Low",S49&lt;8000,"Medium",S49&gt;=8000,"High")</f>
        <v>Low</v>
      </c>
      <c r="AL49" t="str" cm="1">
        <f t="array" ref="AL49">_xlfn.IFS(AF49&lt;3,"new",AF49&lt;=7,"Experienced",AF49&gt;7,"High")</f>
        <v>new</v>
      </c>
      <c r="AM49" s="1"/>
    </row>
    <row r="50" spans="1:39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  <c r="AJ50" t="str">
        <f t="shared" si="0"/>
        <v>Low</v>
      </c>
      <c r="AK50" t="str" cm="1">
        <f t="array" ref="AK50">_xlfn.IFS(S50&lt;4000,"Low",S50&lt;8000,"Medium",S50&gt;=8000,"High")</f>
        <v>Medium</v>
      </c>
      <c r="AL50" t="str" cm="1">
        <f t="array" ref="AL50">_xlfn.IFS(AF50&lt;3,"new",AF50&lt;=7,"Experienced",AF50&gt;7,"High")</f>
        <v>High</v>
      </c>
      <c r="AM50" s="1"/>
    </row>
    <row r="51" spans="1:39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  <c r="AJ51" t="str">
        <f t="shared" si="0"/>
        <v>Low</v>
      </c>
      <c r="AK51" t="str" cm="1">
        <f t="array" ref="AK51">_xlfn.IFS(S51&lt;4000,"Low",S51&lt;8000,"Medium",S51&gt;=8000,"High")</f>
        <v>Low</v>
      </c>
      <c r="AL51" t="str" cm="1">
        <f t="array" ref="AL51">_xlfn.IFS(AF51&lt;3,"new",AF51&lt;=7,"Experienced",AF51&gt;7,"High")</f>
        <v>new</v>
      </c>
      <c r="AM51" s="1"/>
    </row>
    <row r="52" spans="1:39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  <c r="AJ52" t="str">
        <f t="shared" si="0"/>
        <v>Low</v>
      </c>
      <c r="AK52" t="str" cm="1">
        <f t="array" ref="AK52">_xlfn.IFS(S52&lt;4000,"Low",S52&lt;8000,"Medium",S52&gt;=8000,"High")</f>
        <v>Medium</v>
      </c>
      <c r="AL52" t="str" cm="1">
        <f t="array" ref="AL52">_xlfn.IFS(AF52&lt;3,"new",AF52&lt;=7,"Experienced",AF52&gt;7,"High")</f>
        <v>new</v>
      </c>
      <c r="AM52" s="1"/>
    </row>
    <row r="53" spans="1:39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  <c r="AJ53" t="str">
        <f t="shared" si="0"/>
        <v>Low</v>
      </c>
      <c r="AK53" t="str" cm="1">
        <f t="array" ref="AK53">_xlfn.IFS(S53&lt;4000,"Low",S53&lt;8000,"Medium",S53&gt;=8000,"High")</f>
        <v>Low</v>
      </c>
      <c r="AL53" t="str" cm="1">
        <f t="array" ref="AL53">_xlfn.IFS(AF53&lt;3,"new",AF53&lt;=7,"Experienced",AF53&gt;7,"High")</f>
        <v>new</v>
      </c>
      <c r="AM53" s="1"/>
    </row>
    <row r="54" spans="1:39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  <c r="AJ54" t="str">
        <f t="shared" si="0"/>
        <v>Low</v>
      </c>
      <c r="AK54" t="str" cm="1">
        <f t="array" ref="AK54">_xlfn.IFS(S54&lt;4000,"Low",S54&lt;8000,"Medium",S54&gt;=8000,"High")</f>
        <v>Medium</v>
      </c>
      <c r="AL54" t="str" cm="1">
        <f t="array" ref="AL54">_xlfn.IFS(AF54&lt;3,"new",AF54&lt;=7,"Experienced",AF54&gt;7,"High")</f>
        <v>Experienced</v>
      </c>
      <c r="AM54" s="1"/>
    </row>
    <row r="55" spans="1:39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  <c r="AJ55" t="str">
        <f t="shared" si="0"/>
        <v>High</v>
      </c>
      <c r="AK55" t="str" cm="1">
        <f t="array" ref="AK55">_xlfn.IFS(S55&lt;4000,"Low",S55&lt;8000,"Medium",S55&gt;=8000,"High")</f>
        <v>High</v>
      </c>
      <c r="AL55" t="str" cm="1">
        <f t="array" ref="AL55">_xlfn.IFS(AF55&lt;3,"new",AF55&lt;=7,"Experienced",AF55&gt;7,"High")</f>
        <v>Experienced</v>
      </c>
      <c r="AM55" s="1"/>
    </row>
    <row r="56" spans="1:39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  <c r="AJ56" t="str">
        <f t="shared" si="0"/>
        <v>Low</v>
      </c>
      <c r="AK56" t="str" cm="1">
        <f t="array" ref="AK56">_xlfn.IFS(S56&lt;4000,"Low",S56&lt;8000,"Medium",S56&gt;=8000,"High")</f>
        <v>Medium</v>
      </c>
      <c r="AL56" t="str" cm="1">
        <f t="array" ref="AL56">_xlfn.IFS(AF56&lt;3,"new",AF56&lt;=7,"Experienced",AF56&gt;7,"High")</f>
        <v>new</v>
      </c>
      <c r="AM56" s="1"/>
    </row>
    <row r="57" spans="1:39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  <c r="AJ57" t="str">
        <f t="shared" si="0"/>
        <v>High</v>
      </c>
      <c r="AK57" t="str" cm="1">
        <f t="array" ref="AK57">_xlfn.IFS(S57&lt;4000,"Low",S57&lt;8000,"Medium",S57&gt;=8000,"High")</f>
        <v>High</v>
      </c>
      <c r="AL57" t="str" cm="1">
        <f t="array" ref="AL57">_xlfn.IFS(AF57&lt;3,"new",AF57&lt;=7,"Experienced",AF57&gt;7,"High")</f>
        <v>High</v>
      </c>
      <c r="AM57" s="1"/>
    </row>
    <row r="58" spans="1:39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  <c r="AJ58" t="str">
        <f t="shared" si="0"/>
        <v>High</v>
      </c>
      <c r="AK58" t="str" cm="1">
        <f t="array" ref="AK58">_xlfn.IFS(S58&lt;4000,"Low",S58&lt;8000,"Medium",S58&gt;=8000,"High")</f>
        <v>High</v>
      </c>
      <c r="AL58" t="str" cm="1">
        <f t="array" ref="AL58">_xlfn.IFS(AF58&lt;3,"new",AF58&lt;=7,"Experienced",AF58&gt;7,"High")</f>
        <v>High</v>
      </c>
      <c r="AM58" s="1"/>
    </row>
    <row r="59" spans="1:39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  <c r="AJ59" t="str">
        <f t="shared" si="0"/>
        <v>Low</v>
      </c>
      <c r="AK59" t="str" cm="1">
        <f t="array" ref="AK59">_xlfn.IFS(S59&lt;4000,"Low",S59&lt;8000,"Medium",S59&gt;=8000,"High")</f>
        <v>Medium</v>
      </c>
      <c r="AL59" t="str" cm="1">
        <f t="array" ref="AL59">_xlfn.IFS(AF59&lt;3,"new",AF59&lt;=7,"Experienced",AF59&gt;7,"High")</f>
        <v>new</v>
      </c>
      <c r="AM59" s="1"/>
    </row>
    <row r="60" spans="1:39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  <c r="AJ60" t="str">
        <f t="shared" si="0"/>
        <v>Low</v>
      </c>
      <c r="AK60" t="str" cm="1">
        <f t="array" ref="AK60">_xlfn.IFS(S60&lt;4000,"Low",S60&lt;8000,"Medium",S60&gt;=8000,"High")</f>
        <v>Medium</v>
      </c>
      <c r="AL60" t="str" cm="1">
        <f t="array" ref="AL60">_xlfn.IFS(AF60&lt;3,"new",AF60&lt;=7,"Experienced",AF60&gt;7,"High")</f>
        <v>Experienced</v>
      </c>
      <c r="AM60" s="1"/>
    </row>
    <row r="61" spans="1:39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  <c r="AJ61" t="str">
        <f t="shared" si="0"/>
        <v>Low</v>
      </c>
      <c r="AK61" t="str" cm="1">
        <f t="array" ref="AK61">_xlfn.IFS(S61&lt;4000,"Low",S61&lt;8000,"Medium",S61&gt;=8000,"High")</f>
        <v>Medium</v>
      </c>
      <c r="AL61" t="str" cm="1">
        <f t="array" ref="AL61">_xlfn.IFS(AF61&lt;3,"new",AF61&lt;=7,"Experienced",AF61&gt;7,"High")</f>
        <v>Experienced</v>
      </c>
      <c r="AM61" s="1"/>
    </row>
    <row r="62" spans="1:39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  <c r="AJ62" t="str">
        <f t="shared" si="0"/>
        <v>Low</v>
      </c>
      <c r="AK62" t="str" cm="1">
        <f t="array" ref="AK62">_xlfn.IFS(S62&lt;4000,"Low",S62&lt;8000,"Medium",S62&gt;=8000,"High")</f>
        <v>Medium</v>
      </c>
      <c r="AL62" t="str" cm="1">
        <f t="array" ref="AL62">_xlfn.IFS(AF62&lt;3,"new",AF62&lt;=7,"Experienced",AF62&gt;7,"High")</f>
        <v>High</v>
      </c>
      <c r="AM62" s="1"/>
    </row>
    <row r="63" spans="1:39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  <c r="AJ63" t="str">
        <f t="shared" si="0"/>
        <v>Low</v>
      </c>
      <c r="AK63" t="str" cm="1">
        <f t="array" ref="AK63">_xlfn.IFS(S63&lt;4000,"Low",S63&lt;8000,"Medium",S63&gt;=8000,"High")</f>
        <v>Low</v>
      </c>
      <c r="AL63" t="str" cm="1">
        <f t="array" ref="AL63">_xlfn.IFS(AF63&lt;3,"new",AF63&lt;=7,"Experienced",AF63&gt;7,"High")</f>
        <v>High</v>
      </c>
      <c r="AM63" s="1"/>
    </row>
    <row r="64" spans="1:39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  <c r="AJ64" t="str">
        <f t="shared" si="0"/>
        <v>High</v>
      </c>
      <c r="AK64" t="str" cm="1">
        <f t="array" ref="AK64">_xlfn.IFS(S64&lt;4000,"Low",S64&lt;8000,"Medium",S64&gt;=8000,"High")</f>
        <v>High</v>
      </c>
      <c r="AL64" t="str" cm="1">
        <f t="array" ref="AL64">_xlfn.IFS(AF64&lt;3,"new",AF64&lt;=7,"Experienced",AF64&gt;7,"High")</f>
        <v>High</v>
      </c>
      <c r="AM64" s="1"/>
    </row>
    <row r="65" spans="1:39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  <c r="AJ65" t="str">
        <f t="shared" si="0"/>
        <v>High</v>
      </c>
      <c r="AK65" t="str" cm="1">
        <f t="array" ref="AK65">_xlfn.IFS(S65&lt;4000,"Low",S65&lt;8000,"Medium",S65&gt;=8000,"High")</f>
        <v>Medium</v>
      </c>
      <c r="AL65" t="str" cm="1">
        <f t="array" ref="AL65">_xlfn.IFS(AF65&lt;3,"new",AF65&lt;=7,"Experienced",AF65&gt;7,"High")</f>
        <v>High</v>
      </c>
      <c r="AM65" s="1"/>
    </row>
    <row r="66" spans="1:39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  <c r="AJ66" t="str">
        <f t="shared" ref="AJ66:AJ129" si="1">IF(S66&gt;=6500,"High","Low")</f>
        <v>High</v>
      </c>
      <c r="AK66" t="str" cm="1">
        <f t="array" ref="AK66">_xlfn.IFS(S66&lt;4000,"Low",S66&lt;8000,"Medium",S66&gt;=8000,"High")</f>
        <v>High</v>
      </c>
      <c r="AL66" t="str" cm="1">
        <f t="array" ref="AL66">_xlfn.IFS(AF66&lt;3,"new",AF66&lt;=7,"Experienced",AF66&gt;7,"High")</f>
        <v>High</v>
      </c>
      <c r="AM66" s="1"/>
    </row>
    <row r="67" spans="1:39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  <c r="AJ67" t="str">
        <f t="shared" si="1"/>
        <v>High</v>
      </c>
      <c r="AK67" t="str" cm="1">
        <f t="array" ref="AK67">_xlfn.IFS(S67&lt;4000,"Low",S67&lt;8000,"Medium",S67&gt;=8000,"High")</f>
        <v>High</v>
      </c>
      <c r="AL67" t="str" cm="1">
        <f t="array" ref="AL67">_xlfn.IFS(AF67&lt;3,"new",AF67&lt;=7,"Experienced",AF67&gt;7,"High")</f>
        <v>Experienced</v>
      </c>
      <c r="AM67" s="1"/>
    </row>
    <row r="68" spans="1:39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  <c r="AJ68" t="str">
        <f t="shared" si="1"/>
        <v>Low</v>
      </c>
      <c r="AK68" t="str" cm="1">
        <f t="array" ref="AK68">_xlfn.IFS(S68&lt;4000,"Low",S68&lt;8000,"Medium",S68&gt;=8000,"High")</f>
        <v>Medium</v>
      </c>
      <c r="AL68" t="str" cm="1">
        <f t="array" ref="AL68">_xlfn.IFS(AF68&lt;3,"new",AF68&lt;=7,"Experienced",AF68&gt;7,"High")</f>
        <v>Experienced</v>
      </c>
      <c r="AM68" s="1"/>
    </row>
    <row r="69" spans="1:39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  <c r="AJ69" t="str">
        <f t="shared" si="1"/>
        <v>High</v>
      </c>
      <c r="AK69" t="str" cm="1">
        <f t="array" ref="AK69">_xlfn.IFS(S69&lt;4000,"Low",S69&lt;8000,"Medium",S69&gt;=8000,"High")</f>
        <v>High</v>
      </c>
      <c r="AL69" t="str" cm="1">
        <f t="array" ref="AL69">_xlfn.IFS(AF69&lt;3,"new",AF69&lt;=7,"Experienced",AF69&gt;7,"High")</f>
        <v>new</v>
      </c>
      <c r="AM69" s="1"/>
    </row>
    <row r="70" spans="1:39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  <c r="AJ70" t="str">
        <f t="shared" si="1"/>
        <v>Low</v>
      </c>
      <c r="AK70" t="str" cm="1">
        <f t="array" ref="AK70">_xlfn.IFS(S70&lt;4000,"Low",S70&lt;8000,"Medium",S70&gt;=8000,"High")</f>
        <v>Low</v>
      </c>
      <c r="AL70" t="str" cm="1">
        <f t="array" ref="AL70">_xlfn.IFS(AF70&lt;3,"new",AF70&lt;=7,"Experienced",AF70&gt;7,"High")</f>
        <v>Experienced</v>
      </c>
      <c r="AM70" s="1"/>
    </row>
    <row r="71" spans="1:39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  <c r="AJ71" t="str">
        <f t="shared" si="1"/>
        <v>Low</v>
      </c>
      <c r="AK71" t="str" cm="1">
        <f t="array" ref="AK71">_xlfn.IFS(S71&lt;4000,"Low",S71&lt;8000,"Medium",S71&gt;=8000,"High")</f>
        <v>Low</v>
      </c>
      <c r="AL71" t="str" cm="1">
        <f t="array" ref="AL71">_xlfn.IFS(AF71&lt;3,"new",AF71&lt;=7,"Experienced",AF71&gt;7,"High")</f>
        <v>new</v>
      </c>
      <c r="AM71" s="1"/>
    </row>
    <row r="72" spans="1:39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  <c r="AJ72" t="str">
        <f t="shared" si="1"/>
        <v>Low</v>
      </c>
      <c r="AK72" t="str" cm="1">
        <f t="array" ref="AK72">_xlfn.IFS(S72&lt;4000,"Low",S72&lt;8000,"Medium",S72&gt;=8000,"High")</f>
        <v>Medium</v>
      </c>
      <c r="AL72" t="str" cm="1">
        <f t="array" ref="AL72">_xlfn.IFS(AF72&lt;3,"new",AF72&lt;=7,"Experienced",AF72&gt;7,"High")</f>
        <v>Experienced</v>
      </c>
      <c r="AM72" s="1"/>
    </row>
    <row r="73" spans="1:39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  <c r="AJ73" t="str">
        <f t="shared" si="1"/>
        <v>Low</v>
      </c>
      <c r="AK73" t="str" cm="1">
        <f t="array" ref="AK73">_xlfn.IFS(S73&lt;4000,"Low",S73&lt;8000,"Medium",S73&gt;=8000,"High")</f>
        <v>Low</v>
      </c>
      <c r="AL73" t="str" cm="1">
        <f t="array" ref="AL73">_xlfn.IFS(AF73&lt;3,"new",AF73&lt;=7,"Experienced",AF73&gt;7,"High")</f>
        <v>Experienced</v>
      </c>
      <c r="AM73" s="1"/>
    </row>
    <row r="74" spans="1:39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  <c r="AJ74" t="str">
        <f t="shared" si="1"/>
        <v>Low</v>
      </c>
      <c r="AK74" t="str" cm="1">
        <f t="array" ref="AK74">_xlfn.IFS(S74&lt;4000,"Low",S74&lt;8000,"Medium",S74&gt;=8000,"High")</f>
        <v>Low</v>
      </c>
      <c r="AL74" t="str" cm="1">
        <f t="array" ref="AL74">_xlfn.IFS(AF74&lt;3,"new",AF74&lt;=7,"Experienced",AF74&gt;7,"High")</f>
        <v>new</v>
      </c>
      <c r="AM74" s="1"/>
    </row>
    <row r="75" spans="1:39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  <c r="AJ75" t="str">
        <f t="shared" si="1"/>
        <v>Low</v>
      </c>
      <c r="AK75" t="str" cm="1">
        <f t="array" ref="AK75">_xlfn.IFS(S75&lt;4000,"Low",S75&lt;8000,"Medium",S75&gt;=8000,"High")</f>
        <v>Medium</v>
      </c>
      <c r="AL75" t="str" cm="1">
        <f t="array" ref="AL75">_xlfn.IFS(AF75&lt;3,"new",AF75&lt;=7,"Experienced",AF75&gt;7,"High")</f>
        <v>High</v>
      </c>
      <c r="AM75" s="1"/>
    </row>
    <row r="76" spans="1:39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  <c r="AJ76" t="str">
        <f t="shared" si="1"/>
        <v>Low</v>
      </c>
      <c r="AK76" t="str" cm="1">
        <f t="array" ref="AK76">_xlfn.IFS(S76&lt;4000,"Low",S76&lt;8000,"Medium",S76&gt;=8000,"High")</f>
        <v>Low</v>
      </c>
      <c r="AL76" t="str" cm="1">
        <f t="array" ref="AL76">_xlfn.IFS(AF76&lt;3,"new",AF76&lt;=7,"Experienced",AF76&gt;7,"High")</f>
        <v>new</v>
      </c>
      <c r="AM76" s="1"/>
    </row>
    <row r="77" spans="1:39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  <c r="AJ77" t="str">
        <f t="shared" si="1"/>
        <v>Low</v>
      </c>
      <c r="AK77" t="str" cm="1">
        <f t="array" ref="AK77">_xlfn.IFS(S77&lt;4000,"Low",S77&lt;8000,"Medium",S77&gt;=8000,"High")</f>
        <v>Medium</v>
      </c>
      <c r="AL77" t="str" cm="1">
        <f t="array" ref="AL77">_xlfn.IFS(AF77&lt;3,"new",AF77&lt;=7,"Experienced",AF77&gt;7,"High")</f>
        <v>High</v>
      </c>
      <c r="AM77" s="1"/>
    </row>
    <row r="78" spans="1:39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  <c r="AJ78" t="str">
        <f t="shared" si="1"/>
        <v>Low</v>
      </c>
      <c r="AK78" t="str" cm="1">
        <f t="array" ref="AK78">_xlfn.IFS(S78&lt;4000,"Low",S78&lt;8000,"Medium",S78&gt;=8000,"High")</f>
        <v>Medium</v>
      </c>
      <c r="AL78" t="str" cm="1">
        <f t="array" ref="AL78">_xlfn.IFS(AF78&lt;3,"new",AF78&lt;=7,"Experienced",AF78&gt;7,"High")</f>
        <v>High</v>
      </c>
      <c r="AM78" s="1"/>
    </row>
    <row r="79" spans="1:39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  <c r="AJ79" t="str">
        <f t="shared" si="1"/>
        <v>High</v>
      </c>
      <c r="AK79" t="str" cm="1">
        <f t="array" ref="AK79">_xlfn.IFS(S79&lt;4000,"Low",S79&lt;8000,"Medium",S79&gt;=8000,"High")</f>
        <v>High</v>
      </c>
      <c r="AL79" t="str" cm="1">
        <f t="array" ref="AL79">_xlfn.IFS(AF79&lt;3,"new",AF79&lt;=7,"Experienced",AF79&gt;7,"High")</f>
        <v>new</v>
      </c>
      <c r="AM79" s="1"/>
    </row>
    <row r="80" spans="1:39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  <c r="AJ80" t="str">
        <f t="shared" si="1"/>
        <v>High</v>
      </c>
      <c r="AK80" t="str" cm="1">
        <f t="array" ref="AK80">_xlfn.IFS(S80&lt;4000,"Low",S80&lt;8000,"Medium",S80&gt;=8000,"High")</f>
        <v>High</v>
      </c>
      <c r="AL80" t="str" cm="1">
        <f t="array" ref="AL80">_xlfn.IFS(AF80&lt;3,"new",AF80&lt;=7,"Experienced",AF80&gt;7,"High")</f>
        <v>Experienced</v>
      </c>
      <c r="AM80" s="1"/>
    </row>
    <row r="81" spans="1:39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  <c r="AJ81" t="str">
        <f t="shared" si="1"/>
        <v>Low</v>
      </c>
      <c r="AK81" t="str" cm="1">
        <f t="array" ref="AK81">_xlfn.IFS(S81&lt;4000,"Low",S81&lt;8000,"Medium",S81&gt;=8000,"High")</f>
        <v>Medium</v>
      </c>
      <c r="AL81" t="str" cm="1">
        <f t="array" ref="AL81">_xlfn.IFS(AF81&lt;3,"new",AF81&lt;=7,"Experienced",AF81&gt;7,"High")</f>
        <v>Experienced</v>
      </c>
      <c r="AM81" s="1"/>
    </row>
    <row r="82" spans="1:39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  <c r="AJ82" t="str">
        <f t="shared" si="1"/>
        <v>Low</v>
      </c>
      <c r="AK82" t="str" cm="1">
        <f t="array" ref="AK82">_xlfn.IFS(S82&lt;4000,"Low",S82&lt;8000,"Medium",S82&gt;=8000,"High")</f>
        <v>Medium</v>
      </c>
      <c r="AL82" t="str" cm="1">
        <f t="array" ref="AL82">_xlfn.IFS(AF82&lt;3,"new",AF82&lt;=7,"Experienced",AF82&gt;7,"High")</f>
        <v>High</v>
      </c>
      <c r="AM82" s="1"/>
    </row>
    <row r="83" spans="1:39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  <c r="AJ83" t="str">
        <f t="shared" si="1"/>
        <v>Low</v>
      </c>
      <c r="AK83" t="str" cm="1">
        <f t="array" ref="AK83">_xlfn.IFS(S83&lt;4000,"Low",S83&lt;8000,"Medium",S83&gt;=8000,"High")</f>
        <v>Low</v>
      </c>
      <c r="AL83" t="str" cm="1">
        <f t="array" ref="AL83">_xlfn.IFS(AF83&lt;3,"new",AF83&lt;=7,"Experienced",AF83&gt;7,"High")</f>
        <v>Experienced</v>
      </c>
      <c r="AM83" s="1"/>
    </row>
    <row r="84" spans="1:39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  <c r="AJ84" t="str">
        <f t="shared" si="1"/>
        <v>High</v>
      </c>
      <c r="AK84" t="str" cm="1">
        <f t="array" ref="AK84">_xlfn.IFS(S84&lt;4000,"Low",S84&lt;8000,"Medium",S84&gt;=8000,"High")</f>
        <v>High</v>
      </c>
      <c r="AL84" t="str" cm="1">
        <f t="array" ref="AL84">_xlfn.IFS(AF84&lt;3,"new",AF84&lt;=7,"Experienced",AF84&gt;7,"High")</f>
        <v>new</v>
      </c>
      <c r="AM84" s="1"/>
    </row>
    <row r="85" spans="1:39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  <c r="AJ85" t="str">
        <f t="shared" si="1"/>
        <v>Low</v>
      </c>
      <c r="AK85" t="str" cm="1">
        <f t="array" ref="AK85">_xlfn.IFS(S85&lt;4000,"Low",S85&lt;8000,"Medium",S85&gt;=8000,"High")</f>
        <v>Medium</v>
      </c>
      <c r="AL85" t="str" cm="1">
        <f t="array" ref="AL85">_xlfn.IFS(AF85&lt;3,"new",AF85&lt;=7,"Experienced",AF85&gt;7,"High")</f>
        <v>High</v>
      </c>
      <c r="AM85" s="1"/>
    </row>
    <row r="86" spans="1:39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  <c r="AJ86" t="str">
        <f t="shared" si="1"/>
        <v>Low</v>
      </c>
      <c r="AK86" t="str" cm="1">
        <f t="array" ref="AK86">_xlfn.IFS(S86&lt;4000,"Low",S86&lt;8000,"Medium",S86&gt;=8000,"High")</f>
        <v>Medium</v>
      </c>
      <c r="AL86" t="str" cm="1">
        <f t="array" ref="AL86">_xlfn.IFS(AF86&lt;3,"new",AF86&lt;=7,"Experienced",AF86&gt;7,"High")</f>
        <v>Experienced</v>
      </c>
      <c r="AM86" s="1"/>
    </row>
    <row r="87" spans="1:39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  <c r="AJ87" t="str">
        <f t="shared" si="1"/>
        <v>High</v>
      </c>
      <c r="AK87" t="str" cm="1">
        <f t="array" ref="AK87">_xlfn.IFS(S87&lt;4000,"Low",S87&lt;8000,"Medium",S87&gt;=8000,"High")</f>
        <v>Medium</v>
      </c>
      <c r="AL87" t="str" cm="1">
        <f t="array" ref="AL87">_xlfn.IFS(AF87&lt;3,"new",AF87&lt;=7,"Experienced",AF87&gt;7,"High")</f>
        <v>Experienced</v>
      </c>
      <c r="AM87" s="1"/>
    </row>
    <row r="88" spans="1:39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  <c r="AJ88" t="str">
        <f t="shared" si="1"/>
        <v>Low</v>
      </c>
      <c r="AK88" t="str" cm="1">
        <f t="array" ref="AK88">_xlfn.IFS(S88&lt;4000,"Low",S88&lt;8000,"Medium",S88&gt;=8000,"High")</f>
        <v>Low</v>
      </c>
      <c r="AL88" t="str" cm="1">
        <f t="array" ref="AL88">_xlfn.IFS(AF88&lt;3,"new",AF88&lt;=7,"Experienced",AF88&gt;7,"High")</f>
        <v>new</v>
      </c>
      <c r="AM88" s="1"/>
    </row>
    <row r="89" spans="1:39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  <c r="AJ89" t="str">
        <f t="shared" si="1"/>
        <v>Low</v>
      </c>
      <c r="AK89" t="str" cm="1">
        <f t="array" ref="AK89">_xlfn.IFS(S89&lt;4000,"Low",S89&lt;8000,"Medium",S89&gt;=8000,"High")</f>
        <v>Low</v>
      </c>
      <c r="AL89" t="str" cm="1">
        <f t="array" ref="AL89">_xlfn.IFS(AF89&lt;3,"new",AF89&lt;=7,"Experienced",AF89&gt;7,"High")</f>
        <v>Experienced</v>
      </c>
      <c r="AM89" s="1"/>
    </row>
    <row r="90" spans="1:39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  <c r="AJ90" t="str">
        <f t="shared" si="1"/>
        <v>Low</v>
      </c>
      <c r="AK90" t="str" cm="1">
        <f t="array" ref="AK90">_xlfn.IFS(S90&lt;4000,"Low",S90&lt;8000,"Medium",S90&gt;=8000,"High")</f>
        <v>Medium</v>
      </c>
      <c r="AL90" t="str" cm="1">
        <f t="array" ref="AL90">_xlfn.IFS(AF90&lt;3,"new",AF90&lt;=7,"Experienced",AF90&gt;7,"High")</f>
        <v>High</v>
      </c>
      <c r="AM90" s="1"/>
    </row>
    <row r="91" spans="1:39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  <c r="AJ91" t="str">
        <f t="shared" si="1"/>
        <v>High</v>
      </c>
      <c r="AK91" t="str" cm="1">
        <f t="array" ref="AK91">_xlfn.IFS(S91&lt;4000,"Low",S91&lt;8000,"Medium",S91&gt;=8000,"High")</f>
        <v>High</v>
      </c>
      <c r="AL91" t="str" cm="1">
        <f t="array" ref="AL91">_xlfn.IFS(AF91&lt;3,"new",AF91&lt;=7,"Experienced",AF91&gt;7,"High")</f>
        <v>High</v>
      </c>
      <c r="AM91" s="1"/>
    </row>
    <row r="92" spans="1:39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  <c r="AJ92" t="str">
        <f t="shared" si="1"/>
        <v>High</v>
      </c>
      <c r="AK92" t="str" cm="1">
        <f t="array" ref="AK92">_xlfn.IFS(S92&lt;4000,"Low",S92&lt;8000,"Medium",S92&gt;=8000,"High")</f>
        <v>High</v>
      </c>
      <c r="AL92" t="str" cm="1">
        <f t="array" ref="AL92">_xlfn.IFS(AF92&lt;3,"new",AF92&lt;=7,"Experienced",AF92&gt;7,"High")</f>
        <v>High</v>
      </c>
      <c r="AM92" s="1"/>
    </row>
    <row r="93" spans="1:39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  <c r="AJ93" t="str">
        <f t="shared" si="1"/>
        <v>Low</v>
      </c>
      <c r="AK93" t="str" cm="1">
        <f t="array" ref="AK93">_xlfn.IFS(S93&lt;4000,"Low",S93&lt;8000,"Medium",S93&gt;=8000,"High")</f>
        <v>Medium</v>
      </c>
      <c r="AL93" t="str" cm="1">
        <f t="array" ref="AL93">_xlfn.IFS(AF93&lt;3,"new",AF93&lt;=7,"Experienced",AF93&gt;7,"High")</f>
        <v>High</v>
      </c>
      <c r="AM93" s="1"/>
    </row>
    <row r="94" spans="1:39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  <c r="AJ94" t="str">
        <f t="shared" si="1"/>
        <v>Low</v>
      </c>
      <c r="AK94" t="str" cm="1">
        <f t="array" ref="AK94">_xlfn.IFS(S94&lt;4000,"Low",S94&lt;8000,"Medium",S94&gt;=8000,"High")</f>
        <v>Medium</v>
      </c>
      <c r="AL94" t="str" cm="1">
        <f t="array" ref="AL94">_xlfn.IFS(AF94&lt;3,"new",AF94&lt;=7,"Experienced",AF94&gt;7,"High")</f>
        <v>High</v>
      </c>
      <c r="AM94" s="1"/>
    </row>
    <row r="95" spans="1:39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  <c r="AJ95" t="str">
        <f t="shared" si="1"/>
        <v>High</v>
      </c>
      <c r="AK95" t="str" cm="1">
        <f t="array" ref="AK95">_xlfn.IFS(S95&lt;4000,"Low",S95&lt;8000,"Medium",S95&gt;=8000,"High")</f>
        <v>High</v>
      </c>
      <c r="AL95" t="str" cm="1">
        <f t="array" ref="AL95">_xlfn.IFS(AF95&lt;3,"new",AF95&lt;=7,"Experienced",AF95&gt;7,"High")</f>
        <v>High</v>
      </c>
      <c r="AM95" s="1"/>
    </row>
    <row r="96" spans="1:39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  <c r="AJ96" t="str">
        <f t="shared" si="1"/>
        <v>Low</v>
      </c>
      <c r="AK96" t="str" cm="1">
        <f t="array" ref="AK96">_xlfn.IFS(S96&lt;4000,"Low",S96&lt;8000,"Medium",S96&gt;=8000,"High")</f>
        <v>Medium</v>
      </c>
      <c r="AL96" t="str" cm="1">
        <f t="array" ref="AL96">_xlfn.IFS(AF96&lt;3,"new",AF96&lt;=7,"Experienced",AF96&gt;7,"High")</f>
        <v>High</v>
      </c>
      <c r="AM96" s="1"/>
    </row>
    <row r="97" spans="1:39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  <c r="AJ97" t="str">
        <f t="shared" si="1"/>
        <v>High</v>
      </c>
      <c r="AK97" t="str" cm="1">
        <f t="array" ref="AK97">_xlfn.IFS(S97&lt;4000,"Low",S97&lt;8000,"Medium",S97&gt;=8000,"High")</f>
        <v>High</v>
      </c>
      <c r="AL97" t="str" cm="1">
        <f t="array" ref="AL97">_xlfn.IFS(AF97&lt;3,"new",AF97&lt;=7,"Experienced",AF97&gt;7,"High")</f>
        <v>Experienced</v>
      </c>
      <c r="AM97" s="1"/>
    </row>
    <row r="98" spans="1:39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  <c r="AJ98" t="str">
        <f t="shared" si="1"/>
        <v>Low</v>
      </c>
      <c r="AK98" t="str" cm="1">
        <f t="array" ref="AK98">_xlfn.IFS(S98&lt;4000,"Low",S98&lt;8000,"Medium",S98&gt;=8000,"High")</f>
        <v>Medium</v>
      </c>
      <c r="AL98" t="str" cm="1">
        <f t="array" ref="AL98">_xlfn.IFS(AF98&lt;3,"new",AF98&lt;=7,"Experienced",AF98&gt;7,"High")</f>
        <v>Experienced</v>
      </c>
      <c r="AM98" s="1"/>
    </row>
    <row r="99" spans="1:39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  <c r="AJ99" t="str">
        <f t="shared" si="1"/>
        <v>Low</v>
      </c>
      <c r="AK99" t="str" cm="1">
        <f t="array" ref="AK99">_xlfn.IFS(S99&lt;4000,"Low",S99&lt;8000,"Medium",S99&gt;=8000,"High")</f>
        <v>Medium</v>
      </c>
      <c r="AL99" t="str" cm="1">
        <f t="array" ref="AL99">_xlfn.IFS(AF99&lt;3,"new",AF99&lt;=7,"Experienced",AF99&gt;7,"High")</f>
        <v>Experienced</v>
      </c>
      <c r="AM99" s="1"/>
    </row>
    <row r="100" spans="1:39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  <c r="AJ100" t="str">
        <f t="shared" si="1"/>
        <v>High</v>
      </c>
      <c r="AK100" t="str" cm="1">
        <f t="array" ref="AK100">_xlfn.IFS(S100&lt;4000,"Low",S100&lt;8000,"Medium",S100&gt;=8000,"High")</f>
        <v>High</v>
      </c>
      <c r="AL100" t="str" cm="1">
        <f t="array" ref="AL100">_xlfn.IFS(AF100&lt;3,"new",AF100&lt;=7,"Experienced",AF100&gt;7,"High")</f>
        <v>High</v>
      </c>
      <c r="AM100" s="1"/>
    </row>
    <row r="101" spans="1:39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  <c r="AJ101" t="str">
        <f t="shared" si="1"/>
        <v>Low</v>
      </c>
      <c r="AK101" t="str" cm="1">
        <f t="array" ref="AK101">_xlfn.IFS(S101&lt;4000,"Low",S101&lt;8000,"Medium",S101&gt;=8000,"High")</f>
        <v>Low</v>
      </c>
      <c r="AL101" t="str" cm="1">
        <f t="array" ref="AL101">_xlfn.IFS(AF101&lt;3,"new",AF101&lt;=7,"Experienced",AF101&gt;7,"High")</f>
        <v>Experienced</v>
      </c>
      <c r="AM101" s="1"/>
    </row>
    <row r="102" spans="1:39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  <c r="AJ102" t="str">
        <f t="shared" si="1"/>
        <v>Low</v>
      </c>
      <c r="AK102" t="str" cm="1">
        <f t="array" ref="AK102">_xlfn.IFS(S102&lt;4000,"Low",S102&lt;8000,"Medium",S102&gt;=8000,"High")</f>
        <v>Low</v>
      </c>
      <c r="AL102" t="str" cm="1">
        <f t="array" ref="AL102">_xlfn.IFS(AF102&lt;3,"new",AF102&lt;=7,"Experienced",AF102&gt;7,"High")</f>
        <v>Experienced</v>
      </c>
      <c r="AM102" s="1"/>
    </row>
    <row r="103" spans="1:39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  <c r="AJ103" t="str">
        <f t="shared" si="1"/>
        <v>Low</v>
      </c>
      <c r="AK103" t="str" cm="1">
        <f t="array" ref="AK103">_xlfn.IFS(S103&lt;4000,"Low",S103&lt;8000,"Medium",S103&gt;=8000,"High")</f>
        <v>Low</v>
      </c>
      <c r="AL103" t="str" cm="1">
        <f t="array" ref="AL103">_xlfn.IFS(AF103&lt;3,"new",AF103&lt;=7,"Experienced",AF103&gt;7,"High")</f>
        <v>new</v>
      </c>
      <c r="AM103" s="1"/>
    </row>
    <row r="104" spans="1:39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  <c r="AJ104" t="str">
        <f t="shared" si="1"/>
        <v>Low</v>
      </c>
      <c r="AK104" t="str" cm="1">
        <f t="array" ref="AK104">_xlfn.IFS(S104&lt;4000,"Low",S104&lt;8000,"Medium",S104&gt;=8000,"High")</f>
        <v>Low</v>
      </c>
      <c r="AL104" t="str" cm="1">
        <f t="array" ref="AL104">_xlfn.IFS(AF104&lt;3,"new",AF104&lt;=7,"Experienced",AF104&gt;7,"High")</f>
        <v>new</v>
      </c>
      <c r="AM104" s="1"/>
    </row>
    <row r="105" spans="1:39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  <c r="AJ105" t="str">
        <f t="shared" si="1"/>
        <v>Low</v>
      </c>
      <c r="AK105" t="str" cm="1">
        <f t="array" ref="AK105">_xlfn.IFS(S105&lt;4000,"Low",S105&lt;8000,"Medium",S105&gt;=8000,"High")</f>
        <v>Medium</v>
      </c>
      <c r="AL105" t="str" cm="1">
        <f t="array" ref="AL105">_xlfn.IFS(AF105&lt;3,"new",AF105&lt;=7,"Experienced",AF105&gt;7,"High")</f>
        <v>High</v>
      </c>
      <c r="AM105" s="1"/>
    </row>
    <row r="106" spans="1:39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  <c r="AJ106" t="str">
        <f t="shared" si="1"/>
        <v>Low</v>
      </c>
      <c r="AK106" t="str" cm="1">
        <f t="array" ref="AK106">_xlfn.IFS(S106&lt;4000,"Low",S106&lt;8000,"Medium",S106&gt;=8000,"High")</f>
        <v>Medium</v>
      </c>
      <c r="AL106" t="str" cm="1">
        <f t="array" ref="AL106">_xlfn.IFS(AF106&lt;3,"new",AF106&lt;=7,"Experienced",AF106&gt;7,"High")</f>
        <v>new</v>
      </c>
      <c r="AM106" s="1"/>
    </row>
    <row r="107" spans="1:39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  <c r="AJ107" t="str">
        <f t="shared" si="1"/>
        <v>High</v>
      </c>
      <c r="AK107" t="str" cm="1">
        <f t="array" ref="AK107">_xlfn.IFS(S107&lt;4000,"Low",S107&lt;8000,"Medium",S107&gt;=8000,"High")</f>
        <v>High</v>
      </c>
      <c r="AL107" t="str" cm="1">
        <f t="array" ref="AL107">_xlfn.IFS(AF107&lt;3,"new",AF107&lt;=7,"Experienced",AF107&gt;7,"High")</f>
        <v>Experienced</v>
      </c>
      <c r="AM107" s="1"/>
    </row>
    <row r="108" spans="1:39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  <c r="AJ108" t="str">
        <f t="shared" si="1"/>
        <v>High</v>
      </c>
      <c r="AK108" t="str" cm="1">
        <f t="array" ref="AK108">_xlfn.IFS(S108&lt;4000,"Low",S108&lt;8000,"Medium",S108&gt;=8000,"High")</f>
        <v>High</v>
      </c>
      <c r="AL108" t="str" cm="1">
        <f t="array" ref="AL108">_xlfn.IFS(AF108&lt;3,"new",AF108&lt;=7,"Experienced",AF108&gt;7,"High")</f>
        <v>High</v>
      </c>
      <c r="AM108" s="1"/>
    </row>
    <row r="109" spans="1:39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  <c r="AJ109" t="str">
        <f t="shared" si="1"/>
        <v>Low</v>
      </c>
      <c r="AK109" t="str" cm="1">
        <f t="array" ref="AK109">_xlfn.IFS(S109&lt;4000,"Low",S109&lt;8000,"Medium",S109&gt;=8000,"High")</f>
        <v>Medium</v>
      </c>
      <c r="AL109" t="str" cm="1">
        <f t="array" ref="AL109">_xlfn.IFS(AF109&lt;3,"new",AF109&lt;=7,"Experienced",AF109&gt;7,"High")</f>
        <v>Experienced</v>
      </c>
      <c r="AM109" s="1"/>
    </row>
    <row r="110" spans="1:39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  <c r="AJ110" t="str">
        <f t="shared" si="1"/>
        <v>Low</v>
      </c>
      <c r="AK110" t="str" cm="1">
        <f t="array" ref="AK110">_xlfn.IFS(S110&lt;4000,"Low",S110&lt;8000,"Medium",S110&gt;=8000,"High")</f>
        <v>Low</v>
      </c>
      <c r="AL110" t="str" cm="1">
        <f t="array" ref="AL110">_xlfn.IFS(AF110&lt;3,"new",AF110&lt;=7,"Experienced",AF110&gt;7,"High")</f>
        <v>new</v>
      </c>
      <c r="AM110" s="1"/>
    </row>
    <row r="111" spans="1:39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  <c r="AJ111" t="str">
        <f t="shared" si="1"/>
        <v>Low</v>
      </c>
      <c r="AK111" t="str" cm="1">
        <f t="array" ref="AK111">_xlfn.IFS(S111&lt;4000,"Low",S111&lt;8000,"Medium",S111&gt;=8000,"High")</f>
        <v>Low</v>
      </c>
      <c r="AL111" t="str" cm="1">
        <f t="array" ref="AL111">_xlfn.IFS(AF111&lt;3,"new",AF111&lt;=7,"Experienced",AF111&gt;7,"High")</f>
        <v>new</v>
      </c>
      <c r="AM111" s="1"/>
    </row>
    <row r="112" spans="1:39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  <c r="AJ112" t="str">
        <f t="shared" si="1"/>
        <v>High</v>
      </c>
      <c r="AK112" t="str" cm="1">
        <f t="array" ref="AK112">_xlfn.IFS(S112&lt;4000,"Low",S112&lt;8000,"Medium",S112&gt;=8000,"High")</f>
        <v>Medium</v>
      </c>
      <c r="AL112" t="str" cm="1">
        <f t="array" ref="AL112">_xlfn.IFS(AF112&lt;3,"new",AF112&lt;=7,"Experienced",AF112&gt;7,"High")</f>
        <v>High</v>
      </c>
      <c r="AM112" s="1"/>
    </row>
    <row r="113" spans="1:39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  <c r="AJ113" t="str">
        <f t="shared" si="1"/>
        <v>Low</v>
      </c>
      <c r="AK113" t="str" cm="1">
        <f t="array" ref="AK113">_xlfn.IFS(S113&lt;4000,"Low",S113&lt;8000,"Medium",S113&gt;=8000,"High")</f>
        <v>Medium</v>
      </c>
      <c r="AL113" t="str" cm="1">
        <f t="array" ref="AL113">_xlfn.IFS(AF113&lt;3,"new",AF113&lt;=7,"Experienced",AF113&gt;7,"High")</f>
        <v>High</v>
      </c>
      <c r="AM113" s="1"/>
    </row>
    <row r="114" spans="1:39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  <c r="AJ114" t="str">
        <f t="shared" si="1"/>
        <v>High</v>
      </c>
      <c r="AK114" t="str" cm="1">
        <f t="array" ref="AK114">_xlfn.IFS(S114&lt;4000,"Low",S114&lt;8000,"Medium",S114&gt;=8000,"High")</f>
        <v>High</v>
      </c>
      <c r="AL114" t="str" cm="1">
        <f t="array" ref="AL114">_xlfn.IFS(AF114&lt;3,"new",AF114&lt;=7,"Experienced",AF114&gt;7,"High")</f>
        <v>Experienced</v>
      </c>
      <c r="AM114" s="1"/>
    </row>
    <row r="115" spans="1:39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  <c r="AJ115" t="str">
        <f t="shared" si="1"/>
        <v>Low</v>
      </c>
      <c r="AK115" t="str" cm="1">
        <f t="array" ref="AK115">_xlfn.IFS(S115&lt;4000,"Low",S115&lt;8000,"Medium",S115&gt;=8000,"High")</f>
        <v>Low</v>
      </c>
      <c r="AL115" t="str" cm="1">
        <f t="array" ref="AL115">_xlfn.IFS(AF115&lt;3,"new",AF115&lt;=7,"Experienced",AF115&gt;7,"High")</f>
        <v>Experienced</v>
      </c>
      <c r="AM115" s="1"/>
    </row>
    <row r="116" spans="1:39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  <c r="AJ116" t="str">
        <f t="shared" si="1"/>
        <v>Low</v>
      </c>
      <c r="AK116" t="str" cm="1">
        <f t="array" ref="AK116">_xlfn.IFS(S116&lt;4000,"Low",S116&lt;8000,"Medium",S116&gt;=8000,"High")</f>
        <v>Medium</v>
      </c>
      <c r="AL116" t="str" cm="1">
        <f t="array" ref="AL116">_xlfn.IFS(AF116&lt;3,"new",AF116&lt;=7,"Experienced",AF116&gt;7,"High")</f>
        <v>new</v>
      </c>
      <c r="AM116" s="1"/>
    </row>
    <row r="117" spans="1:39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  <c r="AJ117" t="str">
        <f t="shared" si="1"/>
        <v>High</v>
      </c>
      <c r="AK117" t="str" cm="1">
        <f t="array" ref="AK117">_xlfn.IFS(S117&lt;4000,"Low",S117&lt;8000,"Medium",S117&gt;=8000,"High")</f>
        <v>Medium</v>
      </c>
      <c r="AL117" t="str" cm="1">
        <f t="array" ref="AL117">_xlfn.IFS(AF117&lt;3,"new",AF117&lt;=7,"Experienced",AF117&gt;7,"High")</f>
        <v>Experienced</v>
      </c>
      <c r="AM117" s="1"/>
    </row>
    <row r="118" spans="1:39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  <c r="AJ118" t="str">
        <f t="shared" si="1"/>
        <v>High</v>
      </c>
      <c r="AK118" t="str" cm="1">
        <f t="array" ref="AK118">_xlfn.IFS(S118&lt;4000,"Low",S118&lt;8000,"Medium",S118&gt;=8000,"High")</f>
        <v>High</v>
      </c>
      <c r="AL118" t="str" cm="1">
        <f t="array" ref="AL118">_xlfn.IFS(AF118&lt;3,"new",AF118&lt;=7,"Experienced",AF118&gt;7,"High")</f>
        <v>High</v>
      </c>
      <c r="AM118" s="1"/>
    </row>
    <row r="119" spans="1:39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  <c r="AJ119" t="str">
        <f t="shared" si="1"/>
        <v>High</v>
      </c>
      <c r="AK119" t="str" cm="1">
        <f t="array" ref="AK119">_xlfn.IFS(S119&lt;4000,"Low",S119&lt;8000,"Medium",S119&gt;=8000,"High")</f>
        <v>High</v>
      </c>
      <c r="AL119" t="str" cm="1">
        <f t="array" ref="AL119">_xlfn.IFS(AF119&lt;3,"new",AF119&lt;=7,"Experienced",AF119&gt;7,"High")</f>
        <v>High</v>
      </c>
      <c r="AM119" s="1"/>
    </row>
    <row r="120" spans="1:39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  <c r="AJ120" t="str">
        <f t="shared" si="1"/>
        <v>Low</v>
      </c>
      <c r="AK120" t="str" cm="1">
        <f t="array" ref="AK120">_xlfn.IFS(S120&lt;4000,"Low",S120&lt;8000,"Medium",S120&gt;=8000,"High")</f>
        <v>Low</v>
      </c>
      <c r="AL120" t="str" cm="1">
        <f t="array" ref="AL120">_xlfn.IFS(AF120&lt;3,"new",AF120&lt;=7,"Experienced",AF120&gt;7,"High")</f>
        <v>new</v>
      </c>
      <c r="AM120" s="1"/>
    </row>
    <row r="121" spans="1:39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  <c r="AJ121" t="str">
        <f t="shared" si="1"/>
        <v>High</v>
      </c>
      <c r="AK121" t="str" cm="1">
        <f t="array" ref="AK121">_xlfn.IFS(S121&lt;4000,"Low",S121&lt;8000,"Medium",S121&gt;=8000,"High")</f>
        <v>High</v>
      </c>
      <c r="AL121" t="str" cm="1">
        <f t="array" ref="AL121">_xlfn.IFS(AF121&lt;3,"new",AF121&lt;=7,"Experienced",AF121&gt;7,"High")</f>
        <v>High</v>
      </c>
      <c r="AM121" s="1"/>
    </row>
    <row r="122" spans="1:39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  <c r="AJ122" t="str">
        <f t="shared" si="1"/>
        <v>Low</v>
      </c>
      <c r="AK122" t="str" cm="1">
        <f t="array" ref="AK122">_xlfn.IFS(S122&lt;4000,"Low",S122&lt;8000,"Medium",S122&gt;=8000,"High")</f>
        <v>Low</v>
      </c>
      <c r="AL122" t="str" cm="1">
        <f t="array" ref="AL122">_xlfn.IFS(AF122&lt;3,"new",AF122&lt;=7,"Experienced",AF122&gt;7,"High")</f>
        <v>High</v>
      </c>
      <c r="AM122" s="1"/>
    </row>
    <row r="123" spans="1:39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  <c r="AJ123" t="str">
        <f t="shared" si="1"/>
        <v>Low</v>
      </c>
      <c r="AK123" t="str" cm="1">
        <f t="array" ref="AK123">_xlfn.IFS(S123&lt;4000,"Low",S123&lt;8000,"Medium",S123&gt;=8000,"High")</f>
        <v>Medium</v>
      </c>
      <c r="AL123" t="str" cm="1">
        <f t="array" ref="AL123">_xlfn.IFS(AF123&lt;3,"new",AF123&lt;=7,"Experienced",AF123&gt;7,"High")</f>
        <v>Experienced</v>
      </c>
      <c r="AM123" s="1"/>
    </row>
    <row r="124" spans="1:39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  <c r="AJ124" t="str">
        <f t="shared" si="1"/>
        <v>Low</v>
      </c>
      <c r="AK124" t="str" cm="1">
        <f t="array" ref="AK124">_xlfn.IFS(S124&lt;4000,"Low",S124&lt;8000,"Medium",S124&gt;=8000,"High")</f>
        <v>Medium</v>
      </c>
      <c r="AL124" t="str" cm="1">
        <f t="array" ref="AL124">_xlfn.IFS(AF124&lt;3,"new",AF124&lt;=7,"Experienced",AF124&gt;7,"High")</f>
        <v>Experienced</v>
      </c>
      <c r="AM124" s="1"/>
    </row>
    <row r="125" spans="1:39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  <c r="AJ125" t="str">
        <f t="shared" si="1"/>
        <v>High</v>
      </c>
      <c r="AK125" t="str" cm="1">
        <f t="array" ref="AK125">_xlfn.IFS(S125&lt;4000,"Low",S125&lt;8000,"Medium",S125&gt;=8000,"High")</f>
        <v>High</v>
      </c>
      <c r="AL125" t="str" cm="1">
        <f t="array" ref="AL125">_xlfn.IFS(AF125&lt;3,"new",AF125&lt;=7,"Experienced",AF125&gt;7,"High")</f>
        <v>High</v>
      </c>
      <c r="AM125" s="1"/>
    </row>
    <row r="126" spans="1:39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  <c r="AJ126" t="str">
        <f t="shared" si="1"/>
        <v>Low</v>
      </c>
      <c r="AK126" t="str" cm="1">
        <f t="array" ref="AK126">_xlfn.IFS(S126&lt;4000,"Low",S126&lt;8000,"Medium",S126&gt;=8000,"High")</f>
        <v>Medium</v>
      </c>
      <c r="AL126" t="str" cm="1">
        <f t="array" ref="AL126">_xlfn.IFS(AF126&lt;3,"new",AF126&lt;=7,"Experienced",AF126&gt;7,"High")</f>
        <v>Experienced</v>
      </c>
      <c r="AM126" s="1"/>
    </row>
    <row r="127" spans="1:39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  <c r="AJ127" t="str">
        <f t="shared" si="1"/>
        <v>Low</v>
      </c>
      <c r="AK127" t="str" cm="1">
        <f t="array" ref="AK127">_xlfn.IFS(S127&lt;4000,"Low",S127&lt;8000,"Medium",S127&gt;=8000,"High")</f>
        <v>Low</v>
      </c>
      <c r="AL127" t="str" cm="1">
        <f t="array" ref="AL127">_xlfn.IFS(AF127&lt;3,"new",AF127&lt;=7,"Experienced",AF127&gt;7,"High")</f>
        <v>Experienced</v>
      </c>
      <c r="AM127" s="1"/>
    </row>
    <row r="128" spans="1:39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  <c r="AJ128" t="str">
        <f t="shared" si="1"/>
        <v>High</v>
      </c>
      <c r="AK128" t="str" cm="1">
        <f t="array" ref="AK128">_xlfn.IFS(S128&lt;4000,"Low",S128&lt;8000,"Medium",S128&gt;=8000,"High")</f>
        <v>High</v>
      </c>
      <c r="AL128" t="str" cm="1">
        <f t="array" ref="AL128">_xlfn.IFS(AF128&lt;3,"new",AF128&lt;=7,"Experienced",AF128&gt;7,"High")</f>
        <v>High</v>
      </c>
      <c r="AM128" s="1"/>
    </row>
    <row r="129" spans="1:39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  <c r="AJ129" t="str">
        <f t="shared" si="1"/>
        <v>Low</v>
      </c>
      <c r="AK129" t="str" cm="1">
        <f t="array" ref="AK129">_xlfn.IFS(S129&lt;4000,"Low",S129&lt;8000,"Medium",S129&gt;=8000,"High")</f>
        <v>Low</v>
      </c>
      <c r="AL129" t="str" cm="1">
        <f t="array" ref="AL129">_xlfn.IFS(AF129&lt;3,"new",AF129&lt;=7,"Experienced",AF129&gt;7,"High")</f>
        <v>new</v>
      </c>
      <c r="AM129" s="1"/>
    </row>
    <row r="130" spans="1:39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  <c r="AJ130" t="str">
        <f t="shared" ref="AJ130:AJ193" si="2">IF(S130&gt;=6500,"High","Low")</f>
        <v>Low</v>
      </c>
      <c r="AK130" t="str" cm="1">
        <f t="array" ref="AK130">_xlfn.IFS(S130&lt;4000,"Low",S130&lt;8000,"Medium",S130&gt;=8000,"High")</f>
        <v>Low</v>
      </c>
      <c r="AL130" t="str" cm="1">
        <f t="array" ref="AL130">_xlfn.IFS(AF130&lt;3,"new",AF130&lt;=7,"Experienced",AF130&gt;7,"High")</f>
        <v>new</v>
      </c>
      <c r="AM130" s="1"/>
    </row>
    <row r="131" spans="1:39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  <c r="AJ131" t="str">
        <f t="shared" si="2"/>
        <v>High</v>
      </c>
      <c r="AK131" t="str" cm="1">
        <f t="array" ref="AK131">_xlfn.IFS(S131&lt;4000,"Low",S131&lt;8000,"Medium",S131&gt;=8000,"High")</f>
        <v>Medium</v>
      </c>
      <c r="AL131" t="str" cm="1">
        <f t="array" ref="AL131">_xlfn.IFS(AF131&lt;3,"new",AF131&lt;=7,"Experienced",AF131&gt;7,"High")</f>
        <v>High</v>
      </c>
      <c r="AM131" s="1"/>
    </row>
    <row r="132" spans="1:39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  <c r="AJ132" t="str">
        <f t="shared" si="2"/>
        <v>Low</v>
      </c>
      <c r="AK132" t="str" cm="1">
        <f t="array" ref="AK132">_xlfn.IFS(S132&lt;4000,"Low",S132&lt;8000,"Medium",S132&gt;=8000,"High")</f>
        <v>Medium</v>
      </c>
      <c r="AL132" t="str" cm="1">
        <f t="array" ref="AL132">_xlfn.IFS(AF132&lt;3,"new",AF132&lt;=7,"Experienced",AF132&gt;7,"High")</f>
        <v>Experienced</v>
      </c>
      <c r="AM132" s="1"/>
    </row>
    <row r="133" spans="1:39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  <c r="AJ133" t="str">
        <f t="shared" si="2"/>
        <v>High</v>
      </c>
      <c r="AK133" t="str" cm="1">
        <f t="array" ref="AK133">_xlfn.IFS(S133&lt;4000,"Low",S133&lt;8000,"Medium",S133&gt;=8000,"High")</f>
        <v>High</v>
      </c>
      <c r="AL133" t="str" cm="1">
        <f t="array" ref="AL133">_xlfn.IFS(AF133&lt;3,"new",AF133&lt;=7,"Experienced",AF133&gt;7,"High")</f>
        <v>new</v>
      </c>
      <c r="AM133" s="1"/>
    </row>
    <row r="134" spans="1:39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  <c r="AJ134" t="str">
        <f t="shared" si="2"/>
        <v>Low</v>
      </c>
      <c r="AK134" t="str" cm="1">
        <f t="array" ref="AK134">_xlfn.IFS(S134&lt;4000,"Low",S134&lt;8000,"Medium",S134&gt;=8000,"High")</f>
        <v>Medium</v>
      </c>
      <c r="AL134" t="str" cm="1">
        <f t="array" ref="AL134">_xlfn.IFS(AF134&lt;3,"new",AF134&lt;=7,"Experienced",AF134&gt;7,"High")</f>
        <v>new</v>
      </c>
      <c r="AM134" s="1"/>
    </row>
    <row r="135" spans="1:39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  <c r="AJ135" t="str">
        <f t="shared" si="2"/>
        <v>High</v>
      </c>
      <c r="AK135" t="str" cm="1">
        <f t="array" ref="AK135">_xlfn.IFS(S135&lt;4000,"Low",S135&lt;8000,"Medium",S135&gt;=8000,"High")</f>
        <v>High</v>
      </c>
      <c r="AL135" t="str" cm="1">
        <f t="array" ref="AL135">_xlfn.IFS(AF135&lt;3,"new",AF135&lt;=7,"Experienced",AF135&gt;7,"High")</f>
        <v>High</v>
      </c>
      <c r="AM135" s="1"/>
    </row>
    <row r="136" spans="1:39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  <c r="AJ136" t="str">
        <f t="shared" si="2"/>
        <v>Low</v>
      </c>
      <c r="AK136" t="str" cm="1">
        <f t="array" ref="AK136">_xlfn.IFS(S136&lt;4000,"Low",S136&lt;8000,"Medium",S136&gt;=8000,"High")</f>
        <v>Low</v>
      </c>
      <c r="AL136" t="str" cm="1">
        <f t="array" ref="AL136">_xlfn.IFS(AF136&lt;3,"new",AF136&lt;=7,"Experienced",AF136&gt;7,"High")</f>
        <v>High</v>
      </c>
      <c r="AM136" s="1"/>
    </row>
    <row r="137" spans="1:39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  <c r="AJ137" t="str">
        <f t="shared" si="2"/>
        <v>Low</v>
      </c>
      <c r="AK137" t="str" cm="1">
        <f t="array" ref="AK137">_xlfn.IFS(S137&lt;4000,"Low",S137&lt;8000,"Medium",S137&gt;=8000,"High")</f>
        <v>Medium</v>
      </c>
      <c r="AL137" t="str" cm="1">
        <f t="array" ref="AL137">_xlfn.IFS(AF137&lt;3,"new",AF137&lt;=7,"Experienced",AF137&gt;7,"High")</f>
        <v>Experienced</v>
      </c>
      <c r="AM137" s="1"/>
    </row>
    <row r="138" spans="1:39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  <c r="AJ138" t="str">
        <f t="shared" si="2"/>
        <v>High</v>
      </c>
      <c r="AK138" t="str" cm="1">
        <f t="array" ref="AK138">_xlfn.IFS(S138&lt;4000,"Low",S138&lt;8000,"Medium",S138&gt;=8000,"High")</f>
        <v>High</v>
      </c>
      <c r="AL138" t="str" cm="1">
        <f t="array" ref="AL138">_xlfn.IFS(AF138&lt;3,"new",AF138&lt;=7,"Experienced",AF138&gt;7,"High")</f>
        <v>Experienced</v>
      </c>
      <c r="AM138" s="1"/>
    </row>
    <row r="139" spans="1:39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  <c r="AJ139" t="str">
        <f t="shared" si="2"/>
        <v>Low</v>
      </c>
      <c r="AK139" t="str" cm="1">
        <f t="array" ref="AK139">_xlfn.IFS(S139&lt;4000,"Low",S139&lt;8000,"Medium",S139&gt;=8000,"High")</f>
        <v>Medium</v>
      </c>
      <c r="AL139" t="str" cm="1">
        <f t="array" ref="AL139">_xlfn.IFS(AF139&lt;3,"new",AF139&lt;=7,"Experienced",AF139&gt;7,"High")</f>
        <v>High</v>
      </c>
      <c r="AM139" s="1"/>
    </row>
    <row r="140" spans="1:39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  <c r="AJ140" t="str">
        <f t="shared" si="2"/>
        <v>High</v>
      </c>
      <c r="AK140" t="str" cm="1">
        <f t="array" ref="AK140">_xlfn.IFS(S140&lt;4000,"Low",S140&lt;8000,"Medium",S140&gt;=8000,"High")</f>
        <v>High</v>
      </c>
      <c r="AL140" t="str" cm="1">
        <f t="array" ref="AL140">_xlfn.IFS(AF140&lt;3,"new",AF140&lt;=7,"Experienced",AF140&gt;7,"High")</f>
        <v>new</v>
      </c>
      <c r="AM140" s="1"/>
    </row>
    <row r="141" spans="1:39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  <c r="AJ141" t="str">
        <f t="shared" si="2"/>
        <v>Low</v>
      </c>
      <c r="AK141" t="str" cm="1">
        <f t="array" ref="AK141">_xlfn.IFS(S141&lt;4000,"Low",S141&lt;8000,"Medium",S141&gt;=8000,"High")</f>
        <v>Medium</v>
      </c>
      <c r="AL141" t="str" cm="1">
        <f t="array" ref="AL141">_xlfn.IFS(AF141&lt;3,"new",AF141&lt;=7,"Experienced",AF141&gt;7,"High")</f>
        <v>High</v>
      </c>
      <c r="AM141" s="1"/>
    </row>
    <row r="142" spans="1:39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  <c r="AJ142" t="str">
        <f t="shared" si="2"/>
        <v>Low</v>
      </c>
      <c r="AK142" t="str" cm="1">
        <f t="array" ref="AK142">_xlfn.IFS(S142&lt;4000,"Low",S142&lt;8000,"Medium",S142&gt;=8000,"High")</f>
        <v>Medium</v>
      </c>
      <c r="AL142" t="str" cm="1">
        <f t="array" ref="AL142">_xlfn.IFS(AF142&lt;3,"new",AF142&lt;=7,"Experienced",AF142&gt;7,"High")</f>
        <v>Experienced</v>
      </c>
      <c r="AM142" s="1"/>
    </row>
    <row r="143" spans="1:39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  <c r="AJ143" t="str">
        <f t="shared" si="2"/>
        <v>Low</v>
      </c>
      <c r="AK143" t="str" cm="1">
        <f t="array" ref="AK143">_xlfn.IFS(S143&lt;4000,"Low",S143&lt;8000,"Medium",S143&gt;=8000,"High")</f>
        <v>Low</v>
      </c>
      <c r="AL143" t="str" cm="1">
        <f t="array" ref="AL143">_xlfn.IFS(AF143&lt;3,"new",AF143&lt;=7,"Experienced",AF143&gt;7,"High")</f>
        <v>Experienced</v>
      </c>
      <c r="AM143" s="1"/>
    </row>
    <row r="144" spans="1:39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  <c r="AJ144" t="str">
        <f t="shared" si="2"/>
        <v>Low</v>
      </c>
      <c r="AK144" t="str" cm="1">
        <f t="array" ref="AK144">_xlfn.IFS(S144&lt;4000,"Low",S144&lt;8000,"Medium",S144&gt;=8000,"High")</f>
        <v>Medium</v>
      </c>
      <c r="AL144" t="str" cm="1">
        <f t="array" ref="AL144">_xlfn.IFS(AF144&lt;3,"new",AF144&lt;=7,"Experienced",AF144&gt;7,"High")</f>
        <v>Experienced</v>
      </c>
      <c r="AM144" s="1"/>
    </row>
    <row r="145" spans="1:39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  <c r="AJ145" t="str">
        <f t="shared" si="2"/>
        <v>Low</v>
      </c>
      <c r="AK145" t="str" cm="1">
        <f t="array" ref="AK145">_xlfn.IFS(S145&lt;4000,"Low",S145&lt;8000,"Medium",S145&gt;=8000,"High")</f>
        <v>Low</v>
      </c>
      <c r="AL145" t="str" cm="1">
        <f t="array" ref="AL145">_xlfn.IFS(AF145&lt;3,"new",AF145&lt;=7,"Experienced",AF145&gt;7,"High")</f>
        <v>Experienced</v>
      </c>
      <c r="AM145" s="1"/>
    </row>
    <row r="146" spans="1:39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  <c r="AJ146" t="str">
        <f t="shared" si="2"/>
        <v>Low</v>
      </c>
      <c r="AK146" t="str" cm="1">
        <f t="array" ref="AK146">_xlfn.IFS(S146&lt;4000,"Low",S146&lt;8000,"Medium",S146&gt;=8000,"High")</f>
        <v>Medium</v>
      </c>
      <c r="AL146" t="str" cm="1">
        <f t="array" ref="AL146">_xlfn.IFS(AF146&lt;3,"new",AF146&lt;=7,"Experienced",AF146&gt;7,"High")</f>
        <v>High</v>
      </c>
      <c r="AM146" s="1"/>
    </row>
    <row r="147" spans="1:39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  <c r="AJ147" t="str">
        <f t="shared" si="2"/>
        <v>Low</v>
      </c>
      <c r="AK147" t="str" cm="1">
        <f t="array" ref="AK147">_xlfn.IFS(S147&lt;4000,"Low",S147&lt;8000,"Medium",S147&gt;=8000,"High")</f>
        <v>Low</v>
      </c>
      <c r="AL147" t="str" cm="1">
        <f t="array" ref="AL147">_xlfn.IFS(AF147&lt;3,"new",AF147&lt;=7,"Experienced",AF147&gt;7,"High")</f>
        <v>Experienced</v>
      </c>
      <c r="AM147" s="1"/>
    </row>
    <row r="148" spans="1:39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  <c r="AJ148" t="str">
        <f t="shared" si="2"/>
        <v>Low</v>
      </c>
      <c r="AK148" t="str" cm="1">
        <f t="array" ref="AK148">_xlfn.IFS(S148&lt;4000,"Low",S148&lt;8000,"Medium",S148&gt;=8000,"High")</f>
        <v>Low</v>
      </c>
      <c r="AL148" t="str" cm="1">
        <f t="array" ref="AL148">_xlfn.IFS(AF148&lt;3,"new",AF148&lt;=7,"Experienced",AF148&gt;7,"High")</f>
        <v>Experienced</v>
      </c>
      <c r="AM148" s="1"/>
    </row>
    <row r="149" spans="1:39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  <c r="AJ149" t="str">
        <f t="shared" si="2"/>
        <v>High</v>
      </c>
      <c r="AK149" t="str" cm="1">
        <f t="array" ref="AK149">_xlfn.IFS(S149&lt;4000,"Low",S149&lt;8000,"Medium",S149&gt;=8000,"High")</f>
        <v>High</v>
      </c>
      <c r="AL149" t="str" cm="1">
        <f t="array" ref="AL149">_xlfn.IFS(AF149&lt;3,"new",AF149&lt;=7,"Experienced",AF149&gt;7,"High")</f>
        <v>Experienced</v>
      </c>
      <c r="AM149" s="1"/>
    </row>
    <row r="150" spans="1:39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  <c r="AJ150" t="str">
        <f t="shared" si="2"/>
        <v>Low</v>
      </c>
      <c r="AK150" t="str" cm="1">
        <f t="array" ref="AK150">_xlfn.IFS(S150&lt;4000,"Low",S150&lt;8000,"Medium",S150&gt;=8000,"High")</f>
        <v>Low</v>
      </c>
      <c r="AL150" t="str" cm="1">
        <f t="array" ref="AL150">_xlfn.IFS(AF150&lt;3,"new",AF150&lt;=7,"Experienced",AF150&gt;7,"High")</f>
        <v>Experienced</v>
      </c>
      <c r="AM150" s="1"/>
    </row>
    <row r="151" spans="1:39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  <c r="AJ151" t="str">
        <f t="shared" si="2"/>
        <v>Low</v>
      </c>
      <c r="AK151" t="str" cm="1">
        <f t="array" ref="AK151">_xlfn.IFS(S151&lt;4000,"Low",S151&lt;8000,"Medium",S151&gt;=8000,"High")</f>
        <v>Low</v>
      </c>
      <c r="AL151" t="str" cm="1">
        <f t="array" ref="AL151">_xlfn.IFS(AF151&lt;3,"new",AF151&lt;=7,"Experienced",AF151&gt;7,"High")</f>
        <v>new</v>
      </c>
      <c r="AM151" s="1"/>
    </row>
    <row r="152" spans="1:39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  <c r="AJ152" t="str">
        <f t="shared" si="2"/>
        <v>Low</v>
      </c>
      <c r="AK152" t="str" cm="1">
        <f t="array" ref="AK152">_xlfn.IFS(S152&lt;4000,"Low",S152&lt;8000,"Medium",S152&gt;=8000,"High")</f>
        <v>Medium</v>
      </c>
      <c r="AL152" t="str" cm="1">
        <f t="array" ref="AL152">_xlfn.IFS(AF152&lt;3,"new",AF152&lt;=7,"Experienced",AF152&gt;7,"High")</f>
        <v>High</v>
      </c>
      <c r="AM152" s="1"/>
    </row>
    <row r="153" spans="1:39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  <c r="AJ153" t="str">
        <f t="shared" si="2"/>
        <v>High</v>
      </c>
      <c r="AK153" t="str" cm="1">
        <f t="array" ref="AK153">_xlfn.IFS(S153&lt;4000,"Low",S153&lt;8000,"Medium",S153&gt;=8000,"High")</f>
        <v>Medium</v>
      </c>
      <c r="AL153" t="str" cm="1">
        <f t="array" ref="AL153">_xlfn.IFS(AF153&lt;3,"new",AF153&lt;=7,"Experienced",AF153&gt;7,"High")</f>
        <v>High</v>
      </c>
      <c r="AM153" s="1"/>
    </row>
    <row r="154" spans="1:39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  <c r="AJ154" t="str">
        <f t="shared" si="2"/>
        <v>Low</v>
      </c>
      <c r="AK154" t="str" cm="1">
        <f t="array" ref="AK154">_xlfn.IFS(S154&lt;4000,"Low",S154&lt;8000,"Medium",S154&gt;=8000,"High")</f>
        <v>Low</v>
      </c>
      <c r="AL154" t="str" cm="1">
        <f t="array" ref="AL154">_xlfn.IFS(AF154&lt;3,"new",AF154&lt;=7,"Experienced",AF154&gt;7,"High")</f>
        <v>Experienced</v>
      </c>
      <c r="AM154" s="1"/>
    </row>
    <row r="155" spans="1:39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  <c r="AJ155" t="str">
        <f t="shared" si="2"/>
        <v>Low</v>
      </c>
      <c r="AK155" t="str" cm="1">
        <f t="array" ref="AK155">_xlfn.IFS(S155&lt;4000,"Low",S155&lt;8000,"Medium",S155&gt;=8000,"High")</f>
        <v>Low</v>
      </c>
      <c r="AL155" t="str" cm="1">
        <f t="array" ref="AL155">_xlfn.IFS(AF155&lt;3,"new",AF155&lt;=7,"Experienced",AF155&gt;7,"High")</f>
        <v>High</v>
      </c>
      <c r="AM155" s="1"/>
    </row>
    <row r="156" spans="1:39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  <c r="AJ156" t="str">
        <f t="shared" si="2"/>
        <v>High</v>
      </c>
      <c r="AK156" t="str" cm="1">
        <f t="array" ref="AK156">_xlfn.IFS(S156&lt;4000,"Low",S156&lt;8000,"Medium",S156&gt;=8000,"High")</f>
        <v>High</v>
      </c>
      <c r="AL156" t="str" cm="1">
        <f t="array" ref="AL156">_xlfn.IFS(AF156&lt;3,"new",AF156&lt;=7,"Experienced",AF156&gt;7,"High")</f>
        <v>High</v>
      </c>
      <c r="AM156" s="1"/>
    </row>
    <row r="157" spans="1:39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  <c r="AJ157" t="str">
        <f t="shared" si="2"/>
        <v>Low</v>
      </c>
      <c r="AK157" t="str" cm="1">
        <f t="array" ref="AK157">_xlfn.IFS(S157&lt;4000,"Low",S157&lt;8000,"Medium",S157&gt;=8000,"High")</f>
        <v>Medium</v>
      </c>
      <c r="AL157" t="str" cm="1">
        <f t="array" ref="AL157">_xlfn.IFS(AF157&lt;3,"new",AF157&lt;=7,"Experienced",AF157&gt;7,"High")</f>
        <v>High</v>
      </c>
      <c r="AM157" s="1"/>
    </row>
    <row r="158" spans="1:39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  <c r="AJ158" t="str">
        <f t="shared" si="2"/>
        <v>Low</v>
      </c>
      <c r="AK158" t="str" cm="1">
        <f t="array" ref="AK158">_xlfn.IFS(S158&lt;4000,"Low",S158&lt;8000,"Medium",S158&gt;=8000,"High")</f>
        <v>Medium</v>
      </c>
      <c r="AL158" t="str" cm="1">
        <f t="array" ref="AL158">_xlfn.IFS(AF158&lt;3,"new",AF158&lt;=7,"Experienced",AF158&gt;7,"High")</f>
        <v>new</v>
      </c>
      <c r="AM158" s="1"/>
    </row>
    <row r="159" spans="1:39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  <c r="AJ159" t="str">
        <f t="shared" si="2"/>
        <v>Low</v>
      </c>
      <c r="AK159" t="str" cm="1">
        <f t="array" ref="AK159">_xlfn.IFS(S159&lt;4000,"Low",S159&lt;8000,"Medium",S159&gt;=8000,"High")</f>
        <v>Low</v>
      </c>
      <c r="AL159" t="str" cm="1">
        <f t="array" ref="AL159">_xlfn.IFS(AF159&lt;3,"new",AF159&lt;=7,"Experienced",AF159&gt;7,"High")</f>
        <v>new</v>
      </c>
      <c r="AM159" s="1"/>
    </row>
    <row r="160" spans="1:39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  <c r="AJ160" t="str">
        <f t="shared" si="2"/>
        <v>High</v>
      </c>
      <c r="AK160" t="str" cm="1">
        <f t="array" ref="AK160">_xlfn.IFS(S160&lt;4000,"Low",S160&lt;8000,"Medium",S160&gt;=8000,"High")</f>
        <v>High</v>
      </c>
      <c r="AL160" t="str" cm="1">
        <f t="array" ref="AL160">_xlfn.IFS(AF160&lt;3,"new",AF160&lt;=7,"Experienced",AF160&gt;7,"High")</f>
        <v>High</v>
      </c>
      <c r="AM160" s="1"/>
    </row>
    <row r="161" spans="1:39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  <c r="AJ161" t="str">
        <f t="shared" si="2"/>
        <v>Low</v>
      </c>
      <c r="AK161" t="str" cm="1">
        <f t="array" ref="AK161">_xlfn.IFS(S161&lt;4000,"Low",S161&lt;8000,"Medium",S161&gt;=8000,"High")</f>
        <v>Low</v>
      </c>
      <c r="AL161" t="str" cm="1">
        <f t="array" ref="AL161">_xlfn.IFS(AF161&lt;3,"new",AF161&lt;=7,"Experienced",AF161&gt;7,"High")</f>
        <v>Experienced</v>
      </c>
      <c r="AM161" s="1"/>
    </row>
    <row r="162" spans="1:39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  <c r="AJ162" t="str">
        <f t="shared" si="2"/>
        <v>Low</v>
      </c>
      <c r="AK162" t="str" cm="1">
        <f t="array" ref="AK162">_xlfn.IFS(S162&lt;4000,"Low",S162&lt;8000,"Medium",S162&gt;=8000,"High")</f>
        <v>Low</v>
      </c>
      <c r="AL162" t="str" cm="1">
        <f t="array" ref="AL162">_xlfn.IFS(AF162&lt;3,"new",AF162&lt;=7,"Experienced",AF162&gt;7,"High")</f>
        <v>new</v>
      </c>
      <c r="AM162" s="1"/>
    </row>
    <row r="163" spans="1:39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  <c r="AJ163" t="str">
        <f t="shared" si="2"/>
        <v>Low</v>
      </c>
      <c r="AK163" t="str" cm="1">
        <f t="array" ref="AK163">_xlfn.IFS(S163&lt;4000,"Low",S163&lt;8000,"Medium",S163&gt;=8000,"High")</f>
        <v>Low</v>
      </c>
      <c r="AL163" t="str" cm="1">
        <f t="array" ref="AL163">_xlfn.IFS(AF163&lt;3,"new",AF163&lt;=7,"Experienced",AF163&gt;7,"High")</f>
        <v>new</v>
      </c>
      <c r="AM163" s="1"/>
    </row>
    <row r="164" spans="1:39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  <c r="AJ164" t="str">
        <f t="shared" si="2"/>
        <v>Low</v>
      </c>
      <c r="AK164" t="str" cm="1">
        <f t="array" ref="AK164">_xlfn.IFS(S164&lt;4000,"Low",S164&lt;8000,"Medium",S164&gt;=8000,"High")</f>
        <v>Low</v>
      </c>
      <c r="AL164" t="str" cm="1">
        <f t="array" ref="AL164">_xlfn.IFS(AF164&lt;3,"new",AF164&lt;=7,"Experienced",AF164&gt;7,"High")</f>
        <v>Experienced</v>
      </c>
      <c r="AM164" s="1"/>
    </row>
    <row r="165" spans="1:39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  <c r="AJ165" t="str">
        <f t="shared" si="2"/>
        <v>High</v>
      </c>
      <c r="AK165" t="str" cm="1">
        <f t="array" ref="AK165">_xlfn.IFS(S165&lt;4000,"Low",S165&lt;8000,"Medium",S165&gt;=8000,"High")</f>
        <v>High</v>
      </c>
      <c r="AL165" t="str" cm="1">
        <f t="array" ref="AL165">_xlfn.IFS(AF165&lt;3,"new",AF165&lt;=7,"Experienced",AF165&gt;7,"High")</f>
        <v>Experienced</v>
      </c>
      <c r="AM165" s="1"/>
    </row>
    <row r="166" spans="1:39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  <c r="AJ166" t="str">
        <f t="shared" si="2"/>
        <v>Low</v>
      </c>
      <c r="AK166" t="str" cm="1">
        <f t="array" ref="AK166">_xlfn.IFS(S166&lt;4000,"Low",S166&lt;8000,"Medium",S166&gt;=8000,"High")</f>
        <v>Low</v>
      </c>
      <c r="AL166" t="str" cm="1">
        <f t="array" ref="AL166">_xlfn.IFS(AF166&lt;3,"new",AF166&lt;=7,"Experienced",AF166&gt;7,"High")</f>
        <v>new</v>
      </c>
      <c r="AM166" s="1"/>
    </row>
    <row r="167" spans="1:39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  <c r="AJ167" t="str">
        <f t="shared" si="2"/>
        <v>High</v>
      </c>
      <c r="AK167" t="str" cm="1">
        <f t="array" ref="AK167">_xlfn.IFS(S167&lt;4000,"Low",S167&lt;8000,"Medium",S167&gt;=8000,"High")</f>
        <v>High</v>
      </c>
      <c r="AL167" t="str" cm="1">
        <f t="array" ref="AL167">_xlfn.IFS(AF167&lt;3,"new",AF167&lt;=7,"Experienced",AF167&gt;7,"High")</f>
        <v>Experienced</v>
      </c>
      <c r="AM167" s="1"/>
    </row>
    <row r="168" spans="1:39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  <c r="AJ168" t="str">
        <f t="shared" si="2"/>
        <v>Low</v>
      </c>
      <c r="AK168" t="str" cm="1">
        <f t="array" ref="AK168">_xlfn.IFS(S168&lt;4000,"Low",S168&lt;8000,"Medium",S168&gt;=8000,"High")</f>
        <v>Low</v>
      </c>
      <c r="AL168" t="str" cm="1">
        <f t="array" ref="AL168">_xlfn.IFS(AF168&lt;3,"new",AF168&lt;=7,"Experienced",AF168&gt;7,"High")</f>
        <v>High</v>
      </c>
      <c r="AM168" s="1"/>
    </row>
    <row r="169" spans="1:39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  <c r="AJ169" t="str">
        <f t="shared" si="2"/>
        <v>High</v>
      </c>
      <c r="AK169" t="str" cm="1">
        <f t="array" ref="AK169">_xlfn.IFS(S169&lt;4000,"Low",S169&lt;8000,"Medium",S169&gt;=8000,"High")</f>
        <v>High</v>
      </c>
      <c r="AL169" t="str" cm="1">
        <f t="array" ref="AL169">_xlfn.IFS(AF169&lt;3,"new",AF169&lt;=7,"Experienced",AF169&gt;7,"High")</f>
        <v>High</v>
      </c>
      <c r="AM169" s="1"/>
    </row>
    <row r="170" spans="1:39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  <c r="AJ170" t="str">
        <f t="shared" si="2"/>
        <v>High</v>
      </c>
      <c r="AK170" t="str" cm="1">
        <f t="array" ref="AK170">_xlfn.IFS(S170&lt;4000,"Low",S170&lt;8000,"Medium",S170&gt;=8000,"High")</f>
        <v>High</v>
      </c>
      <c r="AL170" t="str" cm="1">
        <f t="array" ref="AL170">_xlfn.IFS(AF170&lt;3,"new",AF170&lt;=7,"Experienced",AF170&gt;7,"High")</f>
        <v>High</v>
      </c>
      <c r="AM170" s="1"/>
    </row>
    <row r="171" spans="1:39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  <c r="AJ171" t="str">
        <f t="shared" si="2"/>
        <v>Low</v>
      </c>
      <c r="AK171" t="str" cm="1">
        <f t="array" ref="AK171">_xlfn.IFS(S171&lt;4000,"Low",S171&lt;8000,"Medium",S171&gt;=8000,"High")</f>
        <v>Low</v>
      </c>
      <c r="AL171" t="str" cm="1">
        <f t="array" ref="AL171">_xlfn.IFS(AF171&lt;3,"new",AF171&lt;=7,"Experienced",AF171&gt;7,"High")</f>
        <v>Experienced</v>
      </c>
      <c r="AM171" s="1"/>
    </row>
    <row r="172" spans="1:39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  <c r="AJ172" t="str">
        <f t="shared" si="2"/>
        <v>Low</v>
      </c>
      <c r="AK172" t="str" cm="1">
        <f t="array" ref="AK172">_xlfn.IFS(S172&lt;4000,"Low",S172&lt;8000,"Medium",S172&gt;=8000,"High")</f>
        <v>Low</v>
      </c>
      <c r="AL172" t="str" cm="1">
        <f t="array" ref="AL172">_xlfn.IFS(AF172&lt;3,"new",AF172&lt;=7,"Experienced",AF172&gt;7,"High")</f>
        <v>Experienced</v>
      </c>
      <c r="AM172" s="1"/>
    </row>
    <row r="173" spans="1:39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  <c r="AJ173" t="str">
        <f t="shared" si="2"/>
        <v>Low</v>
      </c>
      <c r="AK173" t="str" cm="1">
        <f t="array" ref="AK173">_xlfn.IFS(S173&lt;4000,"Low",S173&lt;8000,"Medium",S173&gt;=8000,"High")</f>
        <v>Low</v>
      </c>
      <c r="AL173" t="str" cm="1">
        <f t="array" ref="AL173">_xlfn.IFS(AF173&lt;3,"new",AF173&lt;=7,"Experienced",AF173&gt;7,"High")</f>
        <v>new</v>
      </c>
      <c r="AM173" s="1"/>
    </row>
    <row r="174" spans="1:39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  <c r="AJ174" t="str">
        <f t="shared" si="2"/>
        <v>Low</v>
      </c>
      <c r="AK174" t="str" cm="1">
        <f t="array" ref="AK174">_xlfn.IFS(S174&lt;4000,"Low",S174&lt;8000,"Medium",S174&gt;=8000,"High")</f>
        <v>Low</v>
      </c>
      <c r="AL174" t="str" cm="1">
        <f t="array" ref="AL174">_xlfn.IFS(AF174&lt;3,"new",AF174&lt;=7,"Experienced",AF174&gt;7,"High")</f>
        <v>High</v>
      </c>
      <c r="AM174" s="1"/>
    </row>
    <row r="175" spans="1:39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  <c r="AJ175" t="str">
        <f t="shared" si="2"/>
        <v>Low</v>
      </c>
      <c r="AK175" t="str" cm="1">
        <f t="array" ref="AK175">_xlfn.IFS(S175&lt;4000,"Low",S175&lt;8000,"Medium",S175&gt;=8000,"High")</f>
        <v>Low</v>
      </c>
      <c r="AL175" t="str" cm="1">
        <f t="array" ref="AL175">_xlfn.IFS(AF175&lt;3,"new",AF175&lt;=7,"Experienced",AF175&gt;7,"High")</f>
        <v>High</v>
      </c>
      <c r="AM175" s="1"/>
    </row>
    <row r="176" spans="1:39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  <c r="AJ176" t="str">
        <f t="shared" si="2"/>
        <v>Low</v>
      </c>
      <c r="AK176" t="str" cm="1">
        <f t="array" ref="AK176">_xlfn.IFS(S176&lt;4000,"Low",S176&lt;8000,"Medium",S176&gt;=8000,"High")</f>
        <v>Medium</v>
      </c>
      <c r="AL176" t="str" cm="1">
        <f t="array" ref="AL176">_xlfn.IFS(AF176&lt;3,"new",AF176&lt;=7,"Experienced",AF176&gt;7,"High")</f>
        <v>Experienced</v>
      </c>
      <c r="AM176" s="1"/>
    </row>
    <row r="177" spans="1:39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  <c r="AJ177" t="str">
        <f t="shared" si="2"/>
        <v>Low</v>
      </c>
      <c r="AK177" t="str" cm="1">
        <f t="array" ref="AK177">_xlfn.IFS(S177&lt;4000,"Low",S177&lt;8000,"Medium",S177&gt;=8000,"High")</f>
        <v>Medium</v>
      </c>
      <c r="AL177" t="str" cm="1">
        <f t="array" ref="AL177">_xlfn.IFS(AF177&lt;3,"new",AF177&lt;=7,"Experienced",AF177&gt;7,"High")</f>
        <v>new</v>
      </c>
      <c r="AM177" s="1"/>
    </row>
    <row r="178" spans="1:39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  <c r="AJ178" t="str">
        <f t="shared" si="2"/>
        <v>Low</v>
      </c>
      <c r="AK178" t="str" cm="1">
        <f t="array" ref="AK178">_xlfn.IFS(S178&lt;4000,"Low",S178&lt;8000,"Medium",S178&gt;=8000,"High")</f>
        <v>Low</v>
      </c>
      <c r="AL178" t="str" cm="1">
        <f t="array" ref="AL178">_xlfn.IFS(AF178&lt;3,"new",AF178&lt;=7,"Experienced",AF178&gt;7,"High")</f>
        <v>Experienced</v>
      </c>
      <c r="AM178" s="1"/>
    </row>
    <row r="179" spans="1:39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  <c r="AJ179" t="str">
        <f t="shared" si="2"/>
        <v>Low</v>
      </c>
      <c r="AK179" t="str" cm="1">
        <f t="array" ref="AK179">_xlfn.IFS(S179&lt;4000,"Low",S179&lt;8000,"Medium",S179&gt;=8000,"High")</f>
        <v>Low</v>
      </c>
      <c r="AL179" t="str" cm="1">
        <f t="array" ref="AL179">_xlfn.IFS(AF179&lt;3,"new",AF179&lt;=7,"Experienced",AF179&gt;7,"High")</f>
        <v>new</v>
      </c>
      <c r="AM179" s="1"/>
    </row>
    <row r="180" spans="1:39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  <c r="AJ180" t="str">
        <f t="shared" si="2"/>
        <v>High</v>
      </c>
      <c r="AK180" t="str" cm="1">
        <f t="array" ref="AK180">_xlfn.IFS(S180&lt;4000,"Low",S180&lt;8000,"Medium",S180&gt;=8000,"High")</f>
        <v>High</v>
      </c>
      <c r="AL180" t="str" cm="1">
        <f t="array" ref="AL180">_xlfn.IFS(AF180&lt;3,"new",AF180&lt;=7,"Experienced",AF180&gt;7,"High")</f>
        <v>High</v>
      </c>
      <c r="AM180" s="1"/>
    </row>
    <row r="181" spans="1:39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  <c r="AJ181" t="str">
        <f t="shared" si="2"/>
        <v>Low</v>
      </c>
      <c r="AK181" t="str" cm="1">
        <f t="array" ref="AK181">_xlfn.IFS(S181&lt;4000,"Low",S181&lt;8000,"Medium",S181&gt;=8000,"High")</f>
        <v>Low</v>
      </c>
      <c r="AL181" t="str" cm="1">
        <f t="array" ref="AL181">_xlfn.IFS(AF181&lt;3,"new",AF181&lt;=7,"Experienced",AF181&gt;7,"High")</f>
        <v>new</v>
      </c>
      <c r="AM181" s="1"/>
    </row>
    <row r="182" spans="1:39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  <c r="AJ182" t="str">
        <f t="shared" si="2"/>
        <v>Low</v>
      </c>
      <c r="AK182" t="str" cm="1">
        <f t="array" ref="AK182">_xlfn.IFS(S182&lt;4000,"Low",S182&lt;8000,"Medium",S182&gt;=8000,"High")</f>
        <v>Low</v>
      </c>
      <c r="AL182" t="str" cm="1">
        <f t="array" ref="AL182">_xlfn.IFS(AF182&lt;3,"new",AF182&lt;=7,"Experienced",AF182&gt;7,"High")</f>
        <v>Experienced</v>
      </c>
      <c r="AM182" s="1"/>
    </row>
    <row r="183" spans="1:39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  <c r="AJ183" t="str">
        <f t="shared" si="2"/>
        <v>Low</v>
      </c>
      <c r="AK183" t="str" cm="1">
        <f t="array" ref="AK183">_xlfn.IFS(S183&lt;4000,"Low",S183&lt;8000,"Medium",S183&gt;=8000,"High")</f>
        <v>Low</v>
      </c>
      <c r="AL183" t="str" cm="1">
        <f t="array" ref="AL183">_xlfn.IFS(AF183&lt;3,"new",AF183&lt;=7,"Experienced",AF183&gt;7,"High")</f>
        <v>Experienced</v>
      </c>
      <c r="AM183" s="1"/>
    </row>
    <row r="184" spans="1:39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  <c r="AJ184" t="str">
        <f t="shared" si="2"/>
        <v>Low</v>
      </c>
      <c r="AK184" t="str" cm="1">
        <f t="array" ref="AK184">_xlfn.IFS(S184&lt;4000,"Low",S184&lt;8000,"Medium",S184&gt;=8000,"High")</f>
        <v>Low</v>
      </c>
      <c r="AL184" t="str" cm="1">
        <f t="array" ref="AL184">_xlfn.IFS(AF184&lt;3,"new",AF184&lt;=7,"Experienced",AF184&gt;7,"High")</f>
        <v>Experienced</v>
      </c>
      <c r="AM184" s="1"/>
    </row>
    <row r="185" spans="1:39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  <c r="AJ185" t="str">
        <f t="shared" si="2"/>
        <v>Low</v>
      </c>
      <c r="AK185" t="str" cm="1">
        <f t="array" ref="AK185">_xlfn.IFS(S185&lt;4000,"Low",S185&lt;8000,"Medium",S185&gt;=8000,"High")</f>
        <v>Low</v>
      </c>
      <c r="AL185" t="str" cm="1">
        <f t="array" ref="AL185">_xlfn.IFS(AF185&lt;3,"new",AF185&lt;=7,"Experienced",AF185&gt;7,"High")</f>
        <v>Experienced</v>
      </c>
      <c r="AM185" s="1"/>
    </row>
    <row r="186" spans="1:39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  <c r="AJ186" t="str">
        <f t="shared" si="2"/>
        <v>Low</v>
      </c>
      <c r="AK186" t="str" cm="1">
        <f t="array" ref="AK186">_xlfn.IFS(S186&lt;4000,"Low",S186&lt;8000,"Medium",S186&gt;=8000,"High")</f>
        <v>Medium</v>
      </c>
      <c r="AL186" t="str" cm="1">
        <f t="array" ref="AL186">_xlfn.IFS(AF186&lt;3,"new",AF186&lt;=7,"Experienced",AF186&gt;7,"High")</f>
        <v>Experienced</v>
      </c>
      <c r="AM186" s="1"/>
    </row>
    <row r="187" spans="1:39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  <c r="AJ187" t="str">
        <f t="shared" si="2"/>
        <v>Low</v>
      </c>
      <c r="AK187" t="str" cm="1">
        <f t="array" ref="AK187">_xlfn.IFS(S187&lt;4000,"Low",S187&lt;8000,"Medium",S187&gt;=8000,"High")</f>
        <v>Low</v>
      </c>
      <c r="AL187" t="str" cm="1">
        <f t="array" ref="AL187">_xlfn.IFS(AF187&lt;3,"new",AF187&lt;=7,"Experienced",AF187&gt;7,"High")</f>
        <v>High</v>
      </c>
      <c r="AM187" s="1"/>
    </row>
    <row r="188" spans="1:39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  <c r="AJ188" t="str">
        <f t="shared" si="2"/>
        <v>High</v>
      </c>
      <c r="AK188" t="str" cm="1">
        <f t="array" ref="AK188">_xlfn.IFS(S188&lt;4000,"Low",S188&lt;8000,"Medium",S188&gt;=8000,"High")</f>
        <v>High</v>
      </c>
      <c r="AL188" t="str" cm="1">
        <f t="array" ref="AL188">_xlfn.IFS(AF188&lt;3,"new",AF188&lt;=7,"Experienced",AF188&gt;7,"High")</f>
        <v>High</v>
      </c>
      <c r="AM188" s="1"/>
    </row>
    <row r="189" spans="1:39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  <c r="AJ189" t="str">
        <f t="shared" si="2"/>
        <v>High</v>
      </c>
      <c r="AK189" t="str" cm="1">
        <f t="array" ref="AK189">_xlfn.IFS(S189&lt;4000,"Low",S189&lt;8000,"Medium",S189&gt;=8000,"High")</f>
        <v>High</v>
      </c>
      <c r="AL189" t="str" cm="1">
        <f t="array" ref="AL189">_xlfn.IFS(AF189&lt;3,"new",AF189&lt;=7,"Experienced",AF189&gt;7,"High")</f>
        <v>High</v>
      </c>
      <c r="AM189" s="1"/>
    </row>
    <row r="190" spans="1:39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  <c r="AJ190" t="str">
        <f t="shared" si="2"/>
        <v>High</v>
      </c>
      <c r="AK190" t="str" cm="1">
        <f t="array" ref="AK190">_xlfn.IFS(S190&lt;4000,"Low",S190&lt;8000,"Medium",S190&gt;=8000,"High")</f>
        <v>High</v>
      </c>
      <c r="AL190" t="str" cm="1">
        <f t="array" ref="AL190">_xlfn.IFS(AF190&lt;3,"new",AF190&lt;=7,"Experienced",AF190&gt;7,"High")</f>
        <v>High</v>
      </c>
      <c r="AM190" s="1"/>
    </row>
    <row r="191" spans="1:39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  <c r="AJ191" t="str">
        <f t="shared" si="2"/>
        <v>High</v>
      </c>
      <c r="AK191" t="str" cm="1">
        <f t="array" ref="AK191">_xlfn.IFS(S191&lt;4000,"Low",S191&lt;8000,"Medium",S191&gt;=8000,"High")</f>
        <v>High</v>
      </c>
      <c r="AL191" t="str" cm="1">
        <f t="array" ref="AL191">_xlfn.IFS(AF191&lt;3,"new",AF191&lt;=7,"Experienced",AF191&gt;7,"High")</f>
        <v>Experienced</v>
      </c>
      <c r="AM191" s="1"/>
    </row>
    <row r="192" spans="1:39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  <c r="AJ192" t="str">
        <f t="shared" si="2"/>
        <v>High</v>
      </c>
      <c r="AK192" t="str" cm="1">
        <f t="array" ref="AK192">_xlfn.IFS(S192&lt;4000,"Low",S192&lt;8000,"Medium",S192&gt;=8000,"High")</f>
        <v>High</v>
      </c>
      <c r="AL192" t="str" cm="1">
        <f t="array" ref="AL192">_xlfn.IFS(AF192&lt;3,"new",AF192&lt;=7,"Experienced",AF192&gt;7,"High")</f>
        <v>High</v>
      </c>
      <c r="AM192" s="1"/>
    </row>
    <row r="193" spans="1:39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  <c r="AJ193" t="str">
        <f t="shared" si="2"/>
        <v>Low</v>
      </c>
      <c r="AK193" t="str" cm="1">
        <f t="array" ref="AK193">_xlfn.IFS(S193&lt;4000,"Low",S193&lt;8000,"Medium",S193&gt;=8000,"High")</f>
        <v>Low</v>
      </c>
      <c r="AL193" t="str" cm="1">
        <f t="array" ref="AL193">_xlfn.IFS(AF193&lt;3,"new",AF193&lt;=7,"Experienced",AF193&gt;7,"High")</f>
        <v>Experienced</v>
      </c>
      <c r="AM193" s="1"/>
    </row>
    <row r="194" spans="1:39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  <c r="AJ194" t="str">
        <f t="shared" ref="AJ194:AJ257" si="3">IF(S194&gt;=6500,"High","Low")</f>
        <v>Low</v>
      </c>
      <c r="AK194" t="str" cm="1">
        <f t="array" ref="AK194">_xlfn.IFS(S194&lt;4000,"Low",S194&lt;8000,"Medium",S194&gt;=8000,"High")</f>
        <v>Medium</v>
      </c>
      <c r="AL194" t="str" cm="1">
        <f t="array" ref="AL194">_xlfn.IFS(AF194&lt;3,"new",AF194&lt;=7,"Experienced",AF194&gt;7,"High")</f>
        <v>new</v>
      </c>
      <c r="AM194" s="1"/>
    </row>
    <row r="195" spans="1:39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  <c r="AJ195" t="str">
        <f t="shared" si="3"/>
        <v>Low</v>
      </c>
      <c r="AK195" t="str" cm="1">
        <f t="array" ref="AK195">_xlfn.IFS(S195&lt;4000,"Low",S195&lt;8000,"Medium",S195&gt;=8000,"High")</f>
        <v>Low</v>
      </c>
      <c r="AL195" t="str" cm="1">
        <f t="array" ref="AL195">_xlfn.IFS(AF195&lt;3,"new",AF195&lt;=7,"Experienced",AF195&gt;7,"High")</f>
        <v>Experienced</v>
      </c>
      <c r="AM195" s="1"/>
    </row>
    <row r="196" spans="1:39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  <c r="AJ196" t="str">
        <f t="shared" si="3"/>
        <v>High</v>
      </c>
      <c r="AK196" t="str" cm="1">
        <f t="array" ref="AK196">_xlfn.IFS(S196&lt;4000,"Low",S196&lt;8000,"Medium",S196&gt;=8000,"High")</f>
        <v>High</v>
      </c>
      <c r="AL196" t="str" cm="1">
        <f t="array" ref="AL196">_xlfn.IFS(AF196&lt;3,"new",AF196&lt;=7,"Experienced",AF196&gt;7,"High")</f>
        <v>High</v>
      </c>
      <c r="AM196" s="1"/>
    </row>
    <row r="197" spans="1:39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  <c r="AJ197" t="str">
        <f t="shared" si="3"/>
        <v>Low</v>
      </c>
      <c r="AK197" t="str" cm="1">
        <f t="array" ref="AK197">_xlfn.IFS(S197&lt;4000,"Low",S197&lt;8000,"Medium",S197&gt;=8000,"High")</f>
        <v>Low</v>
      </c>
      <c r="AL197" t="str" cm="1">
        <f t="array" ref="AL197">_xlfn.IFS(AF197&lt;3,"new",AF197&lt;=7,"Experienced",AF197&gt;7,"High")</f>
        <v>High</v>
      </c>
      <c r="AM197" s="1"/>
    </row>
    <row r="198" spans="1:39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  <c r="AJ198" t="str">
        <f t="shared" si="3"/>
        <v>Low</v>
      </c>
      <c r="AK198" t="str" cm="1">
        <f t="array" ref="AK198">_xlfn.IFS(S198&lt;4000,"Low",S198&lt;8000,"Medium",S198&gt;=8000,"High")</f>
        <v>Medium</v>
      </c>
      <c r="AL198" t="str" cm="1">
        <f t="array" ref="AL198">_xlfn.IFS(AF198&lt;3,"new",AF198&lt;=7,"Experienced",AF198&gt;7,"High")</f>
        <v>Experienced</v>
      </c>
      <c r="AM198" s="1"/>
    </row>
    <row r="199" spans="1:39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  <c r="AJ199" t="str">
        <f t="shared" si="3"/>
        <v>Low</v>
      </c>
      <c r="AK199" t="str" cm="1">
        <f t="array" ref="AK199">_xlfn.IFS(S199&lt;4000,"Low",S199&lt;8000,"Medium",S199&gt;=8000,"High")</f>
        <v>Medium</v>
      </c>
      <c r="AL199" t="str" cm="1">
        <f t="array" ref="AL199">_xlfn.IFS(AF199&lt;3,"new",AF199&lt;=7,"Experienced",AF199&gt;7,"High")</f>
        <v>Experienced</v>
      </c>
      <c r="AM199" s="1"/>
    </row>
    <row r="200" spans="1:39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  <c r="AJ200" t="str">
        <f t="shared" si="3"/>
        <v>High</v>
      </c>
      <c r="AK200" t="str" cm="1">
        <f t="array" ref="AK200">_xlfn.IFS(S200&lt;4000,"Low",S200&lt;8000,"Medium",S200&gt;=8000,"High")</f>
        <v>Medium</v>
      </c>
      <c r="AL200" t="str" cm="1">
        <f t="array" ref="AL200">_xlfn.IFS(AF200&lt;3,"new",AF200&lt;=7,"Experienced",AF200&gt;7,"High")</f>
        <v>new</v>
      </c>
      <c r="AM200" s="1"/>
    </row>
    <row r="201" spans="1:39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  <c r="AJ201" t="str">
        <f t="shared" si="3"/>
        <v>Low</v>
      </c>
      <c r="AK201" t="str" cm="1">
        <f t="array" ref="AK201">_xlfn.IFS(S201&lt;4000,"Low",S201&lt;8000,"Medium",S201&gt;=8000,"High")</f>
        <v>Medium</v>
      </c>
      <c r="AL201" t="str" cm="1">
        <f t="array" ref="AL201">_xlfn.IFS(AF201&lt;3,"new",AF201&lt;=7,"Experienced",AF201&gt;7,"High")</f>
        <v>Experienced</v>
      </c>
      <c r="AM201" s="1"/>
    </row>
    <row r="202" spans="1:39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  <c r="AJ202" t="str">
        <f t="shared" si="3"/>
        <v>Low</v>
      </c>
      <c r="AK202" t="str" cm="1">
        <f t="array" ref="AK202">_xlfn.IFS(S202&lt;4000,"Low",S202&lt;8000,"Medium",S202&gt;=8000,"High")</f>
        <v>Medium</v>
      </c>
      <c r="AL202" t="str" cm="1">
        <f t="array" ref="AL202">_xlfn.IFS(AF202&lt;3,"new",AF202&lt;=7,"Experienced",AF202&gt;7,"High")</f>
        <v>new</v>
      </c>
      <c r="AM202" s="1"/>
    </row>
    <row r="203" spans="1:39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  <c r="AJ203" t="str">
        <f t="shared" si="3"/>
        <v>High</v>
      </c>
      <c r="AK203" t="str" cm="1">
        <f t="array" ref="AK203">_xlfn.IFS(S203&lt;4000,"Low",S203&lt;8000,"Medium",S203&gt;=8000,"High")</f>
        <v>Medium</v>
      </c>
      <c r="AL203" t="str" cm="1">
        <f t="array" ref="AL203">_xlfn.IFS(AF203&lt;3,"new",AF203&lt;=7,"Experienced",AF203&gt;7,"High")</f>
        <v>Experienced</v>
      </c>
      <c r="AM203" s="1"/>
    </row>
    <row r="204" spans="1:39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  <c r="AJ204" t="str">
        <f t="shared" si="3"/>
        <v>Low</v>
      </c>
      <c r="AK204" t="str" cm="1">
        <f t="array" ref="AK204">_xlfn.IFS(S204&lt;4000,"Low",S204&lt;8000,"Medium",S204&gt;=8000,"High")</f>
        <v>Low</v>
      </c>
      <c r="AL204" t="str" cm="1">
        <f t="array" ref="AL204">_xlfn.IFS(AF204&lt;3,"new",AF204&lt;=7,"Experienced",AF204&gt;7,"High")</f>
        <v>Experienced</v>
      </c>
      <c r="AM204" s="1"/>
    </row>
    <row r="205" spans="1:39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  <c r="AJ205" t="str">
        <f t="shared" si="3"/>
        <v>Low</v>
      </c>
      <c r="AK205" t="str" cm="1">
        <f t="array" ref="AK205">_xlfn.IFS(S205&lt;4000,"Low",S205&lt;8000,"Medium",S205&gt;=8000,"High")</f>
        <v>Low</v>
      </c>
      <c r="AL205" t="str" cm="1">
        <f t="array" ref="AL205">_xlfn.IFS(AF205&lt;3,"new",AF205&lt;=7,"Experienced",AF205&gt;7,"High")</f>
        <v>Experienced</v>
      </c>
      <c r="AM205" s="1"/>
    </row>
    <row r="206" spans="1:39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  <c r="AJ206" t="str">
        <f t="shared" si="3"/>
        <v>High</v>
      </c>
      <c r="AK206" t="str" cm="1">
        <f t="array" ref="AK206">_xlfn.IFS(S206&lt;4000,"Low",S206&lt;8000,"Medium",S206&gt;=8000,"High")</f>
        <v>Medium</v>
      </c>
      <c r="AL206" t="str" cm="1">
        <f t="array" ref="AL206">_xlfn.IFS(AF206&lt;3,"new",AF206&lt;=7,"Experienced",AF206&gt;7,"High")</f>
        <v>new</v>
      </c>
      <c r="AM206" s="1"/>
    </row>
    <row r="207" spans="1:39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  <c r="AJ207" t="str">
        <f t="shared" si="3"/>
        <v>High</v>
      </c>
      <c r="AK207" t="str" cm="1">
        <f t="array" ref="AK207">_xlfn.IFS(S207&lt;4000,"Low",S207&lt;8000,"Medium",S207&gt;=8000,"High")</f>
        <v>Medium</v>
      </c>
      <c r="AL207" t="str" cm="1">
        <f t="array" ref="AL207">_xlfn.IFS(AF207&lt;3,"new",AF207&lt;=7,"Experienced",AF207&gt;7,"High")</f>
        <v>High</v>
      </c>
      <c r="AM207" s="1"/>
    </row>
    <row r="208" spans="1:39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  <c r="AJ208" t="str">
        <f t="shared" si="3"/>
        <v>Low</v>
      </c>
      <c r="AK208" t="str" cm="1">
        <f t="array" ref="AK208">_xlfn.IFS(S208&lt;4000,"Low",S208&lt;8000,"Medium",S208&gt;=8000,"High")</f>
        <v>Low</v>
      </c>
      <c r="AL208" t="str" cm="1">
        <f t="array" ref="AL208">_xlfn.IFS(AF208&lt;3,"new",AF208&lt;=7,"Experienced",AF208&gt;7,"High")</f>
        <v>Experienced</v>
      </c>
      <c r="AM208" s="1"/>
    </row>
    <row r="209" spans="1:39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  <c r="AJ209" t="str">
        <f t="shared" si="3"/>
        <v>Low</v>
      </c>
      <c r="AK209" t="str" cm="1">
        <f t="array" ref="AK209">_xlfn.IFS(S209&lt;4000,"Low",S209&lt;8000,"Medium",S209&gt;=8000,"High")</f>
        <v>Low</v>
      </c>
      <c r="AL209" t="str" cm="1">
        <f t="array" ref="AL209">_xlfn.IFS(AF209&lt;3,"new",AF209&lt;=7,"Experienced",AF209&gt;7,"High")</f>
        <v>High</v>
      </c>
      <c r="AM209" s="1"/>
    </row>
    <row r="210" spans="1:39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  <c r="AJ210" t="str">
        <f t="shared" si="3"/>
        <v>Low</v>
      </c>
      <c r="AK210" t="str" cm="1">
        <f t="array" ref="AK210">_xlfn.IFS(S210&lt;4000,"Low",S210&lt;8000,"Medium",S210&gt;=8000,"High")</f>
        <v>Medium</v>
      </c>
      <c r="AL210" t="str" cm="1">
        <f t="array" ref="AL210">_xlfn.IFS(AF210&lt;3,"new",AF210&lt;=7,"Experienced",AF210&gt;7,"High")</f>
        <v>Experienced</v>
      </c>
      <c r="AM210" s="1"/>
    </row>
    <row r="211" spans="1:39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  <c r="AJ211" t="str">
        <f t="shared" si="3"/>
        <v>High</v>
      </c>
      <c r="AK211" t="str" cm="1">
        <f t="array" ref="AK211">_xlfn.IFS(S211&lt;4000,"Low",S211&lt;8000,"Medium",S211&gt;=8000,"High")</f>
        <v>High</v>
      </c>
      <c r="AL211" t="str" cm="1">
        <f t="array" ref="AL211">_xlfn.IFS(AF211&lt;3,"new",AF211&lt;=7,"Experienced",AF211&gt;7,"High")</f>
        <v>Experienced</v>
      </c>
      <c r="AM211" s="1"/>
    </row>
    <row r="212" spans="1:39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  <c r="AJ212" t="str">
        <f t="shared" si="3"/>
        <v>High</v>
      </c>
      <c r="AK212" t="str" cm="1">
        <f t="array" ref="AK212">_xlfn.IFS(S212&lt;4000,"Low",S212&lt;8000,"Medium",S212&gt;=8000,"High")</f>
        <v>High</v>
      </c>
      <c r="AL212" t="str" cm="1">
        <f t="array" ref="AL212">_xlfn.IFS(AF212&lt;3,"new",AF212&lt;=7,"Experienced",AF212&gt;7,"High")</f>
        <v>High</v>
      </c>
      <c r="AM212" s="1"/>
    </row>
    <row r="213" spans="1:39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  <c r="AJ213" t="str">
        <f t="shared" si="3"/>
        <v>High</v>
      </c>
      <c r="AK213" t="str" cm="1">
        <f t="array" ref="AK213">_xlfn.IFS(S213&lt;4000,"Low",S213&lt;8000,"Medium",S213&gt;=8000,"High")</f>
        <v>High</v>
      </c>
      <c r="AL213" t="str" cm="1">
        <f t="array" ref="AL213">_xlfn.IFS(AF213&lt;3,"new",AF213&lt;=7,"Experienced",AF213&gt;7,"High")</f>
        <v>High</v>
      </c>
      <c r="AM213" s="1"/>
    </row>
    <row r="214" spans="1:39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  <c r="AJ214" t="str">
        <f t="shared" si="3"/>
        <v>High</v>
      </c>
      <c r="AK214" t="str" cm="1">
        <f t="array" ref="AK214">_xlfn.IFS(S214&lt;4000,"Low",S214&lt;8000,"Medium",S214&gt;=8000,"High")</f>
        <v>High</v>
      </c>
      <c r="AL214" t="str" cm="1">
        <f t="array" ref="AL214">_xlfn.IFS(AF214&lt;3,"new",AF214&lt;=7,"Experienced",AF214&gt;7,"High")</f>
        <v>Experienced</v>
      </c>
      <c r="AM214" s="1"/>
    </row>
    <row r="215" spans="1:39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  <c r="AJ215" t="str">
        <f t="shared" si="3"/>
        <v>High</v>
      </c>
      <c r="AK215" t="str" cm="1">
        <f t="array" ref="AK215">_xlfn.IFS(S215&lt;4000,"Low",S215&lt;8000,"Medium",S215&gt;=8000,"High")</f>
        <v>High</v>
      </c>
      <c r="AL215" t="str" cm="1">
        <f t="array" ref="AL215">_xlfn.IFS(AF215&lt;3,"new",AF215&lt;=7,"Experienced",AF215&gt;7,"High")</f>
        <v>High</v>
      </c>
      <c r="AM215" s="1"/>
    </row>
    <row r="216" spans="1:39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  <c r="AJ216" t="str">
        <f t="shared" si="3"/>
        <v>Low</v>
      </c>
      <c r="AK216" t="str" cm="1">
        <f t="array" ref="AK216">_xlfn.IFS(S216&lt;4000,"Low",S216&lt;8000,"Medium",S216&gt;=8000,"High")</f>
        <v>Low</v>
      </c>
      <c r="AL216" t="str" cm="1">
        <f t="array" ref="AL216">_xlfn.IFS(AF216&lt;3,"new",AF216&lt;=7,"Experienced",AF216&gt;7,"High")</f>
        <v>Experienced</v>
      </c>
      <c r="AM216" s="1"/>
    </row>
    <row r="217" spans="1:39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  <c r="AJ217" t="str">
        <f t="shared" si="3"/>
        <v>High</v>
      </c>
      <c r="AK217" t="str" cm="1">
        <f t="array" ref="AK217">_xlfn.IFS(S217&lt;4000,"Low",S217&lt;8000,"Medium",S217&gt;=8000,"High")</f>
        <v>High</v>
      </c>
      <c r="AL217" t="str" cm="1">
        <f t="array" ref="AL217">_xlfn.IFS(AF217&lt;3,"new",AF217&lt;=7,"Experienced",AF217&gt;7,"High")</f>
        <v>new</v>
      </c>
      <c r="AM217" s="1"/>
    </row>
    <row r="218" spans="1:39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  <c r="AJ218" t="str">
        <f t="shared" si="3"/>
        <v>High</v>
      </c>
      <c r="AK218" t="str" cm="1">
        <f t="array" ref="AK218">_xlfn.IFS(S218&lt;4000,"Low",S218&lt;8000,"Medium",S218&gt;=8000,"High")</f>
        <v>Medium</v>
      </c>
      <c r="AL218" t="str" cm="1">
        <f t="array" ref="AL218">_xlfn.IFS(AF218&lt;3,"new",AF218&lt;=7,"Experienced",AF218&gt;7,"High")</f>
        <v>Experienced</v>
      </c>
      <c r="AM218" s="1"/>
    </row>
    <row r="219" spans="1:39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  <c r="AJ219" t="str">
        <f t="shared" si="3"/>
        <v>Low</v>
      </c>
      <c r="AK219" t="str" cm="1">
        <f t="array" ref="AK219">_xlfn.IFS(S219&lt;4000,"Low",S219&lt;8000,"Medium",S219&gt;=8000,"High")</f>
        <v>Low</v>
      </c>
      <c r="AL219" t="str" cm="1">
        <f t="array" ref="AL219">_xlfn.IFS(AF219&lt;3,"new",AF219&lt;=7,"Experienced",AF219&gt;7,"High")</f>
        <v>Experienced</v>
      </c>
      <c r="AM219" s="1"/>
    </row>
    <row r="220" spans="1:39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  <c r="AJ220" t="str">
        <f t="shared" si="3"/>
        <v>High</v>
      </c>
      <c r="AK220" t="str" cm="1">
        <f t="array" ref="AK220">_xlfn.IFS(S220&lt;4000,"Low",S220&lt;8000,"Medium",S220&gt;=8000,"High")</f>
        <v>High</v>
      </c>
      <c r="AL220" t="str" cm="1">
        <f t="array" ref="AL220">_xlfn.IFS(AF220&lt;3,"new",AF220&lt;=7,"Experienced",AF220&gt;7,"High")</f>
        <v>High</v>
      </c>
      <c r="AM220" s="1"/>
    </row>
    <row r="221" spans="1:39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  <c r="AJ221" t="str">
        <f t="shared" si="3"/>
        <v>Low</v>
      </c>
      <c r="AK221" t="str" cm="1">
        <f t="array" ref="AK221">_xlfn.IFS(S221&lt;4000,"Low",S221&lt;8000,"Medium",S221&gt;=8000,"High")</f>
        <v>Medium</v>
      </c>
      <c r="AL221" t="str" cm="1">
        <f t="array" ref="AL221">_xlfn.IFS(AF221&lt;3,"new",AF221&lt;=7,"Experienced",AF221&gt;7,"High")</f>
        <v>Experienced</v>
      </c>
      <c r="AM221" s="1"/>
    </row>
    <row r="222" spans="1:39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  <c r="AJ222" t="str">
        <f t="shared" si="3"/>
        <v>Low</v>
      </c>
      <c r="AK222" t="str" cm="1">
        <f t="array" ref="AK222">_xlfn.IFS(S222&lt;4000,"Low",S222&lt;8000,"Medium",S222&gt;=8000,"High")</f>
        <v>Medium</v>
      </c>
      <c r="AL222" t="str" cm="1">
        <f t="array" ref="AL222">_xlfn.IFS(AF222&lt;3,"new",AF222&lt;=7,"Experienced",AF222&gt;7,"High")</f>
        <v>High</v>
      </c>
      <c r="AM222" s="1"/>
    </row>
    <row r="223" spans="1:39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  <c r="AJ223" t="str">
        <f t="shared" si="3"/>
        <v>Low</v>
      </c>
      <c r="AK223" t="str" cm="1">
        <f t="array" ref="AK223">_xlfn.IFS(S223&lt;4000,"Low",S223&lt;8000,"Medium",S223&gt;=8000,"High")</f>
        <v>Low</v>
      </c>
      <c r="AL223" t="str" cm="1">
        <f t="array" ref="AL223">_xlfn.IFS(AF223&lt;3,"new",AF223&lt;=7,"Experienced",AF223&gt;7,"High")</f>
        <v>Experienced</v>
      </c>
      <c r="AM223" s="1"/>
    </row>
    <row r="224" spans="1:39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  <c r="AJ224" t="str">
        <f t="shared" si="3"/>
        <v>High</v>
      </c>
      <c r="AK224" t="str" cm="1">
        <f t="array" ref="AK224">_xlfn.IFS(S224&lt;4000,"Low",S224&lt;8000,"Medium",S224&gt;=8000,"High")</f>
        <v>High</v>
      </c>
      <c r="AL224" t="str" cm="1">
        <f t="array" ref="AL224">_xlfn.IFS(AF224&lt;3,"new",AF224&lt;=7,"Experienced",AF224&gt;7,"High")</f>
        <v>High</v>
      </c>
      <c r="AM224" s="1"/>
    </row>
    <row r="225" spans="1:39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  <c r="AJ225" t="str">
        <f t="shared" si="3"/>
        <v>High</v>
      </c>
      <c r="AK225" t="str" cm="1">
        <f t="array" ref="AK225">_xlfn.IFS(S225&lt;4000,"Low",S225&lt;8000,"Medium",S225&gt;=8000,"High")</f>
        <v>High</v>
      </c>
      <c r="AL225" t="str" cm="1">
        <f t="array" ref="AL225">_xlfn.IFS(AF225&lt;3,"new",AF225&lt;=7,"Experienced",AF225&gt;7,"High")</f>
        <v>High</v>
      </c>
      <c r="AM225" s="1"/>
    </row>
    <row r="226" spans="1:39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  <c r="AJ226" t="str">
        <f t="shared" si="3"/>
        <v>Low</v>
      </c>
      <c r="AK226" t="str" cm="1">
        <f t="array" ref="AK226">_xlfn.IFS(S226&lt;4000,"Low",S226&lt;8000,"Medium",S226&gt;=8000,"High")</f>
        <v>Medium</v>
      </c>
      <c r="AL226" t="str" cm="1">
        <f t="array" ref="AL226">_xlfn.IFS(AF226&lt;3,"new",AF226&lt;=7,"Experienced",AF226&gt;7,"High")</f>
        <v>Experienced</v>
      </c>
      <c r="AM226" s="1"/>
    </row>
    <row r="227" spans="1:39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  <c r="AJ227" t="str">
        <f t="shared" si="3"/>
        <v>Low</v>
      </c>
      <c r="AK227" t="str" cm="1">
        <f t="array" ref="AK227">_xlfn.IFS(S227&lt;4000,"Low",S227&lt;8000,"Medium",S227&gt;=8000,"High")</f>
        <v>Low</v>
      </c>
      <c r="AL227" t="str" cm="1">
        <f t="array" ref="AL227">_xlfn.IFS(AF227&lt;3,"new",AF227&lt;=7,"Experienced",AF227&gt;7,"High")</f>
        <v>new</v>
      </c>
      <c r="AM227" s="1"/>
    </row>
    <row r="228" spans="1:39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  <c r="AJ228" t="str">
        <f t="shared" si="3"/>
        <v>Low</v>
      </c>
      <c r="AK228" t="str" cm="1">
        <f t="array" ref="AK228">_xlfn.IFS(S228&lt;4000,"Low",S228&lt;8000,"Medium",S228&gt;=8000,"High")</f>
        <v>Low</v>
      </c>
      <c r="AL228" t="str" cm="1">
        <f t="array" ref="AL228">_xlfn.IFS(AF228&lt;3,"new",AF228&lt;=7,"Experienced",AF228&gt;7,"High")</f>
        <v>High</v>
      </c>
      <c r="AM228" s="1"/>
    </row>
    <row r="229" spans="1:39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  <c r="AJ229" t="str">
        <f t="shared" si="3"/>
        <v>High</v>
      </c>
      <c r="AK229" t="str" cm="1">
        <f t="array" ref="AK229">_xlfn.IFS(S229&lt;4000,"Low",S229&lt;8000,"Medium",S229&gt;=8000,"High")</f>
        <v>Medium</v>
      </c>
      <c r="AL229" t="str" cm="1">
        <f t="array" ref="AL229">_xlfn.IFS(AF229&lt;3,"new",AF229&lt;=7,"Experienced",AF229&gt;7,"High")</f>
        <v>High</v>
      </c>
      <c r="AM229" s="1"/>
    </row>
    <row r="230" spans="1:39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  <c r="AJ230" t="str">
        <f t="shared" si="3"/>
        <v>High</v>
      </c>
      <c r="AK230" t="str" cm="1">
        <f t="array" ref="AK230">_xlfn.IFS(S230&lt;4000,"Low",S230&lt;8000,"Medium",S230&gt;=8000,"High")</f>
        <v>High</v>
      </c>
      <c r="AL230" t="str" cm="1">
        <f t="array" ref="AL230">_xlfn.IFS(AF230&lt;3,"new",AF230&lt;=7,"Experienced",AF230&gt;7,"High")</f>
        <v>High</v>
      </c>
      <c r="AM230" s="1"/>
    </row>
    <row r="231" spans="1:39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  <c r="AJ231" t="str">
        <f t="shared" si="3"/>
        <v>Low</v>
      </c>
      <c r="AK231" t="str" cm="1">
        <f t="array" ref="AK231">_xlfn.IFS(S231&lt;4000,"Low",S231&lt;8000,"Medium",S231&gt;=8000,"High")</f>
        <v>Low</v>
      </c>
      <c r="AL231" t="str" cm="1">
        <f t="array" ref="AL231">_xlfn.IFS(AF231&lt;3,"new",AF231&lt;=7,"Experienced",AF231&gt;7,"High")</f>
        <v>Experienced</v>
      </c>
      <c r="AM231" s="1"/>
    </row>
    <row r="232" spans="1:39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  <c r="AJ232" t="str">
        <f t="shared" si="3"/>
        <v>Low</v>
      </c>
      <c r="AK232" t="str" cm="1">
        <f t="array" ref="AK232">_xlfn.IFS(S232&lt;4000,"Low",S232&lt;8000,"Medium",S232&gt;=8000,"High")</f>
        <v>Low</v>
      </c>
      <c r="AL232" t="str" cm="1">
        <f t="array" ref="AL232">_xlfn.IFS(AF232&lt;3,"new",AF232&lt;=7,"Experienced",AF232&gt;7,"High")</f>
        <v>new</v>
      </c>
      <c r="AM232" s="1"/>
    </row>
    <row r="233" spans="1:39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  <c r="AJ233" t="str">
        <f t="shared" si="3"/>
        <v>High</v>
      </c>
      <c r="AK233" t="str" cm="1">
        <f t="array" ref="AK233">_xlfn.IFS(S233&lt;4000,"Low",S233&lt;8000,"Medium",S233&gt;=8000,"High")</f>
        <v>High</v>
      </c>
      <c r="AL233" t="str" cm="1">
        <f t="array" ref="AL233">_xlfn.IFS(AF233&lt;3,"new",AF233&lt;=7,"Experienced",AF233&gt;7,"High")</f>
        <v>High</v>
      </c>
      <c r="AM233" s="1"/>
    </row>
    <row r="234" spans="1:39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  <c r="AJ234" t="str">
        <f t="shared" si="3"/>
        <v>Low</v>
      </c>
      <c r="AK234" t="str" cm="1">
        <f t="array" ref="AK234">_xlfn.IFS(S234&lt;4000,"Low",S234&lt;8000,"Medium",S234&gt;=8000,"High")</f>
        <v>Low</v>
      </c>
      <c r="AL234" t="str" cm="1">
        <f t="array" ref="AL234">_xlfn.IFS(AF234&lt;3,"new",AF234&lt;=7,"Experienced",AF234&gt;7,"High")</f>
        <v>new</v>
      </c>
      <c r="AM234" s="1"/>
    </row>
    <row r="235" spans="1:39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  <c r="AJ235" t="str">
        <f t="shared" si="3"/>
        <v>High</v>
      </c>
      <c r="AK235" t="str" cm="1">
        <f t="array" ref="AK235">_xlfn.IFS(S235&lt;4000,"Low",S235&lt;8000,"Medium",S235&gt;=8000,"High")</f>
        <v>High</v>
      </c>
      <c r="AL235" t="str" cm="1">
        <f t="array" ref="AL235">_xlfn.IFS(AF235&lt;3,"new",AF235&lt;=7,"Experienced",AF235&gt;7,"High")</f>
        <v>Experienced</v>
      </c>
      <c r="AM235" s="1"/>
    </row>
    <row r="236" spans="1:39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  <c r="AJ236" t="str">
        <f t="shared" si="3"/>
        <v>Low</v>
      </c>
      <c r="AK236" t="str" cm="1">
        <f t="array" ref="AK236">_xlfn.IFS(S236&lt;4000,"Low",S236&lt;8000,"Medium",S236&gt;=8000,"High")</f>
        <v>Low</v>
      </c>
      <c r="AL236" t="str" cm="1">
        <f t="array" ref="AL236">_xlfn.IFS(AF236&lt;3,"new",AF236&lt;=7,"Experienced",AF236&gt;7,"High")</f>
        <v>Experienced</v>
      </c>
      <c r="AM236" s="1"/>
    </row>
    <row r="237" spans="1:39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  <c r="AJ237" t="str">
        <f t="shared" si="3"/>
        <v>High</v>
      </c>
      <c r="AK237" t="str" cm="1">
        <f t="array" ref="AK237">_xlfn.IFS(S237&lt;4000,"Low",S237&lt;8000,"Medium",S237&gt;=8000,"High")</f>
        <v>High</v>
      </c>
      <c r="AL237" t="str" cm="1">
        <f t="array" ref="AL237">_xlfn.IFS(AF237&lt;3,"new",AF237&lt;=7,"Experienced",AF237&gt;7,"High")</f>
        <v>High</v>
      </c>
      <c r="AM237" s="1"/>
    </row>
    <row r="238" spans="1:39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  <c r="AJ238" t="str">
        <f t="shared" si="3"/>
        <v>Low</v>
      </c>
      <c r="AK238" t="str" cm="1">
        <f t="array" ref="AK238">_xlfn.IFS(S238&lt;4000,"Low",S238&lt;8000,"Medium",S238&gt;=8000,"High")</f>
        <v>Low</v>
      </c>
      <c r="AL238" t="str" cm="1">
        <f t="array" ref="AL238">_xlfn.IFS(AF238&lt;3,"new",AF238&lt;=7,"Experienced",AF238&gt;7,"High")</f>
        <v>High</v>
      </c>
      <c r="AM238" s="1"/>
    </row>
    <row r="239" spans="1:39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  <c r="AJ239" t="str">
        <f t="shared" si="3"/>
        <v>High</v>
      </c>
      <c r="AK239" t="str" cm="1">
        <f t="array" ref="AK239">_xlfn.IFS(S239&lt;4000,"Low",S239&lt;8000,"Medium",S239&gt;=8000,"High")</f>
        <v>High</v>
      </c>
      <c r="AL239" t="str" cm="1">
        <f t="array" ref="AL239">_xlfn.IFS(AF239&lt;3,"new",AF239&lt;=7,"Experienced",AF239&gt;7,"High")</f>
        <v>High</v>
      </c>
      <c r="AM239" s="1"/>
    </row>
    <row r="240" spans="1:39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  <c r="AJ240" t="str">
        <f t="shared" si="3"/>
        <v>Low</v>
      </c>
      <c r="AK240" t="str" cm="1">
        <f t="array" ref="AK240">_xlfn.IFS(S240&lt;4000,"Low",S240&lt;8000,"Medium",S240&gt;=8000,"High")</f>
        <v>Low</v>
      </c>
      <c r="AL240" t="str" cm="1">
        <f t="array" ref="AL240">_xlfn.IFS(AF240&lt;3,"new",AF240&lt;=7,"Experienced",AF240&gt;7,"High")</f>
        <v>Experienced</v>
      </c>
      <c r="AM240" s="1"/>
    </row>
    <row r="241" spans="1:39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  <c r="AJ241" t="str">
        <f t="shared" si="3"/>
        <v>Low</v>
      </c>
      <c r="AK241" t="str" cm="1">
        <f t="array" ref="AK241">_xlfn.IFS(S241&lt;4000,"Low",S241&lt;8000,"Medium",S241&gt;=8000,"High")</f>
        <v>Low</v>
      </c>
      <c r="AL241" t="str" cm="1">
        <f t="array" ref="AL241">_xlfn.IFS(AF241&lt;3,"new",AF241&lt;=7,"Experienced",AF241&gt;7,"High")</f>
        <v>Experienced</v>
      </c>
      <c r="AM241" s="1"/>
    </row>
    <row r="242" spans="1:39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  <c r="AJ242" t="str">
        <f t="shared" si="3"/>
        <v>Low</v>
      </c>
      <c r="AK242" t="str" cm="1">
        <f t="array" ref="AK242">_xlfn.IFS(S242&lt;4000,"Low",S242&lt;8000,"Medium",S242&gt;=8000,"High")</f>
        <v>Low</v>
      </c>
      <c r="AL242" t="str" cm="1">
        <f t="array" ref="AL242">_xlfn.IFS(AF242&lt;3,"new",AF242&lt;=7,"Experienced",AF242&gt;7,"High")</f>
        <v>Experienced</v>
      </c>
      <c r="AM242" s="1"/>
    </row>
    <row r="243" spans="1:39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  <c r="AJ243" t="str">
        <f t="shared" si="3"/>
        <v>Low</v>
      </c>
      <c r="AK243" t="str" cm="1">
        <f t="array" ref="AK243">_xlfn.IFS(S243&lt;4000,"Low",S243&lt;8000,"Medium",S243&gt;=8000,"High")</f>
        <v>Medium</v>
      </c>
      <c r="AL243" t="str" cm="1">
        <f t="array" ref="AL243">_xlfn.IFS(AF243&lt;3,"new",AF243&lt;=7,"Experienced",AF243&gt;7,"High")</f>
        <v>Experienced</v>
      </c>
      <c r="AM243" s="1"/>
    </row>
    <row r="244" spans="1:39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  <c r="AJ244" t="str">
        <f t="shared" si="3"/>
        <v>Low</v>
      </c>
      <c r="AK244" t="str" cm="1">
        <f t="array" ref="AK244">_xlfn.IFS(S244&lt;4000,"Low",S244&lt;8000,"Medium",S244&gt;=8000,"High")</f>
        <v>Low</v>
      </c>
      <c r="AL244" t="str" cm="1">
        <f t="array" ref="AL244">_xlfn.IFS(AF244&lt;3,"new",AF244&lt;=7,"Experienced",AF244&gt;7,"High")</f>
        <v>new</v>
      </c>
      <c r="AM244" s="1"/>
    </row>
    <row r="245" spans="1:39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  <c r="AJ245" t="str">
        <f t="shared" si="3"/>
        <v>Low</v>
      </c>
      <c r="AK245" t="str" cm="1">
        <f t="array" ref="AK245">_xlfn.IFS(S245&lt;4000,"Low",S245&lt;8000,"Medium",S245&gt;=8000,"High")</f>
        <v>Low</v>
      </c>
      <c r="AL245" t="str" cm="1">
        <f t="array" ref="AL245">_xlfn.IFS(AF245&lt;3,"new",AF245&lt;=7,"Experienced",AF245&gt;7,"High")</f>
        <v>High</v>
      </c>
      <c r="AM245" s="1"/>
    </row>
    <row r="246" spans="1:39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  <c r="AJ246" t="str">
        <f t="shared" si="3"/>
        <v>High</v>
      </c>
      <c r="AK246" t="str" cm="1">
        <f t="array" ref="AK246">_xlfn.IFS(S246&lt;4000,"Low",S246&lt;8000,"Medium",S246&gt;=8000,"High")</f>
        <v>High</v>
      </c>
      <c r="AL246" t="str" cm="1">
        <f t="array" ref="AL246">_xlfn.IFS(AF246&lt;3,"new",AF246&lt;=7,"Experienced",AF246&gt;7,"High")</f>
        <v>High</v>
      </c>
      <c r="AM246" s="1"/>
    </row>
    <row r="247" spans="1:39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  <c r="AJ247" t="str">
        <f t="shared" si="3"/>
        <v>High</v>
      </c>
      <c r="AK247" t="str" cm="1">
        <f t="array" ref="AK247">_xlfn.IFS(S247&lt;4000,"Low",S247&lt;8000,"Medium",S247&gt;=8000,"High")</f>
        <v>High</v>
      </c>
      <c r="AL247" t="str" cm="1">
        <f t="array" ref="AL247">_xlfn.IFS(AF247&lt;3,"new",AF247&lt;=7,"Experienced",AF247&gt;7,"High")</f>
        <v>new</v>
      </c>
      <c r="AM247" s="1"/>
    </row>
    <row r="248" spans="1:39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  <c r="AJ248" t="str">
        <f t="shared" si="3"/>
        <v>Low</v>
      </c>
      <c r="AK248" t="str" cm="1">
        <f t="array" ref="AK248">_xlfn.IFS(S248&lt;4000,"Low",S248&lt;8000,"Medium",S248&gt;=8000,"High")</f>
        <v>Low</v>
      </c>
      <c r="AL248" t="str" cm="1">
        <f t="array" ref="AL248">_xlfn.IFS(AF248&lt;3,"new",AF248&lt;=7,"Experienced",AF248&gt;7,"High")</f>
        <v>new</v>
      </c>
      <c r="AM248" s="1"/>
    </row>
    <row r="249" spans="1:39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  <c r="AJ249" t="str">
        <f t="shared" si="3"/>
        <v>Low</v>
      </c>
      <c r="AK249" t="str" cm="1">
        <f t="array" ref="AK249">_xlfn.IFS(S249&lt;4000,"Low",S249&lt;8000,"Medium",S249&gt;=8000,"High")</f>
        <v>Medium</v>
      </c>
      <c r="AL249" t="str" cm="1">
        <f t="array" ref="AL249">_xlfn.IFS(AF249&lt;3,"new",AF249&lt;=7,"Experienced",AF249&gt;7,"High")</f>
        <v>High</v>
      </c>
      <c r="AM249" s="1"/>
    </row>
    <row r="250" spans="1:39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  <c r="AJ250" t="str">
        <f t="shared" si="3"/>
        <v>Low</v>
      </c>
      <c r="AK250" t="str" cm="1">
        <f t="array" ref="AK250">_xlfn.IFS(S250&lt;4000,"Low",S250&lt;8000,"Medium",S250&gt;=8000,"High")</f>
        <v>Low</v>
      </c>
      <c r="AL250" t="str" cm="1">
        <f t="array" ref="AL250">_xlfn.IFS(AF250&lt;3,"new",AF250&lt;=7,"Experienced",AF250&gt;7,"High")</f>
        <v>Experienced</v>
      </c>
      <c r="AM250" s="1"/>
    </row>
    <row r="251" spans="1:39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  <c r="AJ251" t="str">
        <f t="shared" si="3"/>
        <v>Low</v>
      </c>
      <c r="AK251" t="str" cm="1">
        <f t="array" ref="AK251">_xlfn.IFS(S251&lt;4000,"Low",S251&lt;8000,"Medium",S251&gt;=8000,"High")</f>
        <v>Medium</v>
      </c>
      <c r="AL251" t="str" cm="1">
        <f t="array" ref="AL251">_xlfn.IFS(AF251&lt;3,"new",AF251&lt;=7,"Experienced",AF251&gt;7,"High")</f>
        <v>Experienced</v>
      </c>
      <c r="AM251" s="1"/>
    </row>
    <row r="252" spans="1:39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  <c r="AJ252" t="str">
        <f t="shared" si="3"/>
        <v>High</v>
      </c>
      <c r="AK252" t="str" cm="1">
        <f t="array" ref="AK252">_xlfn.IFS(S252&lt;4000,"Low",S252&lt;8000,"Medium",S252&gt;=8000,"High")</f>
        <v>High</v>
      </c>
      <c r="AL252" t="str" cm="1">
        <f t="array" ref="AL252">_xlfn.IFS(AF252&lt;3,"new",AF252&lt;=7,"Experienced",AF252&gt;7,"High")</f>
        <v>new</v>
      </c>
      <c r="AM252" s="1"/>
    </row>
    <row r="253" spans="1:39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  <c r="AJ253" t="str">
        <f t="shared" si="3"/>
        <v>High</v>
      </c>
      <c r="AK253" t="str" cm="1">
        <f t="array" ref="AK253">_xlfn.IFS(S253&lt;4000,"Low",S253&lt;8000,"Medium",S253&gt;=8000,"High")</f>
        <v>High</v>
      </c>
      <c r="AL253" t="str" cm="1">
        <f t="array" ref="AL253">_xlfn.IFS(AF253&lt;3,"new",AF253&lt;=7,"Experienced",AF253&gt;7,"High")</f>
        <v>High</v>
      </c>
      <c r="AM253" s="1"/>
    </row>
    <row r="254" spans="1:39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  <c r="AJ254" t="str">
        <f t="shared" si="3"/>
        <v>Low</v>
      </c>
      <c r="AK254" t="str" cm="1">
        <f t="array" ref="AK254">_xlfn.IFS(S254&lt;4000,"Low",S254&lt;8000,"Medium",S254&gt;=8000,"High")</f>
        <v>Low</v>
      </c>
      <c r="AL254" t="str" cm="1">
        <f t="array" ref="AL254">_xlfn.IFS(AF254&lt;3,"new",AF254&lt;=7,"Experienced",AF254&gt;7,"High")</f>
        <v>Experienced</v>
      </c>
      <c r="AM254" s="1"/>
    </row>
    <row r="255" spans="1:39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  <c r="AJ255" t="str">
        <f t="shared" si="3"/>
        <v>High</v>
      </c>
      <c r="AK255" t="str" cm="1">
        <f t="array" ref="AK255">_xlfn.IFS(S255&lt;4000,"Low",S255&lt;8000,"Medium",S255&gt;=8000,"High")</f>
        <v>Medium</v>
      </c>
      <c r="AL255" t="str" cm="1">
        <f t="array" ref="AL255">_xlfn.IFS(AF255&lt;3,"new",AF255&lt;=7,"Experienced",AF255&gt;7,"High")</f>
        <v>Experienced</v>
      </c>
      <c r="AM255" s="1"/>
    </row>
    <row r="256" spans="1:39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  <c r="AJ256" t="str">
        <f t="shared" si="3"/>
        <v>High</v>
      </c>
      <c r="AK256" t="str" cm="1">
        <f t="array" ref="AK256">_xlfn.IFS(S256&lt;4000,"Low",S256&lt;8000,"Medium",S256&gt;=8000,"High")</f>
        <v>Medium</v>
      </c>
      <c r="AL256" t="str" cm="1">
        <f t="array" ref="AL256">_xlfn.IFS(AF256&lt;3,"new",AF256&lt;=7,"Experienced",AF256&gt;7,"High")</f>
        <v>Experienced</v>
      </c>
      <c r="AM256" s="1"/>
    </row>
    <row r="257" spans="1:39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  <c r="AJ257" t="str">
        <f t="shared" si="3"/>
        <v>Low</v>
      </c>
      <c r="AK257" t="str" cm="1">
        <f t="array" ref="AK257">_xlfn.IFS(S257&lt;4000,"Low",S257&lt;8000,"Medium",S257&gt;=8000,"High")</f>
        <v>Medium</v>
      </c>
      <c r="AL257" t="str" cm="1">
        <f t="array" ref="AL257">_xlfn.IFS(AF257&lt;3,"new",AF257&lt;=7,"Experienced",AF257&gt;7,"High")</f>
        <v>Experienced</v>
      </c>
      <c r="AM257" s="1"/>
    </row>
    <row r="258" spans="1:39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  <c r="AJ258" t="str">
        <f t="shared" ref="AJ258:AJ321" si="4">IF(S258&gt;=6500,"High","Low")</f>
        <v>Low</v>
      </c>
      <c r="AK258" t="str" cm="1">
        <f t="array" ref="AK258">_xlfn.IFS(S258&lt;4000,"Low",S258&lt;8000,"Medium",S258&gt;=8000,"High")</f>
        <v>Low</v>
      </c>
      <c r="AL258" t="str" cm="1">
        <f t="array" ref="AL258">_xlfn.IFS(AF258&lt;3,"new",AF258&lt;=7,"Experienced",AF258&gt;7,"High")</f>
        <v>High</v>
      </c>
      <c r="AM258" s="1"/>
    </row>
    <row r="259" spans="1:39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  <c r="AJ259" t="str">
        <f t="shared" si="4"/>
        <v>High</v>
      </c>
      <c r="AK259" t="str" cm="1">
        <f t="array" ref="AK259">_xlfn.IFS(S259&lt;4000,"Low",S259&lt;8000,"Medium",S259&gt;=8000,"High")</f>
        <v>High</v>
      </c>
      <c r="AL259" t="str" cm="1">
        <f t="array" ref="AL259">_xlfn.IFS(AF259&lt;3,"new",AF259&lt;=7,"Experienced",AF259&gt;7,"High")</f>
        <v>High</v>
      </c>
      <c r="AM259" s="1"/>
    </row>
    <row r="260" spans="1:39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  <c r="AJ260" t="str">
        <f t="shared" si="4"/>
        <v>Low</v>
      </c>
      <c r="AK260" t="str" cm="1">
        <f t="array" ref="AK260">_xlfn.IFS(S260&lt;4000,"Low",S260&lt;8000,"Medium",S260&gt;=8000,"High")</f>
        <v>Low</v>
      </c>
      <c r="AL260" t="str" cm="1">
        <f t="array" ref="AL260">_xlfn.IFS(AF260&lt;3,"new",AF260&lt;=7,"Experienced",AF260&gt;7,"High")</f>
        <v>new</v>
      </c>
      <c r="AM260" s="1"/>
    </row>
    <row r="261" spans="1:39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  <c r="AJ261" t="str">
        <f t="shared" si="4"/>
        <v>Low</v>
      </c>
      <c r="AK261" t="str" cm="1">
        <f t="array" ref="AK261">_xlfn.IFS(S261&lt;4000,"Low",S261&lt;8000,"Medium",S261&gt;=8000,"High")</f>
        <v>Low</v>
      </c>
      <c r="AL261" t="str" cm="1">
        <f t="array" ref="AL261">_xlfn.IFS(AF261&lt;3,"new",AF261&lt;=7,"Experienced",AF261&gt;7,"High")</f>
        <v>Experienced</v>
      </c>
      <c r="AM261" s="1"/>
    </row>
    <row r="262" spans="1:39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  <c r="AJ262" t="str">
        <f t="shared" si="4"/>
        <v>Low</v>
      </c>
      <c r="AK262" t="str" cm="1">
        <f t="array" ref="AK262">_xlfn.IFS(S262&lt;4000,"Low",S262&lt;8000,"Medium",S262&gt;=8000,"High")</f>
        <v>Low</v>
      </c>
      <c r="AL262" t="str" cm="1">
        <f t="array" ref="AL262">_xlfn.IFS(AF262&lt;3,"new",AF262&lt;=7,"Experienced",AF262&gt;7,"High")</f>
        <v>Experienced</v>
      </c>
      <c r="AM262" s="1"/>
    </row>
    <row r="263" spans="1:39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  <c r="AJ263" t="str">
        <f t="shared" si="4"/>
        <v>Low</v>
      </c>
      <c r="AK263" t="str" cm="1">
        <f t="array" ref="AK263">_xlfn.IFS(S263&lt;4000,"Low",S263&lt;8000,"Medium",S263&gt;=8000,"High")</f>
        <v>Medium</v>
      </c>
      <c r="AL263" t="str" cm="1">
        <f t="array" ref="AL263">_xlfn.IFS(AF263&lt;3,"new",AF263&lt;=7,"Experienced",AF263&gt;7,"High")</f>
        <v>High</v>
      </c>
      <c r="AM263" s="1"/>
    </row>
    <row r="264" spans="1:39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  <c r="AJ264" t="str">
        <f t="shared" si="4"/>
        <v>Low</v>
      </c>
      <c r="AK264" t="str" cm="1">
        <f t="array" ref="AK264">_xlfn.IFS(S264&lt;4000,"Low",S264&lt;8000,"Medium",S264&gt;=8000,"High")</f>
        <v>Low</v>
      </c>
      <c r="AL264" t="str" cm="1">
        <f t="array" ref="AL264">_xlfn.IFS(AF264&lt;3,"new",AF264&lt;=7,"Experienced",AF264&gt;7,"High")</f>
        <v>Experienced</v>
      </c>
      <c r="AM264" s="1"/>
    </row>
    <row r="265" spans="1:39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  <c r="AJ265" t="str">
        <f t="shared" si="4"/>
        <v>High</v>
      </c>
      <c r="AK265" t="str" cm="1">
        <f t="array" ref="AK265">_xlfn.IFS(S265&lt;4000,"Low",S265&lt;8000,"Medium",S265&gt;=8000,"High")</f>
        <v>High</v>
      </c>
      <c r="AL265" t="str" cm="1">
        <f t="array" ref="AL265">_xlfn.IFS(AF265&lt;3,"new",AF265&lt;=7,"Experienced",AF265&gt;7,"High")</f>
        <v>Experienced</v>
      </c>
      <c r="AM265" s="1"/>
    </row>
    <row r="266" spans="1:39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  <c r="AJ266" t="str">
        <f t="shared" si="4"/>
        <v>Low</v>
      </c>
      <c r="AK266" t="str" cm="1">
        <f t="array" ref="AK266">_xlfn.IFS(S266&lt;4000,"Low",S266&lt;8000,"Medium",S266&gt;=8000,"High")</f>
        <v>Low</v>
      </c>
      <c r="AL266" t="str" cm="1">
        <f t="array" ref="AL266">_xlfn.IFS(AF266&lt;3,"new",AF266&lt;=7,"Experienced",AF266&gt;7,"High")</f>
        <v>new</v>
      </c>
      <c r="AM266" s="1"/>
    </row>
    <row r="267" spans="1:39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  <c r="AJ267" t="str">
        <f t="shared" si="4"/>
        <v>High</v>
      </c>
      <c r="AK267" t="str" cm="1">
        <f t="array" ref="AK267">_xlfn.IFS(S267&lt;4000,"Low",S267&lt;8000,"Medium",S267&gt;=8000,"High")</f>
        <v>Medium</v>
      </c>
      <c r="AL267" t="str" cm="1">
        <f t="array" ref="AL267">_xlfn.IFS(AF267&lt;3,"new",AF267&lt;=7,"Experienced",AF267&gt;7,"High")</f>
        <v>new</v>
      </c>
      <c r="AM267" s="1"/>
    </row>
    <row r="268" spans="1:39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  <c r="AJ268" t="str">
        <f t="shared" si="4"/>
        <v>Low</v>
      </c>
      <c r="AK268" t="str" cm="1">
        <f t="array" ref="AK268">_xlfn.IFS(S268&lt;4000,"Low",S268&lt;8000,"Medium",S268&gt;=8000,"High")</f>
        <v>Medium</v>
      </c>
      <c r="AL268" t="str" cm="1">
        <f t="array" ref="AL268">_xlfn.IFS(AF268&lt;3,"new",AF268&lt;=7,"Experienced",AF268&gt;7,"High")</f>
        <v>High</v>
      </c>
      <c r="AM268" s="1"/>
    </row>
    <row r="269" spans="1:39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  <c r="AJ269" t="str">
        <f t="shared" si="4"/>
        <v>Low</v>
      </c>
      <c r="AK269" t="str" cm="1">
        <f t="array" ref="AK269">_xlfn.IFS(S269&lt;4000,"Low",S269&lt;8000,"Medium",S269&gt;=8000,"High")</f>
        <v>Medium</v>
      </c>
      <c r="AL269" t="str" cm="1">
        <f t="array" ref="AL269">_xlfn.IFS(AF269&lt;3,"new",AF269&lt;=7,"Experienced",AF269&gt;7,"High")</f>
        <v>Experienced</v>
      </c>
      <c r="AM269" s="1"/>
    </row>
    <row r="270" spans="1:39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  <c r="AJ270" t="str">
        <f t="shared" si="4"/>
        <v>High</v>
      </c>
      <c r="AK270" t="str" cm="1">
        <f t="array" ref="AK270">_xlfn.IFS(S270&lt;4000,"Low",S270&lt;8000,"Medium",S270&gt;=8000,"High")</f>
        <v>High</v>
      </c>
      <c r="AL270" t="str" cm="1">
        <f t="array" ref="AL270">_xlfn.IFS(AF270&lt;3,"new",AF270&lt;=7,"Experienced",AF270&gt;7,"High")</f>
        <v>High</v>
      </c>
      <c r="AM270" s="1"/>
    </row>
    <row r="271" spans="1:39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  <c r="AJ271" t="str">
        <f t="shared" si="4"/>
        <v>Low</v>
      </c>
      <c r="AK271" t="str" cm="1">
        <f t="array" ref="AK271">_xlfn.IFS(S271&lt;4000,"Low",S271&lt;8000,"Medium",S271&gt;=8000,"High")</f>
        <v>Low</v>
      </c>
      <c r="AL271" t="str" cm="1">
        <f t="array" ref="AL271">_xlfn.IFS(AF271&lt;3,"new",AF271&lt;=7,"Experienced",AF271&gt;7,"High")</f>
        <v>High</v>
      </c>
      <c r="AM271" s="1"/>
    </row>
    <row r="272" spans="1:39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  <c r="AJ272" t="str">
        <f t="shared" si="4"/>
        <v>High</v>
      </c>
      <c r="AK272" t="str" cm="1">
        <f t="array" ref="AK272">_xlfn.IFS(S272&lt;4000,"Low",S272&lt;8000,"Medium",S272&gt;=8000,"High")</f>
        <v>High</v>
      </c>
      <c r="AL272" t="str" cm="1">
        <f t="array" ref="AL272">_xlfn.IFS(AF272&lt;3,"new",AF272&lt;=7,"Experienced",AF272&gt;7,"High")</f>
        <v>High</v>
      </c>
      <c r="AM272" s="1"/>
    </row>
    <row r="273" spans="1:39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  <c r="AJ273" t="str">
        <f t="shared" si="4"/>
        <v>High</v>
      </c>
      <c r="AK273" t="str" cm="1">
        <f t="array" ref="AK273">_xlfn.IFS(S273&lt;4000,"Low",S273&lt;8000,"Medium",S273&gt;=8000,"High")</f>
        <v>High</v>
      </c>
      <c r="AL273" t="str" cm="1">
        <f t="array" ref="AL273">_xlfn.IFS(AF273&lt;3,"new",AF273&lt;=7,"Experienced",AF273&gt;7,"High")</f>
        <v>High</v>
      </c>
      <c r="AM273" s="1"/>
    </row>
    <row r="274" spans="1:39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  <c r="AJ274" t="str">
        <f t="shared" si="4"/>
        <v>Low</v>
      </c>
      <c r="AK274" t="str" cm="1">
        <f t="array" ref="AK274">_xlfn.IFS(S274&lt;4000,"Low",S274&lt;8000,"Medium",S274&gt;=8000,"High")</f>
        <v>Low</v>
      </c>
      <c r="AL274" t="str" cm="1">
        <f t="array" ref="AL274">_xlfn.IFS(AF274&lt;3,"new",AF274&lt;=7,"Experienced",AF274&gt;7,"High")</f>
        <v>Experienced</v>
      </c>
      <c r="AM274" s="1"/>
    </row>
    <row r="275" spans="1:39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  <c r="AJ275" t="str">
        <f t="shared" si="4"/>
        <v>High</v>
      </c>
      <c r="AK275" t="str" cm="1">
        <f t="array" ref="AK275">_xlfn.IFS(S275&lt;4000,"Low",S275&lt;8000,"Medium",S275&gt;=8000,"High")</f>
        <v>Medium</v>
      </c>
      <c r="AL275" t="str" cm="1">
        <f t="array" ref="AL275">_xlfn.IFS(AF275&lt;3,"new",AF275&lt;=7,"Experienced",AF275&gt;7,"High")</f>
        <v>Experienced</v>
      </c>
      <c r="AM275" s="1"/>
    </row>
    <row r="276" spans="1:39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  <c r="AJ276" t="str">
        <f t="shared" si="4"/>
        <v>Low</v>
      </c>
      <c r="AK276" t="str" cm="1">
        <f t="array" ref="AK276">_xlfn.IFS(S276&lt;4000,"Low",S276&lt;8000,"Medium",S276&gt;=8000,"High")</f>
        <v>Low</v>
      </c>
      <c r="AL276" t="str" cm="1">
        <f t="array" ref="AL276">_xlfn.IFS(AF276&lt;3,"new",AF276&lt;=7,"Experienced",AF276&gt;7,"High")</f>
        <v>Experienced</v>
      </c>
      <c r="AM276" s="1"/>
    </row>
    <row r="277" spans="1:39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  <c r="AJ277" t="str">
        <f t="shared" si="4"/>
        <v>High</v>
      </c>
      <c r="AK277" t="str" cm="1">
        <f t="array" ref="AK277">_xlfn.IFS(S277&lt;4000,"Low",S277&lt;8000,"Medium",S277&gt;=8000,"High")</f>
        <v>High</v>
      </c>
      <c r="AL277" t="str" cm="1">
        <f t="array" ref="AL277">_xlfn.IFS(AF277&lt;3,"new",AF277&lt;=7,"Experienced",AF277&gt;7,"High")</f>
        <v>Experienced</v>
      </c>
      <c r="AM277" s="1"/>
    </row>
    <row r="278" spans="1:39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  <c r="AJ278" t="str">
        <f t="shared" si="4"/>
        <v>High</v>
      </c>
      <c r="AK278" t="str" cm="1">
        <f t="array" ref="AK278">_xlfn.IFS(S278&lt;4000,"Low",S278&lt;8000,"Medium",S278&gt;=8000,"High")</f>
        <v>High</v>
      </c>
      <c r="AL278" t="str" cm="1">
        <f t="array" ref="AL278">_xlfn.IFS(AF278&lt;3,"new",AF278&lt;=7,"Experienced",AF278&gt;7,"High")</f>
        <v>Experienced</v>
      </c>
      <c r="AM278" s="1"/>
    </row>
    <row r="279" spans="1:39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  <c r="AJ279" t="str">
        <f t="shared" si="4"/>
        <v>Low</v>
      </c>
      <c r="AK279" t="str" cm="1">
        <f t="array" ref="AK279">_xlfn.IFS(S279&lt;4000,"Low",S279&lt;8000,"Medium",S279&gt;=8000,"High")</f>
        <v>Medium</v>
      </c>
      <c r="AL279" t="str" cm="1">
        <f t="array" ref="AL279">_xlfn.IFS(AF279&lt;3,"new",AF279&lt;=7,"Experienced",AF279&gt;7,"High")</f>
        <v>High</v>
      </c>
      <c r="AM279" s="1"/>
    </row>
    <row r="280" spans="1:39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  <c r="AJ280" t="str">
        <f t="shared" si="4"/>
        <v>Low</v>
      </c>
      <c r="AK280" t="str" cm="1">
        <f t="array" ref="AK280">_xlfn.IFS(S280&lt;4000,"Low",S280&lt;8000,"Medium",S280&gt;=8000,"High")</f>
        <v>Medium</v>
      </c>
      <c r="AL280" t="str" cm="1">
        <f t="array" ref="AL280">_xlfn.IFS(AF280&lt;3,"new",AF280&lt;=7,"Experienced",AF280&gt;7,"High")</f>
        <v>Experienced</v>
      </c>
      <c r="AM280" s="1"/>
    </row>
    <row r="281" spans="1:39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  <c r="AJ281" t="str">
        <f t="shared" si="4"/>
        <v>High</v>
      </c>
      <c r="AK281" t="str" cm="1">
        <f t="array" ref="AK281">_xlfn.IFS(S281&lt;4000,"Low",S281&lt;8000,"Medium",S281&gt;=8000,"High")</f>
        <v>High</v>
      </c>
      <c r="AL281" t="str" cm="1">
        <f t="array" ref="AL281">_xlfn.IFS(AF281&lt;3,"new",AF281&lt;=7,"Experienced",AF281&gt;7,"High")</f>
        <v>High</v>
      </c>
      <c r="AM281" s="1"/>
    </row>
    <row r="282" spans="1:39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  <c r="AJ282" t="str">
        <f t="shared" si="4"/>
        <v>High</v>
      </c>
      <c r="AK282" t="str" cm="1">
        <f t="array" ref="AK282">_xlfn.IFS(S282&lt;4000,"Low",S282&lt;8000,"Medium",S282&gt;=8000,"High")</f>
        <v>High</v>
      </c>
      <c r="AL282" t="str" cm="1">
        <f t="array" ref="AL282">_xlfn.IFS(AF282&lt;3,"new",AF282&lt;=7,"Experienced",AF282&gt;7,"High")</f>
        <v>Experienced</v>
      </c>
      <c r="AM282" s="1"/>
    </row>
    <row r="283" spans="1:39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  <c r="AJ283" t="str">
        <f t="shared" si="4"/>
        <v>Low</v>
      </c>
      <c r="AK283" t="str" cm="1">
        <f t="array" ref="AK283">_xlfn.IFS(S283&lt;4000,"Low",S283&lt;8000,"Medium",S283&gt;=8000,"High")</f>
        <v>Medium</v>
      </c>
      <c r="AL283" t="str" cm="1">
        <f t="array" ref="AL283">_xlfn.IFS(AF283&lt;3,"new",AF283&lt;=7,"Experienced",AF283&gt;7,"High")</f>
        <v>High</v>
      </c>
      <c r="AM283" s="1"/>
    </row>
    <row r="284" spans="1:39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  <c r="AJ284" t="str">
        <f t="shared" si="4"/>
        <v>Low</v>
      </c>
      <c r="AK284" t="str" cm="1">
        <f t="array" ref="AK284">_xlfn.IFS(S284&lt;4000,"Low",S284&lt;8000,"Medium",S284&gt;=8000,"High")</f>
        <v>Medium</v>
      </c>
      <c r="AL284" t="str" cm="1">
        <f t="array" ref="AL284">_xlfn.IFS(AF284&lt;3,"new",AF284&lt;=7,"Experienced",AF284&gt;7,"High")</f>
        <v>High</v>
      </c>
      <c r="AM284" s="1"/>
    </row>
    <row r="285" spans="1:39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  <c r="AJ285" t="str">
        <f t="shared" si="4"/>
        <v>Low</v>
      </c>
      <c r="AK285" t="str" cm="1">
        <f t="array" ref="AK285">_xlfn.IFS(S285&lt;4000,"Low",S285&lt;8000,"Medium",S285&gt;=8000,"High")</f>
        <v>Medium</v>
      </c>
      <c r="AL285" t="str" cm="1">
        <f t="array" ref="AL285">_xlfn.IFS(AF285&lt;3,"new",AF285&lt;=7,"Experienced",AF285&gt;7,"High")</f>
        <v>High</v>
      </c>
      <c r="AM285" s="1"/>
    </row>
    <row r="286" spans="1:39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  <c r="AJ286" t="str">
        <f t="shared" si="4"/>
        <v>Low</v>
      </c>
      <c r="AK286" t="str" cm="1">
        <f t="array" ref="AK286">_xlfn.IFS(S286&lt;4000,"Low",S286&lt;8000,"Medium",S286&gt;=8000,"High")</f>
        <v>Medium</v>
      </c>
      <c r="AL286" t="str" cm="1">
        <f t="array" ref="AL286">_xlfn.IFS(AF286&lt;3,"new",AF286&lt;=7,"Experienced",AF286&gt;7,"High")</f>
        <v>Experienced</v>
      </c>
      <c r="AM286" s="1"/>
    </row>
    <row r="287" spans="1:39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  <c r="AJ287" t="str">
        <f t="shared" si="4"/>
        <v>Low</v>
      </c>
      <c r="AK287" t="str" cm="1">
        <f t="array" ref="AK287">_xlfn.IFS(S287&lt;4000,"Low",S287&lt;8000,"Medium",S287&gt;=8000,"High")</f>
        <v>Low</v>
      </c>
      <c r="AL287" t="str" cm="1">
        <f t="array" ref="AL287">_xlfn.IFS(AF287&lt;3,"new",AF287&lt;=7,"Experienced",AF287&gt;7,"High")</f>
        <v>High</v>
      </c>
      <c r="AM287" s="1"/>
    </row>
    <row r="288" spans="1:39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  <c r="AJ288" t="str">
        <f t="shared" si="4"/>
        <v>Low</v>
      </c>
      <c r="AK288" t="str" cm="1">
        <f t="array" ref="AK288">_xlfn.IFS(S288&lt;4000,"Low",S288&lt;8000,"Medium",S288&gt;=8000,"High")</f>
        <v>Low</v>
      </c>
      <c r="AL288" t="str" cm="1">
        <f t="array" ref="AL288">_xlfn.IFS(AF288&lt;3,"new",AF288&lt;=7,"Experienced",AF288&gt;7,"High")</f>
        <v>new</v>
      </c>
      <c r="AM288" s="1"/>
    </row>
    <row r="289" spans="1:39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  <c r="AJ289" t="str">
        <f t="shared" si="4"/>
        <v>Low</v>
      </c>
      <c r="AK289" t="str" cm="1">
        <f t="array" ref="AK289">_xlfn.IFS(S289&lt;4000,"Low",S289&lt;8000,"Medium",S289&gt;=8000,"High")</f>
        <v>Medium</v>
      </c>
      <c r="AL289" t="str" cm="1">
        <f t="array" ref="AL289">_xlfn.IFS(AF289&lt;3,"new",AF289&lt;=7,"Experienced",AF289&gt;7,"High")</f>
        <v>new</v>
      </c>
      <c r="AM289" s="1"/>
    </row>
    <row r="290" spans="1:39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  <c r="AJ290" t="str">
        <f t="shared" si="4"/>
        <v>Low</v>
      </c>
      <c r="AK290" t="str" cm="1">
        <f t="array" ref="AK290">_xlfn.IFS(S290&lt;4000,"Low",S290&lt;8000,"Medium",S290&gt;=8000,"High")</f>
        <v>Low</v>
      </c>
      <c r="AL290" t="str" cm="1">
        <f t="array" ref="AL290">_xlfn.IFS(AF290&lt;3,"new",AF290&lt;=7,"Experienced",AF290&gt;7,"High")</f>
        <v>Experienced</v>
      </c>
      <c r="AM290" s="1"/>
    </row>
    <row r="291" spans="1:39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  <c r="AJ291" t="str">
        <f t="shared" si="4"/>
        <v>Low</v>
      </c>
      <c r="AK291" t="str" cm="1">
        <f t="array" ref="AK291">_xlfn.IFS(S291&lt;4000,"Low",S291&lt;8000,"Medium",S291&gt;=8000,"High")</f>
        <v>Low</v>
      </c>
      <c r="AL291" t="str" cm="1">
        <f t="array" ref="AL291">_xlfn.IFS(AF291&lt;3,"new",AF291&lt;=7,"Experienced",AF291&gt;7,"High")</f>
        <v>Experienced</v>
      </c>
      <c r="AM291" s="1"/>
    </row>
    <row r="292" spans="1:39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  <c r="AJ292" t="str">
        <f t="shared" si="4"/>
        <v>High</v>
      </c>
      <c r="AK292" t="str" cm="1">
        <f t="array" ref="AK292">_xlfn.IFS(S292&lt;4000,"Low",S292&lt;8000,"Medium",S292&gt;=8000,"High")</f>
        <v>High</v>
      </c>
      <c r="AL292" t="str" cm="1">
        <f t="array" ref="AL292">_xlfn.IFS(AF292&lt;3,"new",AF292&lt;=7,"Experienced",AF292&gt;7,"High")</f>
        <v>Experienced</v>
      </c>
      <c r="AM292" s="1"/>
    </row>
    <row r="293" spans="1:39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  <c r="AJ293" t="str">
        <f t="shared" si="4"/>
        <v>Low</v>
      </c>
      <c r="AK293" t="str" cm="1">
        <f t="array" ref="AK293">_xlfn.IFS(S293&lt;4000,"Low",S293&lt;8000,"Medium",S293&gt;=8000,"High")</f>
        <v>Medium</v>
      </c>
      <c r="AL293" t="str" cm="1">
        <f t="array" ref="AL293">_xlfn.IFS(AF293&lt;3,"new",AF293&lt;=7,"Experienced",AF293&gt;7,"High")</f>
        <v>High</v>
      </c>
      <c r="AM293" s="1"/>
    </row>
    <row r="294" spans="1:39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  <c r="AJ294" t="str">
        <f t="shared" si="4"/>
        <v>Low</v>
      </c>
      <c r="AK294" t="str" cm="1">
        <f t="array" ref="AK294">_xlfn.IFS(S294&lt;4000,"Low",S294&lt;8000,"Medium",S294&gt;=8000,"High")</f>
        <v>Low</v>
      </c>
      <c r="AL294" t="str" cm="1">
        <f t="array" ref="AL294">_xlfn.IFS(AF294&lt;3,"new",AF294&lt;=7,"Experienced",AF294&gt;7,"High")</f>
        <v>new</v>
      </c>
      <c r="AM294" s="1"/>
    </row>
    <row r="295" spans="1:39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  <c r="AJ295" t="str">
        <f t="shared" si="4"/>
        <v>Low</v>
      </c>
      <c r="AK295" t="str" cm="1">
        <f t="array" ref="AK295">_xlfn.IFS(S295&lt;4000,"Low",S295&lt;8000,"Medium",S295&gt;=8000,"High")</f>
        <v>Medium</v>
      </c>
      <c r="AL295" t="str" cm="1">
        <f t="array" ref="AL295">_xlfn.IFS(AF295&lt;3,"new",AF295&lt;=7,"Experienced",AF295&gt;7,"High")</f>
        <v>High</v>
      </c>
      <c r="AM295" s="1"/>
    </row>
    <row r="296" spans="1:39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  <c r="AJ296" t="str">
        <f t="shared" si="4"/>
        <v>Low</v>
      </c>
      <c r="AK296" t="str" cm="1">
        <f t="array" ref="AK296">_xlfn.IFS(S296&lt;4000,"Low",S296&lt;8000,"Medium",S296&gt;=8000,"High")</f>
        <v>Low</v>
      </c>
      <c r="AL296" t="str" cm="1">
        <f t="array" ref="AL296">_xlfn.IFS(AF296&lt;3,"new",AF296&lt;=7,"Experienced",AF296&gt;7,"High")</f>
        <v>Experienced</v>
      </c>
      <c r="AM296" s="1"/>
    </row>
    <row r="297" spans="1:39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  <c r="AJ297" t="str">
        <f t="shared" si="4"/>
        <v>High</v>
      </c>
      <c r="AK297" t="str" cm="1">
        <f t="array" ref="AK297">_xlfn.IFS(S297&lt;4000,"Low",S297&lt;8000,"Medium",S297&gt;=8000,"High")</f>
        <v>High</v>
      </c>
      <c r="AL297" t="str" cm="1">
        <f t="array" ref="AL297">_xlfn.IFS(AF297&lt;3,"new",AF297&lt;=7,"Experienced",AF297&gt;7,"High")</f>
        <v>High</v>
      </c>
      <c r="AM297" s="1"/>
    </row>
    <row r="298" spans="1:39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  <c r="AJ298" t="str">
        <f t="shared" si="4"/>
        <v>Low</v>
      </c>
      <c r="AK298" t="str" cm="1">
        <f t="array" ref="AK298">_xlfn.IFS(S298&lt;4000,"Low",S298&lt;8000,"Medium",S298&gt;=8000,"High")</f>
        <v>Low</v>
      </c>
      <c r="AL298" t="str" cm="1">
        <f t="array" ref="AL298">_xlfn.IFS(AF298&lt;3,"new",AF298&lt;=7,"Experienced",AF298&gt;7,"High")</f>
        <v>new</v>
      </c>
      <c r="AM298" s="1"/>
    </row>
    <row r="299" spans="1:39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  <c r="AJ299" t="str">
        <f t="shared" si="4"/>
        <v>High</v>
      </c>
      <c r="AK299" t="str" cm="1">
        <f t="array" ref="AK299">_xlfn.IFS(S299&lt;4000,"Low",S299&lt;8000,"Medium",S299&gt;=8000,"High")</f>
        <v>High</v>
      </c>
      <c r="AL299" t="str" cm="1">
        <f t="array" ref="AL299">_xlfn.IFS(AF299&lt;3,"new",AF299&lt;=7,"Experienced",AF299&gt;7,"High")</f>
        <v>High</v>
      </c>
      <c r="AM299" s="1"/>
    </row>
    <row r="300" spans="1:39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  <c r="AJ300" t="str">
        <f t="shared" si="4"/>
        <v>Low</v>
      </c>
      <c r="AK300" t="str" cm="1">
        <f t="array" ref="AK300">_xlfn.IFS(S300&lt;4000,"Low",S300&lt;8000,"Medium",S300&gt;=8000,"High")</f>
        <v>Low</v>
      </c>
      <c r="AL300" t="str" cm="1">
        <f t="array" ref="AL300">_xlfn.IFS(AF300&lt;3,"new",AF300&lt;=7,"Experienced",AF300&gt;7,"High")</f>
        <v>new</v>
      </c>
      <c r="AM300" s="1"/>
    </row>
    <row r="301" spans="1:39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  <c r="AJ301" t="str">
        <f t="shared" si="4"/>
        <v>Low</v>
      </c>
      <c r="AK301" t="str" cm="1">
        <f t="array" ref="AK301">_xlfn.IFS(S301&lt;4000,"Low",S301&lt;8000,"Medium",S301&gt;=8000,"High")</f>
        <v>Medium</v>
      </c>
      <c r="AL301" t="str" cm="1">
        <f t="array" ref="AL301">_xlfn.IFS(AF301&lt;3,"new",AF301&lt;=7,"Experienced",AF301&gt;7,"High")</f>
        <v>Experienced</v>
      </c>
      <c r="AM301" s="1"/>
    </row>
    <row r="302" spans="1:39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  <c r="AJ302" t="str">
        <f t="shared" si="4"/>
        <v>High</v>
      </c>
      <c r="AK302" t="str" cm="1">
        <f t="array" ref="AK302">_xlfn.IFS(S302&lt;4000,"Low",S302&lt;8000,"Medium",S302&gt;=8000,"High")</f>
        <v>High</v>
      </c>
      <c r="AL302" t="str" cm="1">
        <f t="array" ref="AL302">_xlfn.IFS(AF302&lt;3,"new",AF302&lt;=7,"Experienced",AF302&gt;7,"High")</f>
        <v>High</v>
      </c>
      <c r="AM302" s="1"/>
    </row>
    <row r="303" spans="1:39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  <c r="AJ303" t="str">
        <f t="shared" si="4"/>
        <v>Low</v>
      </c>
      <c r="AK303" t="str" cm="1">
        <f t="array" ref="AK303">_xlfn.IFS(S303&lt;4000,"Low",S303&lt;8000,"Medium",S303&gt;=8000,"High")</f>
        <v>Low</v>
      </c>
      <c r="AL303" t="str" cm="1">
        <f t="array" ref="AL303">_xlfn.IFS(AF303&lt;3,"new",AF303&lt;=7,"Experienced",AF303&gt;7,"High")</f>
        <v>new</v>
      </c>
      <c r="AM303" s="1"/>
    </row>
    <row r="304" spans="1:39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  <c r="AJ304" t="str">
        <f t="shared" si="4"/>
        <v>Low</v>
      </c>
      <c r="AK304" t="str" cm="1">
        <f t="array" ref="AK304">_xlfn.IFS(S304&lt;4000,"Low",S304&lt;8000,"Medium",S304&gt;=8000,"High")</f>
        <v>Medium</v>
      </c>
      <c r="AL304" t="str" cm="1">
        <f t="array" ref="AL304">_xlfn.IFS(AF304&lt;3,"new",AF304&lt;=7,"Experienced",AF304&gt;7,"High")</f>
        <v>High</v>
      </c>
      <c r="AM304" s="1"/>
    </row>
    <row r="305" spans="1:39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  <c r="AJ305" t="str">
        <f t="shared" si="4"/>
        <v>High</v>
      </c>
      <c r="AK305" t="str" cm="1">
        <f t="array" ref="AK305">_xlfn.IFS(S305&lt;4000,"Low",S305&lt;8000,"Medium",S305&gt;=8000,"High")</f>
        <v>Medium</v>
      </c>
      <c r="AL305" t="str" cm="1">
        <f t="array" ref="AL305">_xlfn.IFS(AF305&lt;3,"new",AF305&lt;=7,"Experienced",AF305&gt;7,"High")</f>
        <v>High</v>
      </c>
      <c r="AM305" s="1"/>
    </row>
    <row r="306" spans="1:39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  <c r="AJ306" t="str">
        <f t="shared" si="4"/>
        <v>High</v>
      </c>
      <c r="AK306" t="str" cm="1">
        <f t="array" ref="AK306">_xlfn.IFS(S306&lt;4000,"Low",S306&lt;8000,"Medium",S306&gt;=8000,"High")</f>
        <v>High</v>
      </c>
      <c r="AL306" t="str" cm="1">
        <f t="array" ref="AL306">_xlfn.IFS(AF306&lt;3,"new",AF306&lt;=7,"Experienced",AF306&gt;7,"High")</f>
        <v>High</v>
      </c>
      <c r="AM306" s="1"/>
    </row>
    <row r="307" spans="1:39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  <c r="AJ307" t="str">
        <f t="shared" si="4"/>
        <v>Low</v>
      </c>
      <c r="AK307" t="str" cm="1">
        <f t="array" ref="AK307">_xlfn.IFS(S307&lt;4000,"Low",S307&lt;8000,"Medium",S307&gt;=8000,"High")</f>
        <v>Medium</v>
      </c>
      <c r="AL307" t="str" cm="1">
        <f t="array" ref="AL307">_xlfn.IFS(AF307&lt;3,"new",AF307&lt;=7,"Experienced",AF307&gt;7,"High")</f>
        <v>High</v>
      </c>
      <c r="AM307" s="1"/>
    </row>
    <row r="308" spans="1:39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  <c r="AJ308" t="str">
        <f t="shared" si="4"/>
        <v>Low</v>
      </c>
      <c r="AK308" t="str" cm="1">
        <f t="array" ref="AK308">_xlfn.IFS(S308&lt;4000,"Low",S308&lt;8000,"Medium",S308&gt;=8000,"High")</f>
        <v>Medium</v>
      </c>
      <c r="AL308" t="str" cm="1">
        <f t="array" ref="AL308">_xlfn.IFS(AF308&lt;3,"new",AF308&lt;=7,"Experienced",AF308&gt;7,"High")</f>
        <v>High</v>
      </c>
      <c r="AM308" s="1"/>
    </row>
    <row r="309" spans="1:39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  <c r="AJ309" t="str">
        <f t="shared" si="4"/>
        <v>High</v>
      </c>
      <c r="AK309" t="str" cm="1">
        <f t="array" ref="AK309">_xlfn.IFS(S309&lt;4000,"Low",S309&lt;8000,"Medium",S309&gt;=8000,"High")</f>
        <v>High</v>
      </c>
      <c r="AL309" t="str" cm="1">
        <f t="array" ref="AL309">_xlfn.IFS(AF309&lt;3,"new",AF309&lt;=7,"Experienced",AF309&gt;7,"High")</f>
        <v>High</v>
      </c>
      <c r="AM309" s="1"/>
    </row>
    <row r="310" spans="1:39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  <c r="AJ310" t="str">
        <f t="shared" si="4"/>
        <v>Low</v>
      </c>
      <c r="AK310" t="str" cm="1">
        <f t="array" ref="AK310">_xlfn.IFS(S310&lt;4000,"Low",S310&lt;8000,"Medium",S310&gt;=8000,"High")</f>
        <v>Medium</v>
      </c>
      <c r="AL310" t="str" cm="1">
        <f t="array" ref="AL310">_xlfn.IFS(AF310&lt;3,"new",AF310&lt;=7,"Experienced",AF310&gt;7,"High")</f>
        <v>Experienced</v>
      </c>
      <c r="AM310" s="1"/>
    </row>
    <row r="311" spans="1:39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  <c r="AJ311" t="str">
        <f t="shared" si="4"/>
        <v>Low</v>
      </c>
      <c r="AK311" t="str" cm="1">
        <f t="array" ref="AK311">_xlfn.IFS(S311&lt;4000,"Low",S311&lt;8000,"Medium",S311&gt;=8000,"High")</f>
        <v>Medium</v>
      </c>
      <c r="AL311" t="str" cm="1">
        <f t="array" ref="AL311">_xlfn.IFS(AF311&lt;3,"new",AF311&lt;=7,"Experienced",AF311&gt;7,"High")</f>
        <v>Experienced</v>
      </c>
      <c r="AM311" s="1"/>
    </row>
    <row r="312" spans="1:39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  <c r="AJ312" t="str">
        <f t="shared" si="4"/>
        <v>Low</v>
      </c>
      <c r="AK312" t="str" cm="1">
        <f t="array" ref="AK312">_xlfn.IFS(S312&lt;4000,"Low",S312&lt;8000,"Medium",S312&gt;=8000,"High")</f>
        <v>Medium</v>
      </c>
      <c r="AL312" t="str" cm="1">
        <f t="array" ref="AL312">_xlfn.IFS(AF312&lt;3,"new",AF312&lt;=7,"Experienced",AF312&gt;7,"High")</f>
        <v>new</v>
      </c>
      <c r="AM312" s="1"/>
    </row>
    <row r="313" spans="1:39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  <c r="AJ313" t="str">
        <f t="shared" si="4"/>
        <v>Low</v>
      </c>
      <c r="AK313" t="str" cm="1">
        <f t="array" ref="AK313">_xlfn.IFS(S313&lt;4000,"Low",S313&lt;8000,"Medium",S313&gt;=8000,"High")</f>
        <v>Medium</v>
      </c>
      <c r="AL313" t="str" cm="1">
        <f t="array" ref="AL313">_xlfn.IFS(AF313&lt;3,"new",AF313&lt;=7,"Experienced",AF313&gt;7,"High")</f>
        <v>High</v>
      </c>
      <c r="AM313" s="1"/>
    </row>
    <row r="314" spans="1:39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  <c r="AJ314" t="str">
        <f t="shared" si="4"/>
        <v>Low</v>
      </c>
      <c r="AK314" t="str" cm="1">
        <f t="array" ref="AK314">_xlfn.IFS(S314&lt;4000,"Low",S314&lt;8000,"Medium",S314&gt;=8000,"High")</f>
        <v>Low</v>
      </c>
      <c r="AL314" t="str" cm="1">
        <f t="array" ref="AL314">_xlfn.IFS(AF314&lt;3,"new",AF314&lt;=7,"Experienced",AF314&gt;7,"High")</f>
        <v>new</v>
      </c>
      <c r="AM314" s="1"/>
    </row>
    <row r="315" spans="1:39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  <c r="AJ315" t="str">
        <f t="shared" si="4"/>
        <v>High</v>
      </c>
      <c r="AK315" t="str" cm="1">
        <f t="array" ref="AK315">_xlfn.IFS(S315&lt;4000,"Low",S315&lt;8000,"Medium",S315&gt;=8000,"High")</f>
        <v>High</v>
      </c>
      <c r="AL315" t="str" cm="1">
        <f t="array" ref="AL315">_xlfn.IFS(AF315&lt;3,"new",AF315&lt;=7,"Experienced",AF315&gt;7,"High")</f>
        <v>High</v>
      </c>
      <c r="AM315" s="1"/>
    </row>
    <row r="316" spans="1:39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  <c r="AJ316" t="str">
        <f t="shared" si="4"/>
        <v>High</v>
      </c>
      <c r="AK316" t="str" cm="1">
        <f t="array" ref="AK316">_xlfn.IFS(S316&lt;4000,"Low",S316&lt;8000,"Medium",S316&gt;=8000,"High")</f>
        <v>High</v>
      </c>
      <c r="AL316" t="str" cm="1">
        <f t="array" ref="AL316">_xlfn.IFS(AF316&lt;3,"new",AF316&lt;=7,"Experienced",AF316&gt;7,"High")</f>
        <v>High</v>
      </c>
      <c r="AM316" s="1"/>
    </row>
    <row r="317" spans="1:39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  <c r="AJ317" t="str">
        <f t="shared" si="4"/>
        <v>Low</v>
      </c>
      <c r="AK317" t="str" cm="1">
        <f t="array" ref="AK317">_xlfn.IFS(S317&lt;4000,"Low",S317&lt;8000,"Medium",S317&gt;=8000,"High")</f>
        <v>Low</v>
      </c>
      <c r="AL317" t="str" cm="1">
        <f t="array" ref="AL317">_xlfn.IFS(AF317&lt;3,"new",AF317&lt;=7,"Experienced",AF317&gt;7,"High")</f>
        <v>High</v>
      </c>
      <c r="AM317" s="1"/>
    </row>
    <row r="318" spans="1:39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  <c r="AJ318" t="str">
        <f t="shared" si="4"/>
        <v>High</v>
      </c>
      <c r="AK318" t="str" cm="1">
        <f t="array" ref="AK318">_xlfn.IFS(S318&lt;4000,"Low",S318&lt;8000,"Medium",S318&gt;=8000,"High")</f>
        <v>High</v>
      </c>
      <c r="AL318" t="str" cm="1">
        <f t="array" ref="AL318">_xlfn.IFS(AF318&lt;3,"new",AF318&lt;=7,"Experienced",AF318&gt;7,"High")</f>
        <v>Experienced</v>
      </c>
      <c r="AM318" s="1"/>
    </row>
    <row r="319" spans="1:39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  <c r="AJ319" t="str">
        <f t="shared" si="4"/>
        <v>Low</v>
      </c>
      <c r="AK319" t="str" cm="1">
        <f t="array" ref="AK319">_xlfn.IFS(S319&lt;4000,"Low",S319&lt;8000,"Medium",S319&gt;=8000,"High")</f>
        <v>Medium</v>
      </c>
      <c r="AL319" t="str" cm="1">
        <f t="array" ref="AL319">_xlfn.IFS(AF319&lt;3,"new",AF319&lt;=7,"Experienced",AF319&gt;7,"High")</f>
        <v>High</v>
      </c>
      <c r="AM319" s="1"/>
    </row>
    <row r="320" spans="1:39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  <c r="AJ320" t="str">
        <f t="shared" si="4"/>
        <v>Low</v>
      </c>
      <c r="AK320" t="str" cm="1">
        <f t="array" ref="AK320">_xlfn.IFS(S320&lt;4000,"Low",S320&lt;8000,"Medium",S320&gt;=8000,"High")</f>
        <v>Low</v>
      </c>
      <c r="AL320" t="str" cm="1">
        <f t="array" ref="AL320">_xlfn.IFS(AF320&lt;3,"new",AF320&lt;=7,"Experienced",AF320&gt;7,"High")</f>
        <v>Experienced</v>
      </c>
      <c r="AM320" s="1"/>
    </row>
    <row r="321" spans="1:39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  <c r="AJ321" t="str">
        <f t="shared" si="4"/>
        <v>Low</v>
      </c>
      <c r="AK321" t="str" cm="1">
        <f t="array" ref="AK321">_xlfn.IFS(S321&lt;4000,"Low",S321&lt;8000,"Medium",S321&gt;=8000,"High")</f>
        <v>Medium</v>
      </c>
      <c r="AL321" t="str" cm="1">
        <f t="array" ref="AL321">_xlfn.IFS(AF321&lt;3,"new",AF321&lt;=7,"Experienced",AF321&gt;7,"High")</f>
        <v>High</v>
      </c>
      <c r="AM321" s="1"/>
    </row>
    <row r="322" spans="1:39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  <c r="AJ322" t="str">
        <f t="shared" ref="AJ322:AJ385" si="5">IF(S322&gt;=6500,"High","Low")</f>
        <v>Low</v>
      </c>
      <c r="AK322" t="str" cm="1">
        <f t="array" ref="AK322">_xlfn.IFS(S322&lt;4000,"Low",S322&lt;8000,"Medium",S322&gt;=8000,"High")</f>
        <v>Medium</v>
      </c>
      <c r="AL322" t="str" cm="1">
        <f t="array" ref="AL322">_xlfn.IFS(AF322&lt;3,"new",AF322&lt;=7,"Experienced",AF322&gt;7,"High")</f>
        <v>Experienced</v>
      </c>
      <c r="AM322" s="1"/>
    </row>
    <row r="323" spans="1:39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  <c r="AJ323" t="str">
        <f t="shared" si="5"/>
        <v>High</v>
      </c>
      <c r="AK323" t="str" cm="1">
        <f t="array" ref="AK323">_xlfn.IFS(S323&lt;4000,"Low",S323&lt;8000,"Medium",S323&gt;=8000,"High")</f>
        <v>Medium</v>
      </c>
      <c r="AL323" t="str" cm="1">
        <f t="array" ref="AL323">_xlfn.IFS(AF323&lt;3,"new",AF323&lt;=7,"Experienced",AF323&gt;7,"High")</f>
        <v>Experienced</v>
      </c>
      <c r="AM323" s="1"/>
    </row>
    <row r="324" spans="1:39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  <c r="AJ324" t="str">
        <f t="shared" si="5"/>
        <v>Low</v>
      </c>
      <c r="AK324" t="str" cm="1">
        <f t="array" ref="AK324">_xlfn.IFS(S324&lt;4000,"Low",S324&lt;8000,"Medium",S324&gt;=8000,"High")</f>
        <v>Medium</v>
      </c>
      <c r="AL324" t="str" cm="1">
        <f t="array" ref="AL324">_xlfn.IFS(AF324&lt;3,"new",AF324&lt;=7,"Experienced",AF324&gt;7,"High")</f>
        <v>Experienced</v>
      </c>
      <c r="AM324" s="1"/>
    </row>
    <row r="325" spans="1:39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  <c r="AJ325" t="str">
        <f t="shared" si="5"/>
        <v>Low</v>
      </c>
      <c r="AK325" t="str" cm="1">
        <f t="array" ref="AK325">_xlfn.IFS(S325&lt;4000,"Low",S325&lt;8000,"Medium",S325&gt;=8000,"High")</f>
        <v>Low</v>
      </c>
      <c r="AL325" t="str" cm="1">
        <f t="array" ref="AL325">_xlfn.IFS(AF325&lt;3,"new",AF325&lt;=7,"Experienced",AF325&gt;7,"High")</f>
        <v>Experienced</v>
      </c>
      <c r="AM325" s="1"/>
    </row>
    <row r="326" spans="1:39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  <c r="AJ326" t="str">
        <f t="shared" si="5"/>
        <v>Low</v>
      </c>
      <c r="AK326" t="str" cm="1">
        <f t="array" ref="AK326">_xlfn.IFS(S326&lt;4000,"Low",S326&lt;8000,"Medium",S326&gt;=8000,"High")</f>
        <v>Medium</v>
      </c>
      <c r="AL326" t="str" cm="1">
        <f t="array" ref="AL326">_xlfn.IFS(AF326&lt;3,"new",AF326&lt;=7,"Experienced",AF326&gt;7,"High")</f>
        <v>High</v>
      </c>
      <c r="AM326" s="1"/>
    </row>
    <row r="327" spans="1:39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  <c r="AJ327" t="str">
        <f t="shared" si="5"/>
        <v>High</v>
      </c>
      <c r="AK327" t="str" cm="1">
        <f t="array" ref="AK327">_xlfn.IFS(S327&lt;4000,"Low",S327&lt;8000,"Medium",S327&gt;=8000,"High")</f>
        <v>High</v>
      </c>
      <c r="AL327" t="str" cm="1">
        <f t="array" ref="AL327">_xlfn.IFS(AF327&lt;3,"new",AF327&lt;=7,"Experienced",AF327&gt;7,"High")</f>
        <v>High</v>
      </c>
      <c r="AM327" s="1"/>
    </row>
    <row r="328" spans="1:39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  <c r="AJ328" t="str">
        <f t="shared" si="5"/>
        <v>High</v>
      </c>
      <c r="AK328" t="str" cm="1">
        <f t="array" ref="AK328">_xlfn.IFS(S328&lt;4000,"Low",S328&lt;8000,"Medium",S328&gt;=8000,"High")</f>
        <v>High</v>
      </c>
      <c r="AL328" t="str" cm="1">
        <f t="array" ref="AL328">_xlfn.IFS(AF328&lt;3,"new",AF328&lt;=7,"Experienced",AF328&gt;7,"High")</f>
        <v>High</v>
      </c>
      <c r="AM328" s="1"/>
    </row>
    <row r="329" spans="1:39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  <c r="AJ329" t="str">
        <f t="shared" si="5"/>
        <v>Low</v>
      </c>
      <c r="AK329" t="str" cm="1">
        <f t="array" ref="AK329">_xlfn.IFS(S329&lt;4000,"Low",S329&lt;8000,"Medium",S329&gt;=8000,"High")</f>
        <v>Medium</v>
      </c>
      <c r="AL329" t="str" cm="1">
        <f t="array" ref="AL329">_xlfn.IFS(AF329&lt;3,"new",AF329&lt;=7,"Experienced",AF329&gt;7,"High")</f>
        <v>new</v>
      </c>
      <c r="AM329" s="1"/>
    </row>
    <row r="330" spans="1:39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  <c r="AJ330" t="str">
        <f t="shared" si="5"/>
        <v>Low</v>
      </c>
      <c r="AK330" t="str" cm="1">
        <f t="array" ref="AK330">_xlfn.IFS(S330&lt;4000,"Low",S330&lt;8000,"Medium",S330&gt;=8000,"High")</f>
        <v>Medium</v>
      </c>
      <c r="AL330" t="str" cm="1">
        <f t="array" ref="AL330">_xlfn.IFS(AF330&lt;3,"new",AF330&lt;=7,"Experienced",AF330&gt;7,"High")</f>
        <v>Experienced</v>
      </c>
      <c r="AM330" s="1"/>
    </row>
    <row r="331" spans="1:39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  <c r="AJ331" t="str">
        <f t="shared" si="5"/>
        <v>High</v>
      </c>
      <c r="AK331" t="str" cm="1">
        <f t="array" ref="AK331">_xlfn.IFS(S331&lt;4000,"Low",S331&lt;8000,"Medium",S331&gt;=8000,"High")</f>
        <v>High</v>
      </c>
      <c r="AL331" t="str" cm="1">
        <f t="array" ref="AL331">_xlfn.IFS(AF331&lt;3,"new",AF331&lt;=7,"Experienced",AF331&gt;7,"High")</f>
        <v>Experienced</v>
      </c>
      <c r="AM331" s="1"/>
    </row>
    <row r="332" spans="1:39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  <c r="AJ332" t="str">
        <f t="shared" si="5"/>
        <v>Low</v>
      </c>
      <c r="AK332" t="str" cm="1">
        <f t="array" ref="AK332">_xlfn.IFS(S332&lt;4000,"Low",S332&lt;8000,"Medium",S332&gt;=8000,"High")</f>
        <v>Medium</v>
      </c>
      <c r="AL332" t="str" cm="1">
        <f t="array" ref="AL332">_xlfn.IFS(AF332&lt;3,"new",AF332&lt;=7,"Experienced",AF332&gt;7,"High")</f>
        <v>High</v>
      </c>
      <c r="AM332" s="1"/>
    </row>
    <row r="333" spans="1:39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  <c r="AJ333" t="str">
        <f t="shared" si="5"/>
        <v>Low</v>
      </c>
      <c r="AK333" t="str" cm="1">
        <f t="array" ref="AK333">_xlfn.IFS(S333&lt;4000,"Low",S333&lt;8000,"Medium",S333&gt;=8000,"High")</f>
        <v>Medium</v>
      </c>
      <c r="AL333" t="str" cm="1">
        <f t="array" ref="AL333">_xlfn.IFS(AF333&lt;3,"new",AF333&lt;=7,"Experienced",AF333&gt;7,"High")</f>
        <v>Experienced</v>
      </c>
      <c r="AM333" s="1"/>
    </row>
    <row r="334" spans="1:39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  <c r="AJ334" t="str">
        <f t="shared" si="5"/>
        <v>Low</v>
      </c>
      <c r="AK334" t="str" cm="1">
        <f t="array" ref="AK334">_xlfn.IFS(S334&lt;4000,"Low",S334&lt;8000,"Medium",S334&gt;=8000,"High")</f>
        <v>Medium</v>
      </c>
      <c r="AL334" t="str" cm="1">
        <f t="array" ref="AL334">_xlfn.IFS(AF334&lt;3,"new",AF334&lt;=7,"Experienced",AF334&gt;7,"High")</f>
        <v>Experienced</v>
      </c>
      <c r="AM334" s="1"/>
    </row>
    <row r="335" spans="1:39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  <c r="AJ335" t="str">
        <f t="shared" si="5"/>
        <v>High</v>
      </c>
      <c r="AK335" t="str" cm="1">
        <f t="array" ref="AK335">_xlfn.IFS(S335&lt;4000,"Low",S335&lt;8000,"Medium",S335&gt;=8000,"High")</f>
        <v>High</v>
      </c>
      <c r="AL335" t="str" cm="1">
        <f t="array" ref="AL335">_xlfn.IFS(AF335&lt;3,"new",AF335&lt;=7,"Experienced",AF335&gt;7,"High")</f>
        <v>new</v>
      </c>
      <c r="AM335" s="1"/>
    </row>
    <row r="336" spans="1:39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  <c r="AJ336" t="str">
        <f t="shared" si="5"/>
        <v>Low</v>
      </c>
      <c r="AK336" t="str" cm="1">
        <f t="array" ref="AK336">_xlfn.IFS(S336&lt;4000,"Low",S336&lt;8000,"Medium",S336&gt;=8000,"High")</f>
        <v>Low</v>
      </c>
      <c r="AL336" t="str" cm="1">
        <f t="array" ref="AL336">_xlfn.IFS(AF336&lt;3,"new",AF336&lt;=7,"Experienced",AF336&gt;7,"High")</f>
        <v>High</v>
      </c>
      <c r="AM336" s="1"/>
    </row>
    <row r="337" spans="1:39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  <c r="AJ337" t="str">
        <f t="shared" si="5"/>
        <v>High</v>
      </c>
      <c r="AK337" t="str" cm="1">
        <f t="array" ref="AK337">_xlfn.IFS(S337&lt;4000,"Low",S337&lt;8000,"Medium",S337&gt;=8000,"High")</f>
        <v>Medium</v>
      </c>
      <c r="AL337" t="str" cm="1">
        <f t="array" ref="AL337">_xlfn.IFS(AF337&lt;3,"new",AF337&lt;=7,"Experienced",AF337&gt;7,"High")</f>
        <v>Experienced</v>
      </c>
      <c r="AM337" s="1"/>
    </row>
    <row r="338" spans="1:39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  <c r="AJ338" t="str">
        <f t="shared" si="5"/>
        <v>Low</v>
      </c>
      <c r="AK338" t="str" cm="1">
        <f t="array" ref="AK338">_xlfn.IFS(S338&lt;4000,"Low",S338&lt;8000,"Medium",S338&gt;=8000,"High")</f>
        <v>Low</v>
      </c>
      <c r="AL338" t="str" cm="1">
        <f t="array" ref="AL338">_xlfn.IFS(AF338&lt;3,"new",AF338&lt;=7,"Experienced",AF338&gt;7,"High")</f>
        <v>Experienced</v>
      </c>
      <c r="AM338" s="1"/>
    </row>
    <row r="339" spans="1:39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  <c r="AJ339" t="str">
        <f t="shared" si="5"/>
        <v>Low</v>
      </c>
      <c r="AK339" t="str" cm="1">
        <f t="array" ref="AK339">_xlfn.IFS(S339&lt;4000,"Low",S339&lt;8000,"Medium",S339&gt;=8000,"High")</f>
        <v>Low</v>
      </c>
      <c r="AL339" t="str" cm="1">
        <f t="array" ref="AL339">_xlfn.IFS(AF339&lt;3,"new",AF339&lt;=7,"Experienced",AF339&gt;7,"High")</f>
        <v>Experienced</v>
      </c>
      <c r="AM339" s="1"/>
    </row>
    <row r="340" spans="1:39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  <c r="AJ340" t="str">
        <f t="shared" si="5"/>
        <v>Low</v>
      </c>
      <c r="AK340" t="str" cm="1">
        <f t="array" ref="AK340">_xlfn.IFS(S340&lt;4000,"Low",S340&lt;8000,"Medium",S340&gt;=8000,"High")</f>
        <v>Medium</v>
      </c>
      <c r="AL340" t="str" cm="1">
        <f t="array" ref="AL340">_xlfn.IFS(AF340&lt;3,"new",AF340&lt;=7,"Experienced",AF340&gt;7,"High")</f>
        <v>High</v>
      </c>
      <c r="AM340" s="1"/>
    </row>
    <row r="341" spans="1:39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  <c r="AJ341" t="str">
        <f t="shared" si="5"/>
        <v>Low</v>
      </c>
      <c r="AK341" t="str" cm="1">
        <f t="array" ref="AK341">_xlfn.IFS(S341&lt;4000,"Low",S341&lt;8000,"Medium",S341&gt;=8000,"High")</f>
        <v>Medium</v>
      </c>
      <c r="AL341" t="str" cm="1">
        <f t="array" ref="AL341">_xlfn.IFS(AF341&lt;3,"new",AF341&lt;=7,"Experienced",AF341&gt;7,"High")</f>
        <v>High</v>
      </c>
      <c r="AM341" s="1"/>
    </row>
    <row r="342" spans="1:39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  <c r="AJ342" t="str">
        <f t="shared" si="5"/>
        <v>Low</v>
      </c>
      <c r="AK342" t="str" cm="1">
        <f t="array" ref="AK342">_xlfn.IFS(S342&lt;4000,"Low",S342&lt;8000,"Medium",S342&gt;=8000,"High")</f>
        <v>Medium</v>
      </c>
      <c r="AL342" t="str" cm="1">
        <f t="array" ref="AL342">_xlfn.IFS(AF342&lt;3,"new",AF342&lt;=7,"Experienced",AF342&gt;7,"High")</f>
        <v>Experienced</v>
      </c>
      <c r="AM342" s="1"/>
    </row>
    <row r="343" spans="1:39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  <c r="AJ343" t="str">
        <f t="shared" si="5"/>
        <v>High</v>
      </c>
      <c r="AK343" t="str" cm="1">
        <f t="array" ref="AK343">_xlfn.IFS(S343&lt;4000,"Low",S343&lt;8000,"Medium",S343&gt;=8000,"High")</f>
        <v>High</v>
      </c>
      <c r="AL343" t="str" cm="1">
        <f t="array" ref="AL343">_xlfn.IFS(AF343&lt;3,"new",AF343&lt;=7,"Experienced",AF343&gt;7,"High")</f>
        <v>High</v>
      </c>
      <c r="AM343" s="1"/>
    </row>
    <row r="344" spans="1:39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  <c r="AJ344" t="str">
        <f t="shared" si="5"/>
        <v>High</v>
      </c>
      <c r="AK344" t="str" cm="1">
        <f t="array" ref="AK344">_xlfn.IFS(S344&lt;4000,"Low",S344&lt;8000,"Medium",S344&gt;=8000,"High")</f>
        <v>Medium</v>
      </c>
      <c r="AL344" t="str" cm="1">
        <f t="array" ref="AL344">_xlfn.IFS(AF344&lt;3,"new",AF344&lt;=7,"Experienced",AF344&gt;7,"High")</f>
        <v>High</v>
      </c>
      <c r="AM344" s="1"/>
    </row>
    <row r="345" spans="1:39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  <c r="AJ345" t="str">
        <f t="shared" si="5"/>
        <v>High</v>
      </c>
      <c r="AK345" t="str" cm="1">
        <f t="array" ref="AK345">_xlfn.IFS(S345&lt;4000,"Low",S345&lt;8000,"Medium",S345&gt;=8000,"High")</f>
        <v>High</v>
      </c>
      <c r="AL345" t="str" cm="1">
        <f t="array" ref="AL345">_xlfn.IFS(AF345&lt;3,"new",AF345&lt;=7,"Experienced",AF345&gt;7,"High")</f>
        <v>Experienced</v>
      </c>
      <c r="AM345" s="1"/>
    </row>
    <row r="346" spans="1:39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  <c r="AJ346" t="str">
        <f t="shared" si="5"/>
        <v>High</v>
      </c>
      <c r="AK346" t="str" cm="1">
        <f t="array" ref="AK346">_xlfn.IFS(S346&lt;4000,"Low",S346&lt;8000,"Medium",S346&gt;=8000,"High")</f>
        <v>High</v>
      </c>
      <c r="AL346" t="str" cm="1">
        <f t="array" ref="AL346">_xlfn.IFS(AF346&lt;3,"new",AF346&lt;=7,"Experienced",AF346&gt;7,"High")</f>
        <v>High</v>
      </c>
      <c r="AM346" s="1"/>
    </row>
    <row r="347" spans="1:39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  <c r="AJ347" t="str">
        <f t="shared" si="5"/>
        <v>Low</v>
      </c>
      <c r="AK347" t="str" cm="1">
        <f t="array" ref="AK347">_xlfn.IFS(S347&lt;4000,"Low",S347&lt;8000,"Medium",S347&gt;=8000,"High")</f>
        <v>Low</v>
      </c>
      <c r="AL347" t="str" cm="1">
        <f t="array" ref="AL347">_xlfn.IFS(AF347&lt;3,"new",AF347&lt;=7,"Experienced",AF347&gt;7,"High")</f>
        <v>Experienced</v>
      </c>
      <c r="AM347" s="1"/>
    </row>
    <row r="348" spans="1:39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  <c r="AJ348" t="str">
        <f t="shared" si="5"/>
        <v>Low</v>
      </c>
      <c r="AK348" t="str" cm="1">
        <f t="array" ref="AK348">_xlfn.IFS(S348&lt;4000,"Low",S348&lt;8000,"Medium",S348&gt;=8000,"High")</f>
        <v>Medium</v>
      </c>
      <c r="AL348" t="str" cm="1">
        <f t="array" ref="AL348">_xlfn.IFS(AF348&lt;3,"new",AF348&lt;=7,"Experienced",AF348&gt;7,"High")</f>
        <v>Experienced</v>
      </c>
      <c r="AM348" s="1"/>
    </row>
    <row r="349" spans="1:39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  <c r="AJ349" t="str">
        <f t="shared" si="5"/>
        <v>Low</v>
      </c>
      <c r="AK349" t="str" cm="1">
        <f t="array" ref="AK349">_xlfn.IFS(S349&lt;4000,"Low",S349&lt;8000,"Medium",S349&gt;=8000,"High")</f>
        <v>Low</v>
      </c>
      <c r="AL349" t="str" cm="1">
        <f t="array" ref="AL349">_xlfn.IFS(AF349&lt;3,"new",AF349&lt;=7,"Experienced",AF349&gt;7,"High")</f>
        <v>new</v>
      </c>
      <c r="AM349" s="1"/>
    </row>
    <row r="350" spans="1:39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  <c r="AJ350" t="str">
        <f t="shared" si="5"/>
        <v>High</v>
      </c>
      <c r="AK350" t="str" cm="1">
        <f t="array" ref="AK350">_xlfn.IFS(S350&lt;4000,"Low",S350&lt;8000,"Medium",S350&gt;=8000,"High")</f>
        <v>High</v>
      </c>
      <c r="AL350" t="str" cm="1">
        <f t="array" ref="AL350">_xlfn.IFS(AF350&lt;3,"new",AF350&lt;=7,"Experienced",AF350&gt;7,"High")</f>
        <v>new</v>
      </c>
      <c r="AM350" s="1"/>
    </row>
    <row r="351" spans="1:39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  <c r="AJ351" t="str">
        <f t="shared" si="5"/>
        <v>Low</v>
      </c>
      <c r="AK351" t="str" cm="1">
        <f t="array" ref="AK351">_xlfn.IFS(S351&lt;4000,"Low",S351&lt;8000,"Medium",S351&gt;=8000,"High")</f>
        <v>Medium</v>
      </c>
      <c r="AL351" t="str" cm="1">
        <f t="array" ref="AL351">_xlfn.IFS(AF351&lt;3,"new",AF351&lt;=7,"Experienced",AF351&gt;7,"High")</f>
        <v>Experienced</v>
      </c>
      <c r="AM351" s="1"/>
    </row>
    <row r="352" spans="1:39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  <c r="AJ352" t="str">
        <f t="shared" si="5"/>
        <v>Low</v>
      </c>
      <c r="AK352" t="str" cm="1">
        <f t="array" ref="AK352">_xlfn.IFS(S352&lt;4000,"Low",S352&lt;8000,"Medium",S352&gt;=8000,"High")</f>
        <v>Low</v>
      </c>
      <c r="AL352" t="str" cm="1">
        <f t="array" ref="AL352">_xlfn.IFS(AF352&lt;3,"new",AF352&lt;=7,"Experienced",AF352&gt;7,"High")</f>
        <v>Experienced</v>
      </c>
      <c r="AM352" s="1"/>
    </row>
    <row r="353" spans="1:39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  <c r="AJ353" t="str">
        <f t="shared" si="5"/>
        <v>Low</v>
      </c>
      <c r="AK353" t="str" cm="1">
        <f t="array" ref="AK353">_xlfn.IFS(S353&lt;4000,"Low",S353&lt;8000,"Medium",S353&gt;=8000,"High")</f>
        <v>Low</v>
      </c>
      <c r="AL353" t="str" cm="1">
        <f t="array" ref="AL353">_xlfn.IFS(AF353&lt;3,"new",AF353&lt;=7,"Experienced",AF353&gt;7,"High")</f>
        <v>High</v>
      </c>
      <c r="AM353" s="1"/>
    </row>
    <row r="354" spans="1:39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  <c r="AJ354" t="str">
        <f t="shared" si="5"/>
        <v>High</v>
      </c>
      <c r="AK354" t="str" cm="1">
        <f t="array" ref="AK354">_xlfn.IFS(S354&lt;4000,"Low",S354&lt;8000,"Medium",S354&gt;=8000,"High")</f>
        <v>High</v>
      </c>
      <c r="AL354" t="str" cm="1">
        <f t="array" ref="AL354">_xlfn.IFS(AF354&lt;3,"new",AF354&lt;=7,"Experienced",AF354&gt;7,"High")</f>
        <v>new</v>
      </c>
      <c r="AM354" s="1"/>
    </row>
    <row r="355" spans="1:39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  <c r="AJ355" t="str">
        <f t="shared" si="5"/>
        <v>Low</v>
      </c>
      <c r="AK355" t="str" cm="1">
        <f t="array" ref="AK355">_xlfn.IFS(S355&lt;4000,"Low",S355&lt;8000,"Medium",S355&gt;=8000,"High")</f>
        <v>Medium</v>
      </c>
      <c r="AL355" t="str" cm="1">
        <f t="array" ref="AL355">_xlfn.IFS(AF355&lt;3,"new",AF355&lt;=7,"Experienced",AF355&gt;7,"High")</f>
        <v>Experienced</v>
      </c>
      <c r="AM355" s="1"/>
    </row>
    <row r="356" spans="1:39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  <c r="AJ356" t="str">
        <f t="shared" si="5"/>
        <v>Low</v>
      </c>
      <c r="AK356" t="str" cm="1">
        <f t="array" ref="AK356">_xlfn.IFS(S356&lt;4000,"Low",S356&lt;8000,"Medium",S356&gt;=8000,"High")</f>
        <v>Medium</v>
      </c>
      <c r="AL356" t="str" cm="1">
        <f t="array" ref="AL356">_xlfn.IFS(AF356&lt;3,"new",AF356&lt;=7,"Experienced",AF356&gt;7,"High")</f>
        <v>new</v>
      </c>
      <c r="AM356" s="1"/>
    </row>
    <row r="357" spans="1:39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  <c r="AJ357" t="str">
        <f t="shared" si="5"/>
        <v>Low</v>
      </c>
      <c r="AK357" t="str" cm="1">
        <f t="array" ref="AK357">_xlfn.IFS(S357&lt;4000,"Low",S357&lt;8000,"Medium",S357&gt;=8000,"High")</f>
        <v>Medium</v>
      </c>
      <c r="AL357" t="str" cm="1">
        <f t="array" ref="AL357">_xlfn.IFS(AF357&lt;3,"new",AF357&lt;=7,"Experienced",AF357&gt;7,"High")</f>
        <v>High</v>
      </c>
      <c r="AM357" s="1"/>
    </row>
    <row r="358" spans="1:39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  <c r="AJ358" t="str">
        <f t="shared" si="5"/>
        <v>High</v>
      </c>
      <c r="AK358" t="str" cm="1">
        <f t="array" ref="AK358">_xlfn.IFS(S358&lt;4000,"Low",S358&lt;8000,"Medium",S358&gt;=8000,"High")</f>
        <v>Medium</v>
      </c>
      <c r="AL358" t="str" cm="1">
        <f t="array" ref="AL358">_xlfn.IFS(AF358&lt;3,"new",AF358&lt;=7,"Experienced",AF358&gt;7,"High")</f>
        <v>new</v>
      </c>
      <c r="AM358" s="1"/>
    </row>
    <row r="359" spans="1:39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  <c r="AJ359" t="str">
        <f t="shared" si="5"/>
        <v>Low</v>
      </c>
      <c r="AK359" t="str" cm="1">
        <f t="array" ref="AK359">_xlfn.IFS(S359&lt;4000,"Low",S359&lt;8000,"Medium",S359&gt;=8000,"High")</f>
        <v>Low</v>
      </c>
      <c r="AL359" t="str" cm="1">
        <f t="array" ref="AL359">_xlfn.IFS(AF359&lt;3,"new",AF359&lt;=7,"Experienced",AF359&gt;7,"High")</f>
        <v>Experienced</v>
      </c>
      <c r="AM359" s="1"/>
    </row>
    <row r="360" spans="1:39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  <c r="AJ360" t="str">
        <f t="shared" si="5"/>
        <v>High</v>
      </c>
      <c r="AK360" t="str" cm="1">
        <f t="array" ref="AK360">_xlfn.IFS(S360&lt;4000,"Low",S360&lt;8000,"Medium",S360&gt;=8000,"High")</f>
        <v>Medium</v>
      </c>
      <c r="AL360" t="str" cm="1">
        <f t="array" ref="AL360">_xlfn.IFS(AF360&lt;3,"new",AF360&lt;=7,"Experienced",AF360&gt;7,"High")</f>
        <v>new</v>
      </c>
      <c r="AM360" s="1"/>
    </row>
    <row r="361" spans="1:39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  <c r="AJ361" t="str">
        <f t="shared" si="5"/>
        <v>High</v>
      </c>
      <c r="AK361" t="str" cm="1">
        <f t="array" ref="AK361">_xlfn.IFS(S361&lt;4000,"Low",S361&lt;8000,"Medium",S361&gt;=8000,"High")</f>
        <v>High</v>
      </c>
      <c r="AL361" t="str" cm="1">
        <f t="array" ref="AL361">_xlfn.IFS(AF361&lt;3,"new",AF361&lt;=7,"Experienced",AF361&gt;7,"High")</f>
        <v>High</v>
      </c>
      <c r="AM361" s="1"/>
    </row>
    <row r="362" spans="1:39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  <c r="AJ362" t="str">
        <f t="shared" si="5"/>
        <v>High</v>
      </c>
      <c r="AK362" t="str" cm="1">
        <f t="array" ref="AK362">_xlfn.IFS(S362&lt;4000,"Low",S362&lt;8000,"Medium",S362&gt;=8000,"High")</f>
        <v>Medium</v>
      </c>
      <c r="AL362" t="str" cm="1">
        <f t="array" ref="AL362">_xlfn.IFS(AF362&lt;3,"new",AF362&lt;=7,"Experienced",AF362&gt;7,"High")</f>
        <v>Experienced</v>
      </c>
      <c r="AM362" s="1"/>
    </row>
    <row r="363" spans="1:39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  <c r="AJ363" t="str">
        <f t="shared" si="5"/>
        <v>Low</v>
      </c>
      <c r="AK363" t="str" cm="1">
        <f t="array" ref="AK363">_xlfn.IFS(S363&lt;4000,"Low",S363&lt;8000,"Medium",S363&gt;=8000,"High")</f>
        <v>Low</v>
      </c>
      <c r="AL363" t="str" cm="1">
        <f t="array" ref="AL363">_xlfn.IFS(AF363&lt;3,"new",AF363&lt;=7,"Experienced",AF363&gt;7,"High")</f>
        <v>Experienced</v>
      </c>
      <c r="AM363" s="1"/>
    </row>
    <row r="364" spans="1:39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  <c r="AJ364" t="str">
        <f t="shared" si="5"/>
        <v>Low</v>
      </c>
      <c r="AK364" t="str" cm="1">
        <f t="array" ref="AK364">_xlfn.IFS(S364&lt;4000,"Low",S364&lt;8000,"Medium",S364&gt;=8000,"High")</f>
        <v>Low</v>
      </c>
      <c r="AL364" t="str" cm="1">
        <f t="array" ref="AL364">_xlfn.IFS(AF364&lt;3,"new",AF364&lt;=7,"Experienced",AF364&gt;7,"High")</f>
        <v>Experienced</v>
      </c>
      <c r="AM364" s="1"/>
    </row>
    <row r="365" spans="1:39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  <c r="AJ365" t="str">
        <f t="shared" si="5"/>
        <v>Low</v>
      </c>
      <c r="AK365" t="str" cm="1">
        <f t="array" ref="AK365">_xlfn.IFS(S365&lt;4000,"Low",S365&lt;8000,"Medium",S365&gt;=8000,"High")</f>
        <v>Low</v>
      </c>
      <c r="AL365" t="str" cm="1">
        <f t="array" ref="AL365">_xlfn.IFS(AF365&lt;3,"new",AF365&lt;=7,"Experienced",AF365&gt;7,"High")</f>
        <v>new</v>
      </c>
      <c r="AM365" s="1"/>
    </row>
    <row r="366" spans="1:39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  <c r="AJ366" t="str">
        <f t="shared" si="5"/>
        <v>Low</v>
      </c>
      <c r="AK366" t="str" cm="1">
        <f t="array" ref="AK366">_xlfn.IFS(S366&lt;4000,"Low",S366&lt;8000,"Medium",S366&gt;=8000,"High")</f>
        <v>Low</v>
      </c>
      <c r="AL366" t="str" cm="1">
        <f t="array" ref="AL366">_xlfn.IFS(AF366&lt;3,"new",AF366&lt;=7,"Experienced",AF366&gt;7,"High")</f>
        <v>Experienced</v>
      </c>
      <c r="AM366" s="1"/>
    </row>
    <row r="367" spans="1:39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  <c r="AJ367" t="str">
        <f t="shared" si="5"/>
        <v>Low</v>
      </c>
      <c r="AK367" t="str" cm="1">
        <f t="array" ref="AK367">_xlfn.IFS(S367&lt;4000,"Low",S367&lt;8000,"Medium",S367&gt;=8000,"High")</f>
        <v>Medium</v>
      </c>
      <c r="AL367" t="str" cm="1">
        <f t="array" ref="AL367">_xlfn.IFS(AF367&lt;3,"new",AF367&lt;=7,"Experienced",AF367&gt;7,"High")</f>
        <v>new</v>
      </c>
      <c r="AM367" s="1"/>
    </row>
    <row r="368" spans="1:39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  <c r="AJ368" t="str">
        <f t="shared" si="5"/>
        <v>High</v>
      </c>
      <c r="AK368" t="str" cm="1">
        <f t="array" ref="AK368">_xlfn.IFS(S368&lt;4000,"Low",S368&lt;8000,"Medium",S368&gt;=8000,"High")</f>
        <v>High</v>
      </c>
      <c r="AL368" t="str" cm="1">
        <f t="array" ref="AL368">_xlfn.IFS(AF368&lt;3,"new",AF368&lt;=7,"Experienced",AF368&gt;7,"High")</f>
        <v>High</v>
      </c>
      <c r="AM368" s="1"/>
    </row>
    <row r="369" spans="1:39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  <c r="AJ369" t="str">
        <f t="shared" si="5"/>
        <v>High</v>
      </c>
      <c r="AK369" t="str" cm="1">
        <f t="array" ref="AK369">_xlfn.IFS(S369&lt;4000,"Low",S369&lt;8000,"Medium",S369&gt;=8000,"High")</f>
        <v>High</v>
      </c>
      <c r="AL369" t="str" cm="1">
        <f t="array" ref="AL369">_xlfn.IFS(AF369&lt;3,"new",AF369&lt;=7,"Experienced",AF369&gt;7,"High")</f>
        <v>Experienced</v>
      </c>
      <c r="AM369" s="1"/>
    </row>
    <row r="370" spans="1:39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  <c r="AJ370" t="str">
        <f t="shared" si="5"/>
        <v>Low</v>
      </c>
      <c r="AK370" t="str" cm="1">
        <f t="array" ref="AK370">_xlfn.IFS(S370&lt;4000,"Low",S370&lt;8000,"Medium",S370&gt;=8000,"High")</f>
        <v>Medium</v>
      </c>
      <c r="AL370" t="str" cm="1">
        <f t="array" ref="AL370">_xlfn.IFS(AF370&lt;3,"new",AF370&lt;=7,"Experienced",AF370&gt;7,"High")</f>
        <v>Experienced</v>
      </c>
      <c r="AM370" s="1"/>
    </row>
    <row r="371" spans="1:39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  <c r="AJ371" t="str">
        <f t="shared" si="5"/>
        <v>Low</v>
      </c>
      <c r="AK371" t="str" cm="1">
        <f t="array" ref="AK371">_xlfn.IFS(S371&lt;4000,"Low",S371&lt;8000,"Medium",S371&gt;=8000,"High")</f>
        <v>Low</v>
      </c>
      <c r="AL371" t="str" cm="1">
        <f t="array" ref="AL371">_xlfn.IFS(AF371&lt;3,"new",AF371&lt;=7,"Experienced",AF371&gt;7,"High")</f>
        <v>new</v>
      </c>
      <c r="AM371" s="1"/>
    </row>
    <row r="372" spans="1:39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  <c r="AJ372" t="str">
        <f t="shared" si="5"/>
        <v>Low</v>
      </c>
      <c r="AK372" t="str" cm="1">
        <f t="array" ref="AK372">_xlfn.IFS(S372&lt;4000,"Low",S372&lt;8000,"Medium",S372&gt;=8000,"High")</f>
        <v>Low</v>
      </c>
      <c r="AL372" t="str" cm="1">
        <f t="array" ref="AL372">_xlfn.IFS(AF372&lt;3,"new",AF372&lt;=7,"Experienced",AF372&gt;7,"High")</f>
        <v>new</v>
      </c>
      <c r="AM372" s="1"/>
    </row>
    <row r="373" spans="1:39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  <c r="AJ373" t="str">
        <f t="shared" si="5"/>
        <v>Low</v>
      </c>
      <c r="AK373" t="str" cm="1">
        <f t="array" ref="AK373">_xlfn.IFS(S373&lt;4000,"Low",S373&lt;8000,"Medium",S373&gt;=8000,"High")</f>
        <v>Low</v>
      </c>
      <c r="AL373" t="str" cm="1">
        <f t="array" ref="AL373">_xlfn.IFS(AF373&lt;3,"new",AF373&lt;=7,"Experienced",AF373&gt;7,"High")</f>
        <v>Experienced</v>
      </c>
      <c r="AM373" s="1"/>
    </row>
    <row r="374" spans="1:39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  <c r="AJ374" t="str">
        <f t="shared" si="5"/>
        <v>High</v>
      </c>
      <c r="AK374" t="str" cm="1">
        <f t="array" ref="AK374">_xlfn.IFS(S374&lt;4000,"Low",S374&lt;8000,"Medium",S374&gt;=8000,"High")</f>
        <v>Medium</v>
      </c>
      <c r="AL374" t="str" cm="1">
        <f t="array" ref="AL374">_xlfn.IFS(AF374&lt;3,"new",AF374&lt;=7,"Experienced",AF374&gt;7,"High")</f>
        <v>new</v>
      </c>
      <c r="AM374" s="1"/>
    </row>
    <row r="375" spans="1:39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  <c r="AJ375" t="str">
        <f t="shared" si="5"/>
        <v>Low</v>
      </c>
      <c r="AK375" t="str" cm="1">
        <f t="array" ref="AK375">_xlfn.IFS(S375&lt;4000,"Low",S375&lt;8000,"Medium",S375&gt;=8000,"High")</f>
        <v>Low</v>
      </c>
      <c r="AL375" t="str" cm="1">
        <f t="array" ref="AL375">_xlfn.IFS(AF375&lt;3,"new",AF375&lt;=7,"Experienced",AF375&gt;7,"High")</f>
        <v>Experienced</v>
      </c>
      <c r="AM375" s="1"/>
    </row>
    <row r="376" spans="1:39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  <c r="AJ376" t="str">
        <f t="shared" si="5"/>
        <v>Low</v>
      </c>
      <c r="AK376" t="str" cm="1">
        <f t="array" ref="AK376">_xlfn.IFS(S376&lt;4000,"Low",S376&lt;8000,"Medium",S376&gt;=8000,"High")</f>
        <v>Medium</v>
      </c>
      <c r="AL376" t="str" cm="1">
        <f t="array" ref="AL376">_xlfn.IFS(AF376&lt;3,"new",AF376&lt;=7,"Experienced",AF376&gt;7,"High")</f>
        <v>Experienced</v>
      </c>
      <c r="AM376" s="1"/>
    </row>
    <row r="377" spans="1:39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  <c r="AJ377" t="str">
        <f t="shared" si="5"/>
        <v>High</v>
      </c>
      <c r="AK377" t="str" cm="1">
        <f t="array" ref="AK377">_xlfn.IFS(S377&lt;4000,"Low",S377&lt;8000,"Medium",S377&gt;=8000,"High")</f>
        <v>High</v>
      </c>
      <c r="AL377" t="str" cm="1">
        <f t="array" ref="AL377">_xlfn.IFS(AF377&lt;3,"new",AF377&lt;=7,"Experienced",AF377&gt;7,"High")</f>
        <v>Experienced</v>
      </c>
      <c r="AM377" s="1"/>
    </row>
    <row r="378" spans="1:39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  <c r="AJ378" t="str">
        <f t="shared" si="5"/>
        <v>Low</v>
      </c>
      <c r="AK378" t="str" cm="1">
        <f t="array" ref="AK378">_xlfn.IFS(S378&lt;4000,"Low",S378&lt;8000,"Medium",S378&gt;=8000,"High")</f>
        <v>Medium</v>
      </c>
      <c r="AL378" t="str" cm="1">
        <f t="array" ref="AL378">_xlfn.IFS(AF378&lt;3,"new",AF378&lt;=7,"Experienced",AF378&gt;7,"High")</f>
        <v>Experienced</v>
      </c>
      <c r="AM378" s="1"/>
    </row>
    <row r="379" spans="1:39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  <c r="AJ379" t="str">
        <f t="shared" si="5"/>
        <v>Low</v>
      </c>
      <c r="AK379" t="str" cm="1">
        <f t="array" ref="AK379">_xlfn.IFS(S379&lt;4000,"Low",S379&lt;8000,"Medium",S379&gt;=8000,"High")</f>
        <v>Low</v>
      </c>
      <c r="AL379" t="str" cm="1">
        <f t="array" ref="AL379">_xlfn.IFS(AF379&lt;3,"new",AF379&lt;=7,"Experienced",AF379&gt;7,"High")</f>
        <v>new</v>
      </c>
      <c r="AM379" s="1"/>
    </row>
    <row r="380" spans="1:39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  <c r="AJ380" t="str">
        <f t="shared" si="5"/>
        <v>Low</v>
      </c>
      <c r="AK380" t="str" cm="1">
        <f t="array" ref="AK380">_xlfn.IFS(S380&lt;4000,"Low",S380&lt;8000,"Medium",S380&gt;=8000,"High")</f>
        <v>Medium</v>
      </c>
      <c r="AL380" t="str" cm="1">
        <f t="array" ref="AL380">_xlfn.IFS(AF380&lt;3,"new",AF380&lt;=7,"Experienced",AF380&gt;7,"High")</f>
        <v>Experienced</v>
      </c>
      <c r="AM380" s="1"/>
    </row>
    <row r="381" spans="1:39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  <c r="AJ381" t="str">
        <f t="shared" si="5"/>
        <v>High</v>
      </c>
      <c r="AK381" t="str" cm="1">
        <f t="array" ref="AK381">_xlfn.IFS(S381&lt;4000,"Low",S381&lt;8000,"Medium",S381&gt;=8000,"High")</f>
        <v>High</v>
      </c>
      <c r="AL381" t="str" cm="1">
        <f t="array" ref="AL381">_xlfn.IFS(AF381&lt;3,"new",AF381&lt;=7,"Experienced",AF381&gt;7,"High")</f>
        <v>Experienced</v>
      </c>
      <c r="AM381" s="1"/>
    </row>
    <row r="382" spans="1:39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  <c r="AJ382" t="str">
        <f t="shared" si="5"/>
        <v>Low</v>
      </c>
      <c r="AK382" t="str" cm="1">
        <f t="array" ref="AK382">_xlfn.IFS(S382&lt;4000,"Low",S382&lt;8000,"Medium",S382&gt;=8000,"High")</f>
        <v>Medium</v>
      </c>
      <c r="AL382" t="str" cm="1">
        <f t="array" ref="AL382">_xlfn.IFS(AF382&lt;3,"new",AF382&lt;=7,"Experienced",AF382&gt;7,"High")</f>
        <v>Experienced</v>
      </c>
      <c r="AM382" s="1"/>
    </row>
    <row r="383" spans="1:39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  <c r="AJ383" t="str">
        <f t="shared" si="5"/>
        <v>Low</v>
      </c>
      <c r="AK383" t="str" cm="1">
        <f t="array" ref="AK383">_xlfn.IFS(S383&lt;4000,"Low",S383&lt;8000,"Medium",S383&gt;=8000,"High")</f>
        <v>Low</v>
      </c>
      <c r="AL383" t="str" cm="1">
        <f t="array" ref="AL383">_xlfn.IFS(AF383&lt;3,"new",AF383&lt;=7,"Experienced",AF383&gt;7,"High")</f>
        <v>new</v>
      </c>
      <c r="AM383" s="1"/>
    </row>
    <row r="384" spans="1:39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  <c r="AJ384" t="str">
        <f t="shared" si="5"/>
        <v>Low</v>
      </c>
      <c r="AK384" t="str" cm="1">
        <f t="array" ref="AK384">_xlfn.IFS(S384&lt;4000,"Low",S384&lt;8000,"Medium",S384&gt;=8000,"High")</f>
        <v>Low</v>
      </c>
      <c r="AL384" t="str" cm="1">
        <f t="array" ref="AL384">_xlfn.IFS(AF384&lt;3,"new",AF384&lt;=7,"Experienced",AF384&gt;7,"High")</f>
        <v>Experienced</v>
      </c>
      <c r="AM384" s="1"/>
    </row>
    <row r="385" spans="1:39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  <c r="AJ385" t="str">
        <f t="shared" si="5"/>
        <v>Low</v>
      </c>
      <c r="AK385" t="str" cm="1">
        <f t="array" ref="AK385">_xlfn.IFS(S385&lt;4000,"Low",S385&lt;8000,"Medium",S385&gt;=8000,"High")</f>
        <v>Low</v>
      </c>
      <c r="AL385" t="str" cm="1">
        <f t="array" ref="AL385">_xlfn.IFS(AF385&lt;3,"new",AF385&lt;=7,"Experienced",AF385&gt;7,"High")</f>
        <v>new</v>
      </c>
      <c r="AM385" s="1"/>
    </row>
    <row r="386" spans="1:39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  <c r="AJ386" t="str">
        <f t="shared" ref="AJ386:AJ449" si="6">IF(S386&gt;=6500,"High","Low")</f>
        <v>High</v>
      </c>
      <c r="AK386" t="str" cm="1">
        <f t="array" ref="AK386">_xlfn.IFS(S386&lt;4000,"Low",S386&lt;8000,"Medium",S386&gt;=8000,"High")</f>
        <v>Medium</v>
      </c>
      <c r="AL386" t="str" cm="1">
        <f t="array" ref="AL386">_xlfn.IFS(AF386&lt;3,"new",AF386&lt;=7,"Experienced",AF386&gt;7,"High")</f>
        <v>High</v>
      </c>
      <c r="AM386" s="1"/>
    </row>
    <row r="387" spans="1:39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  <c r="AJ387" t="str">
        <f t="shared" si="6"/>
        <v>Low</v>
      </c>
      <c r="AK387" t="str" cm="1">
        <f t="array" ref="AK387">_xlfn.IFS(S387&lt;4000,"Low",S387&lt;8000,"Medium",S387&gt;=8000,"High")</f>
        <v>Low</v>
      </c>
      <c r="AL387" t="str" cm="1">
        <f t="array" ref="AL387">_xlfn.IFS(AF387&lt;3,"new",AF387&lt;=7,"Experienced",AF387&gt;7,"High")</f>
        <v>new</v>
      </c>
      <c r="AM387" s="1"/>
    </row>
    <row r="388" spans="1:39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  <c r="AJ388" t="str">
        <f t="shared" si="6"/>
        <v>Low</v>
      </c>
      <c r="AK388" t="str" cm="1">
        <f t="array" ref="AK388">_xlfn.IFS(S388&lt;4000,"Low",S388&lt;8000,"Medium",S388&gt;=8000,"High")</f>
        <v>Low</v>
      </c>
      <c r="AL388" t="str" cm="1">
        <f t="array" ref="AL388">_xlfn.IFS(AF388&lt;3,"new",AF388&lt;=7,"Experienced",AF388&gt;7,"High")</f>
        <v>High</v>
      </c>
      <c r="AM388" s="1"/>
    </row>
    <row r="389" spans="1:39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  <c r="AJ389" t="str">
        <f t="shared" si="6"/>
        <v>Low</v>
      </c>
      <c r="AK389" t="str" cm="1">
        <f t="array" ref="AK389">_xlfn.IFS(S389&lt;4000,"Low",S389&lt;8000,"Medium",S389&gt;=8000,"High")</f>
        <v>Medium</v>
      </c>
      <c r="AL389" t="str" cm="1">
        <f t="array" ref="AL389">_xlfn.IFS(AF389&lt;3,"new",AF389&lt;=7,"Experienced",AF389&gt;7,"High")</f>
        <v>Experienced</v>
      </c>
      <c r="AM389" s="1"/>
    </row>
    <row r="390" spans="1:39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  <c r="AJ390" t="str">
        <f t="shared" si="6"/>
        <v>Low</v>
      </c>
      <c r="AK390" t="str" cm="1">
        <f t="array" ref="AK390">_xlfn.IFS(S390&lt;4000,"Low",S390&lt;8000,"Medium",S390&gt;=8000,"High")</f>
        <v>Low</v>
      </c>
      <c r="AL390" t="str" cm="1">
        <f t="array" ref="AL390">_xlfn.IFS(AF390&lt;3,"new",AF390&lt;=7,"Experienced",AF390&gt;7,"High")</f>
        <v>Experienced</v>
      </c>
      <c r="AM390" s="1"/>
    </row>
    <row r="391" spans="1:39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  <c r="AJ391" t="str">
        <f t="shared" si="6"/>
        <v>Low</v>
      </c>
      <c r="AK391" t="str" cm="1">
        <f t="array" ref="AK391">_xlfn.IFS(S391&lt;4000,"Low",S391&lt;8000,"Medium",S391&gt;=8000,"High")</f>
        <v>Medium</v>
      </c>
      <c r="AL391" t="str" cm="1">
        <f t="array" ref="AL391">_xlfn.IFS(AF391&lt;3,"new",AF391&lt;=7,"Experienced",AF391&gt;7,"High")</f>
        <v>new</v>
      </c>
      <c r="AM391" s="1"/>
    </row>
    <row r="392" spans="1:39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  <c r="AJ392" t="str">
        <f t="shared" si="6"/>
        <v>High</v>
      </c>
      <c r="AK392" t="str" cm="1">
        <f t="array" ref="AK392">_xlfn.IFS(S392&lt;4000,"Low",S392&lt;8000,"Medium",S392&gt;=8000,"High")</f>
        <v>High</v>
      </c>
      <c r="AL392" t="str" cm="1">
        <f t="array" ref="AL392">_xlfn.IFS(AF392&lt;3,"new",AF392&lt;=7,"Experienced",AF392&gt;7,"High")</f>
        <v>High</v>
      </c>
      <c r="AM392" s="1"/>
    </row>
    <row r="393" spans="1:39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  <c r="AJ393" t="str">
        <f t="shared" si="6"/>
        <v>Low</v>
      </c>
      <c r="AK393" t="str" cm="1">
        <f t="array" ref="AK393">_xlfn.IFS(S393&lt;4000,"Low",S393&lt;8000,"Medium",S393&gt;=8000,"High")</f>
        <v>Low</v>
      </c>
      <c r="AL393" t="str" cm="1">
        <f t="array" ref="AL393">_xlfn.IFS(AF393&lt;3,"new",AF393&lt;=7,"Experienced",AF393&gt;7,"High")</f>
        <v>new</v>
      </c>
      <c r="AM393" s="1"/>
    </row>
    <row r="394" spans="1:39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  <c r="AJ394" t="str">
        <f t="shared" si="6"/>
        <v>High</v>
      </c>
      <c r="AK394" t="str" cm="1">
        <f t="array" ref="AK394">_xlfn.IFS(S394&lt;4000,"Low",S394&lt;8000,"Medium",S394&gt;=8000,"High")</f>
        <v>High</v>
      </c>
      <c r="AL394" t="str" cm="1">
        <f t="array" ref="AL394">_xlfn.IFS(AF394&lt;3,"new",AF394&lt;=7,"Experienced",AF394&gt;7,"High")</f>
        <v>Experienced</v>
      </c>
      <c r="AM394" s="1"/>
    </row>
    <row r="395" spans="1:39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  <c r="AJ395" t="str">
        <f t="shared" si="6"/>
        <v>High</v>
      </c>
      <c r="AK395" t="str" cm="1">
        <f t="array" ref="AK395">_xlfn.IFS(S395&lt;4000,"Low",S395&lt;8000,"Medium",S395&gt;=8000,"High")</f>
        <v>Medium</v>
      </c>
      <c r="AL395" t="str" cm="1">
        <f t="array" ref="AL395">_xlfn.IFS(AF395&lt;3,"new",AF395&lt;=7,"Experienced",AF395&gt;7,"High")</f>
        <v>Experienced</v>
      </c>
      <c r="AM395" s="1"/>
    </row>
    <row r="396" spans="1:39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  <c r="AJ396" t="str">
        <f t="shared" si="6"/>
        <v>Low</v>
      </c>
      <c r="AK396" t="str" cm="1">
        <f t="array" ref="AK396">_xlfn.IFS(S396&lt;4000,"Low",S396&lt;8000,"Medium",S396&gt;=8000,"High")</f>
        <v>Medium</v>
      </c>
      <c r="AL396" t="str" cm="1">
        <f t="array" ref="AL396">_xlfn.IFS(AF396&lt;3,"new",AF396&lt;=7,"Experienced",AF396&gt;7,"High")</f>
        <v>High</v>
      </c>
      <c r="AM396" s="1"/>
    </row>
    <row r="397" spans="1:39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  <c r="AJ397" t="str">
        <f t="shared" si="6"/>
        <v>Low</v>
      </c>
      <c r="AK397" t="str" cm="1">
        <f t="array" ref="AK397">_xlfn.IFS(S397&lt;4000,"Low",S397&lt;8000,"Medium",S397&gt;=8000,"High")</f>
        <v>Low</v>
      </c>
      <c r="AL397" t="str" cm="1">
        <f t="array" ref="AL397">_xlfn.IFS(AF397&lt;3,"new",AF397&lt;=7,"Experienced",AF397&gt;7,"High")</f>
        <v>Experienced</v>
      </c>
      <c r="AM397" s="1"/>
    </row>
    <row r="398" spans="1:39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  <c r="AJ398" t="str">
        <f t="shared" si="6"/>
        <v>Low</v>
      </c>
      <c r="AK398" t="str" cm="1">
        <f t="array" ref="AK398">_xlfn.IFS(S398&lt;4000,"Low",S398&lt;8000,"Medium",S398&gt;=8000,"High")</f>
        <v>Medium</v>
      </c>
      <c r="AL398" t="str" cm="1">
        <f t="array" ref="AL398">_xlfn.IFS(AF398&lt;3,"new",AF398&lt;=7,"Experienced",AF398&gt;7,"High")</f>
        <v>Experienced</v>
      </c>
      <c r="AM398" s="1"/>
    </row>
    <row r="399" spans="1:39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  <c r="AJ399" t="str">
        <f t="shared" si="6"/>
        <v>Low</v>
      </c>
      <c r="AK399" t="str" cm="1">
        <f t="array" ref="AK399">_xlfn.IFS(S399&lt;4000,"Low",S399&lt;8000,"Medium",S399&gt;=8000,"High")</f>
        <v>Medium</v>
      </c>
      <c r="AL399" t="str" cm="1">
        <f t="array" ref="AL399">_xlfn.IFS(AF399&lt;3,"new",AF399&lt;=7,"Experienced",AF399&gt;7,"High")</f>
        <v>Experienced</v>
      </c>
      <c r="AM399" s="1"/>
    </row>
    <row r="400" spans="1:39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  <c r="AJ400" t="str">
        <f t="shared" si="6"/>
        <v>Low</v>
      </c>
      <c r="AK400" t="str" cm="1">
        <f t="array" ref="AK400">_xlfn.IFS(S400&lt;4000,"Low",S400&lt;8000,"Medium",S400&gt;=8000,"High")</f>
        <v>Medium</v>
      </c>
      <c r="AL400" t="str" cm="1">
        <f t="array" ref="AL400">_xlfn.IFS(AF400&lt;3,"new",AF400&lt;=7,"Experienced",AF400&gt;7,"High")</f>
        <v>High</v>
      </c>
      <c r="AM400" s="1"/>
    </row>
    <row r="401" spans="1:39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  <c r="AJ401" t="str">
        <f t="shared" si="6"/>
        <v>Low</v>
      </c>
      <c r="AK401" t="str" cm="1">
        <f t="array" ref="AK401">_xlfn.IFS(S401&lt;4000,"Low",S401&lt;8000,"Medium",S401&gt;=8000,"High")</f>
        <v>Low</v>
      </c>
      <c r="AL401" t="str" cm="1">
        <f t="array" ref="AL401">_xlfn.IFS(AF401&lt;3,"new",AF401&lt;=7,"Experienced",AF401&gt;7,"High")</f>
        <v>Experienced</v>
      </c>
      <c r="AM401" s="1"/>
    </row>
    <row r="402" spans="1:39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  <c r="AJ402" t="str">
        <f t="shared" si="6"/>
        <v>High</v>
      </c>
      <c r="AK402" t="str" cm="1">
        <f t="array" ref="AK402">_xlfn.IFS(S402&lt;4000,"Low",S402&lt;8000,"Medium",S402&gt;=8000,"High")</f>
        <v>High</v>
      </c>
      <c r="AL402" t="str" cm="1">
        <f t="array" ref="AL402">_xlfn.IFS(AF402&lt;3,"new",AF402&lt;=7,"Experienced",AF402&gt;7,"High")</f>
        <v>High</v>
      </c>
      <c r="AM402" s="1"/>
    </row>
    <row r="403" spans="1:39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  <c r="AJ403" t="str">
        <f t="shared" si="6"/>
        <v>High</v>
      </c>
      <c r="AK403" t="str" cm="1">
        <f t="array" ref="AK403">_xlfn.IFS(S403&lt;4000,"Low",S403&lt;8000,"Medium",S403&gt;=8000,"High")</f>
        <v>High</v>
      </c>
      <c r="AL403" t="str" cm="1">
        <f t="array" ref="AL403">_xlfn.IFS(AF403&lt;3,"new",AF403&lt;=7,"Experienced",AF403&gt;7,"High")</f>
        <v>Experienced</v>
      </c>
      <c r="AM403" s="1"/>
    </row>
    <row r="404" spans="1:39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  <c r="AJ404" t="str">
        <f t="shared" si="6"/>
        <v>High</v>
      </c>
      <c r="AK404" t="str" cm="1">
        <f t="array" ref="AK404">_xlfn.IFS(S404&lt;4000,"Low",S404&lt;8000,"Medium",S404&gt;=8000,"High")</f>
        <v>Medium</v>
      </c>
      <c r="AL404" t="str" cm="1">
        <f t="array" ref="AL404">_xlfn.IFS(AF404&lt;3,"new",AF404&lt;=7,"Experienced",AF404&gt;7,"High")</f>
        <v>Experienced</v>
      </c>
      <c r="AM404" s="1"/>
    </row>
    <row r="405" spans="1:39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  <c r="AJ405" t="str">
        <f t="shared" si="6"/>
        <v>High</v>
      </c>
      <c r="AK405" t="str" cm="1">
        <f t="array" ref="AK405">_xlfn.IFS(S405&lt;4000,"Low",S405&lt;8000,"Medium",S405&gt;=8000,"High")</f>
        <v>High</v>
      </c>
      <c r="AL405" t="str" cm="1">
        <f t="array" ref="AL405">_xlfn.IFS(AF405&lt;3,"new",AF405&lt;=7,"Experienced",AF405&gt;7,"High")</f>
        <v>High</v>
      </c>
      <c r="AM405" s="1"/>
    </row>
    <row r="406" spans="1:39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  <c r="AJ406" t="str">
        <f t="shared" si="6"/>
        <v>Low</v>
      </c>
      <c r="AK406" t="str" cm="1">
        <f t="array" ref="AK406">_xlfn.IFS(S406&lt;4000,"Low",S406&lt;8000,"Medium",S406&gt;=8000,"High")</f>
        <v>Medium</v>
      </c>
      <c r="AL406" t="str" cm="1">
        <f t="array" ref="AL406">_xlfn.IFS(AF406&lt;3,"new",AF406&lt;=7,"Experienced",AF406&gt;7,"High")</f>
        <v>High</v>
      </c>
      <c r="AM406" s="1"/>
    </row>
    <row r="407" spans="1:39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  <c r="AJ407" t="str">
        <f t="shared" si="6"/>
        <v>Low</v>
      </c>
      <c r="AK407" t="str" cm="1">
        <f t="array" ref="AK407">_xlfn.IFS(S407&lt;4000,"Low",S407&lt;8000,"Medium",S407&gt;=8000,"High")</f>
        <v>Medium</v>
      </c>
      <c r="AL407" t="str" cm="1">
        <f t="array" ref="AL407">_xlfn.IFS(AF407&lt;3,"new",AF407&lt;=7,"Experienced",AF407&gt;7,"High")</f>
        <v>new</v>
      </c>
      <c r="AM407" s="1"/>
    </row>
    <row r="408" spans="1:39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  <c r="AJ408" t="str">
        <f t="shared" si="6"/>
        <v>High</v>
      </c>
      <c r="AK408" t="str" cm="1">
        <f t="array" ref="AK408">_xlfn.IFS(S408&lt;4000,"Low",S408&lt;8000,"Medium",S408&gt;=8000,"High")</f>
        <v>Medium</v>
      </c>
      <c r="AL408" t="str" cm="1">
        <f t="array" ref="AL408">_xlfn.IFS(AF408&lt;3,"new",AF408&lt;=7,"Experienced",AF408&gt;7,"High")</f>
        <v>Experienced</v>
      </c>
      <c r="AM408" s="1"/>
    </row>
    <row r="409" spans="1:39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  <c r="AJ409" t="str">
        <f t="shared" si="6"/>
        <v>Low</v>
      </c>
      <c r="AK409" t="str" cm="1">
        <f t="array" ref="AK409">_xlfn.IFS(S409&lt;4000,"Low",S409&lt;8000,"Medium",S409&gt;=8000,"High")</f>
        <v>Low</v>
      </c>
      <c r="AL409" t="str" cm="1">
        <f t="array" ref="AL409">_xlfn.IFS(AF409&lt;3,"new",AF409&lt;=7,"Experienced",AF409&gt;7,"High")</f>
        <v>new</v>
      </c>
      <c r="AM409" s="1"/>
    </row>
    <row r="410" spans="1:39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  <c r="AJ410" t="str">
        <f t="shared" si="6"/>
        <v>High</v>
      </c>
      <c r="AK410" t="str" cm="1">
        <f t="array" ref="AK410">_xlfn.IFS(S410&lt;4000,"Low",S410&lt;8000,"Medium",S410&gt;=8000,"High")</f>
        <v>High</v>
      </c>
      <c r="AL410" t="str" cm="1">
        <f t="array" ref="AL410">_xlfn.IFS(AF410&lt;3,"new",AF410&lt;=7,"Experienced",AF410&gt;7,"High")</f>
        <v>Experienced</v>
      </c>
      <c r="AM410" s="1"/>
    </row>
    <row r="411" spans="1:39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  <c r="AJ411" t="str">
        <f t="shared" si="6"/>
        <v>Low</v>
      </c>
      <c r="AK411" t="str" cm="1">
        <f t="array" ref="AK411">_xlfn.IFS(S411&lt;4000,"Low",S411&lt;8000,"Medium",S411&gt;=8000,"High")</f>
        <v>Medium</v>
      </c>
      <c r="AL411" t="str" cm="1">
        <f t="array" ref="AL411">_xlfn.IFS(AF411&lt;3,"new",AF411&lt;=7,"Experienced",AF411&gt;7,"High")</f>
        <v>Experienced</v>
      </c>
      <c r="AM411" s="1"/>
    </row>
    <row r="412" spans="1:39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  <c r="AJ412" t="str">
        <f t="shared" si="6"/>
        <v>Low</v>
      </c>
      <c r="AK412" t="str" cm="1">
        <f t="array" ref="AK412">_xlfn.IFS(S412&lt;4000,"Low",S412&lt;8000,"Medium",S412&gt;=8000,"High")</f>
        <v>Medium</v>
      </c>
      <c r="AL412" t="str" cm="1">
        <f t="array" ref="AL412">_xlfn.IFS(AF412&lt;3,"new",AF412&lt;=7,"Experienced",AF412&gt;7,"High")</f>
        <v>Experienced</v>
      </c>
      <c r="AM412" s="1"/>
    </row>
    <row r="413" spans="1:39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  <c r="AJ413" t="str">
        <f t="shared" si="6"/>
        <v>High</v>
      </c>
      <c r="AK413" t="str" cm="1">
        <f t="array" ref="AK413">_xlfn.IFS(S413&lt;4000,"Low",S413&lt;8000,"Medium",S413&gt;=8000,"High")</f>
        <v>High</v>
      </c>
      <c r="AL413" t="str" cm="1">
        <f t="array" ref="AL413">_xlfn.IFS(AF413&lt;3,"new",AF413&lt;=7,"Experienced",AF413&gt;7,"High")</f>
        <v>High</v>
      </c>
      <c r="AM413" s="1"/>
    </row>
    <row r="414" spans="1:39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  <c r="AJ414" t="str">
        <f t="shared" si="6"/>
        <v>Low</v>
      </c>
      <c r="AK414" t="str" cm="1">
        <f t="array" ref="AK414">_xlfn.IFS(S414&lt;4000,"Low",S414&lt;8000,"Medium",S414&gt;=8000,"High")</f>
        <v>Medium</v>
      </c>
      <c r="AL414" t="str" cm="1">
        <f t="array" ref="AL414">_xlfn.IFS(AF414&lt;3,"new",AF414&lt;=7,"Experienced",AF414&gt;7,"High")</f>
        <v>High</v>
      </c>
      <c r="AM414" s="1"/>
    </row>
    <row r="415" spans="1:39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  <c r="AJ415" t="str">
        <f t="shared" si="6"/>
        <v>Low</v>
      </c>
      <c r="AK415" t="str" cm="1">
        <f t="array" ref="AK415">_xlfn.IFS(S415&lt;4000,"Low",S415&lt;8000,"Medium",S415&gt;=8000,"High")</f>
        <v>Medium</v>
      </c>
      <c r="AL415" t="str" cm="1">
        <f t="array" ref="AL415">_xlfn.IFS(AF415&lt;3,"new",AF415&lt;=7,"Experienced",AF415&gt;7,"High")</f>
        <v>Experienced</v>
      </c>
      <c r="AM415" s="1"/>
    </row>
    <row r="416" spans="1:39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  <c r="AJ416" t="str">
        <f t="shared" si="6"/>
        <v>Low</v>
      </c>
      <c r="AK416" t="str" cm="1">
        <f t="array" ref="AK416">_xlfn.IFS(S416&lt;4000,"Low",S416&lt;8000,"Medium",S416&gt;=8000,"High")</f>
        <v>Low</v>
      </c>
      <c r="AL416" t="str" cm="1">
        <f t="array" ref="AL416">_xlfn.IFS(AF416&lt;3,"new",AF416&lt;=7,"Experienced",AF416&gt;7,"High")</f>
        <v>Experienced</v>
      </c>
      <c r="AM416" s="1"/>
    </row>
    <row r="417" spans="1:39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  <c r="AJ417" t="str">
        <f t="shared" si="6"/>
        <v>Low</v>
      </c>
      <c r="AK417" t="str" cm="1">
        <f t="array" ref="AK417">_xlfn.IFS(S417&lt;4000,"Low",S417&lt;8000,"Medium",S417&gt;=8000,"High")</f>
        <v>Low</v>
      </c>
      <c r="AL417" t="str" cm="1">
        <f t="array" ref="AL417">_xlfn.IFS(AF417&lt;3,"new",AF417&lt;=7,"Experienced",AF417&gt;7,"High")</f>
        <v>new</v>
      </c>
      <c r="AM417" s="1"/>
    </row>
    <row r="418" spans="1:39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  <c r="AJ418" t="str">
        <f t="shared" si="6"/>
        <v>Low</v>
      </c>
      <c r="AK418" t="str" cm="1">
        <f t="array" ref="AK418">_xlfn.IFS(S418&lt;4000,"Low",S418&lt;8000,"Medium",S418&gt;=8000,"High")</f>
        <v>Low</v>
      </c>
      <c r="AL418" t="str" cm="1">
        <f t="array" ref="AL418">_xlfn.IFS(AF418&lt;3,"new",AF418&lt;=7,"Experienced",AF418&gt;7,"High")</f>
        <v>new</v>
      </c>
      <c r="AM418" s="1"/>
    </row>
    <row r="419" spans="1:39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  <c r="AJ419" t="str">
        <f t="shared" si="6"/>
        <v>High</v>
      </c>
      <c r="AK419" t="str" cm="1">
        <f t="array" ref="AK419">_xlfn.IFS(S419&lt;4000,"Low",S419&lt;8000,"Medium",S419&gt;=8000,"High")</f>
        <v>High</v>
      </c>
      <c r="AL419" t="str" cm="1">
        <f t="array" ref="AL419">_xlfn.IFS(AF419&lt;3,"new",AF419&lt;=7,"Experienced",AF419&gt;7,"High")</f>
        <v>High</v>
      </c>
      <c r="AM419" s="1"/>
    </row>
    <row r="420" spans="1:39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  <c r="AJ420" t="str">
        <f t="shared" si="6"/>
        <v>Low</v>
      </c>
      <c r="AK420" t="str" cm="1">
        <f t="array" ref="AK420">_xlfn.IFS(S420&lt;4000,"Low",S420&lt;8000,"Medium",S420&gt;=8000,"High")</f>
        <v>Low</v>
      </c>
      <c r="AL420" t="str" cm="1">
        <f t="array" ref="AL420">_xlfn.IFS(AF420&lt;3,"new",AF420&lt;=7,"Experienced",AF420&gt;7,"High")</f>
        <v>Experienced</v>
      </c>
      <c r="AM420" s="1"/>
    </row>
    <row r="421" spans="1:39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  <c r="AJ421" t="str">
        <f t="shared" si="6"/>
        <v>Low</v>
      </c>
      <c r="AK421" t="str" cm="1">
        <f t="array" ref="AK421">_xlfn.IFS(S421&lt;4000,"Low",S421&lt;8000,"Medium",S421&gt;=8000,"High")</f>
        <v>Low</v>
      </c>
      <c r="AL421" t="str" cm="1">
        <f t="array" ref="AL421">_xlfn.IFS(AF421&lt;3,"new",AF421&lt;=7,"Experienced",AF421&gt;7,"High")</f>
        <v>Experienced</v>
      </c>
      <c r="AM421" s="1"/>
    </row>
    <row r="422" spans="1:39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  <c r="AJ422" t="str">
        <f t="shared" si="6"/>
        <v>High</v>
      </c>
      <c r="AK422" t="str" cm="1">
        <f t="array" ref="AK422">_xlfn.IFS(S422&lt;4000,"Low",S422&lt;8000,"Medium",S422&gt;=8000,"High")</f>
        <v>High</v>
      </c>
      <c r="AL422" t="str" cm="1">
        <f t="array" ref="AL422">_xlfn.IFS(AF422&lt;3,"new",AF422&lt;=7,"Experienced",AF422&gt;7,"High")</f>
        <v>High</v>
      </c>
      <c r="AM422" s="1"/>
    </row>
    <row r="423" spans="1:39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  <c r="AJ423" t="str">
        <f t="shared" si="6"/>
        <v>Low</v>
      </c>
      <c r="AK423" t="str" cm="1">
        <f t="array" ref="AK423">_xlfn.IFS(S423&lt;4000,"Low",S423&lt;8000,"Medium",S423&gt;=8000,"High")</f>
        <v>Low</v>
      </c>
      <c r="AL423" t="str" cm="1">
        <f t="array" ref="AL423">_xlfn.IFS(AF423&lt;3,"new",AF423&lt;=7,"Experienced",AF423&gt;7,"High")</f>
        <v>new</v>
      </c>
      <c r="AM423" s="1"/>
    </row>
    <row r="424" spans="1:39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  <c r="AJ424" t="str">
        <f t="shared" si="6"/>
        <v>Low</v>
      </c>
      <c r="AK424" t="str" cm="1">
        <f t="array" ref="AK424">_xlfn.IFS(S424&lt;4000,"Low",S424&lt;8000,"Medium",S424&gt;=8000,"High")</f>
        <v>Low</v>
      </c>
      <c r="AL424" t="str" cm="1">
        <f t="array" ref="AL424">_xlfn.IFS(AF424&lt;3,"new",AF424&lt;=7,"Experienced",AF424&gt;7,"High")</f>
        <v>new</v>
      </c>
      <c r="AM424" s="1"/>
    </row>
    <row r="425" spans="1:39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  <c r="AJ425" t="str">
        <f t="shared" si="6"/>
        <v>High</v>
      </c>
      <c r="AK425" t="str" cm="1">
        <f t="array" ref="AK425">_xlfn.IFS(S425&lt;4000,"Low",S425&lt;8000,"Medium",S425&gt;=8000,"High")</f>
        <v>High</v>
      </c>
      <c r="AL425" t="str" cm="1">
        <f t="array" ref="AL425">_xlfn.IFS(AF425&lt;3,"new",AF425&lt;=7,"Experienced",AF425&gt;7,"High")</f>
        <v>High</v>
      </c>
      <c r="AM425" s="1"/>
    </row>
    <row r="426" spans="1:39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  <c r="AJ426" t="str">
        <f t="shared" si="6"/>
        <v>High</v>
      </c>
      <c r="AK426" t="str" cm="1">
        <f t="array" ref="AK426">_xlfn.IFS(S426&lt;4000,"Low",S426&lt;8000,"Medium",S426&gt;=8000,"High")</f>
        <v>High</v>
      </c>
      <c r="AL426" t="str" cm="1">
        <f t="array" ref="AL426">_xlfn.IFS(AF426&lt;3,"new",AF426&lt;=7,"Experienced",AF426&gt;7,"High")</f>
        <v>new</v>
      </c>
      <c r="AM426" s="1"/>
    </row>
    <row r="427" spans="1:39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  <c r="AJ427" t="str">
        <f t="shared" si="6"/>
        <v>High</v>
      </c>
      <c r="AK427" t="str" cm="1">
        <f t="array" ref="AK427">_xlfn.IFS(S427&lt;4000,"Low",S427&lt;8000,"Medium",S427&gt;=8000,"High")</f>
        <v>High</v>
      </c>
      <c r="AL427" t="str" cm="1">
        <f t="array" ref="AL427">_xlfn.IFS(AF427&lt;3,"new",AF427&lt;=7,"Experienced",AF427&gt;7,"High")</f>
        <v>High</v>
      </c>
      <c r="AM427" s="1"/>
    </row>
    <row r="428" spans="1:39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  <c r="AJ428" t="str">
        <f t="shared" si="6"/>
        <v>Low</v>
      </c>
      <c r="AK428" t="str" cm="1">
        <f t="array" ref="AK428">_xlfn.IFS(S428&lt;4000,"Low",S428&lt;8000,"Medium",S428&gt;=8000,"High")</f>
        <v>Low</v>
      </c>
      <c r="AL428" t="str" cm="1">
        <f t="array" ref="AL428">_xlfn.IFS(AF428&lt;3,"new",AF428&lt;=7,"Experienced",AF428&gt;7,"High")</f>
        <v>High</v>
      </c>
      <c r="AM428" s="1"/>
    </row>
    <row r="429" spans="1:39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  <c r="AJ429" t="str">
        <f t="shared" si="6"/>
        <v>High</v>
      </c>
      <c r="AK429" t="str" cm="1">
        <f t="array" ref="AK429">_xlfn.IFS(S429&lt;4000,"Low",S429&lt;8000,"Medium",S429&gt;=8000,"High")</f>
        <v>High</v>
      </c>
      <c r="AL429" t="str" cm="1">
        <f t="array" ref="AL429">_xlfn.IFS(AF429&lt;3,"new",AF429&lt;=7,"Experienced",AF429&gt;7,"High")</f>
        <v>High</v>
      </c>
      <c r="AM429" s="1"/>
    </row>
    <row r="430" spans="1:39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  <c r="AJ430" t="str">
        <f t="shared" si="6"/>
        <v>Low</v>
      </c>
      <c r="AK430" t="str" cm="1">
        <f t="array" ref="AK430">_xlfn.IFS(S430&lt;4000,"Low",S430&lt;8000,"Medium",S430&gt;=8000,"High")</f>
        <v>Medium</v>
      </c>
      <c r="AL430" t="str" cm="1">
        <f t="array" ref="AL430">_xlfn.IFS(AF430&lt;3,"new",AF430&lt;=7,"Experienced",AF430&gt;7,"High")</f>
        <v>Experienced</v>
      </c>
      <c r="AM430" s="1"/>
    </row>
    <row r="431" spans="1:39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  <c r="AJ431" t="str">
        <f t="shared" si="6"/>
        <v>High</v>
      </c>
      <c r="AK431" t="str" cm="1">
        <f t="array" ref="AK431">_xlfn.IFS(S431&lt;4000,"Low",S431&lt;8000,"Medium",S431&gt;=8000,"High")</f>
        <v>High</v>
      </c>
      <c r="AL431" t="str" cm="1">
        <f t="array" ref="AL431">_xlfn.IFS(AF431&lt;3,"new",AF431&lt;=7,"Experienced",AF431&gt;7,"High")</f>
        <v>Experienced</v>
      </c>
      <c r="AM431" s="1"/>
    </row>
    <row r="432" spans="1:39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  <c r="AJ432" t="str">
        <f t="shared" si="6"/>
        <v>Low</v>
      </c>
      <c r="AK432" t="str" cm="1">
        <f t="array" ref="AK432">_xlfn.IFS(S432&lt;4000,"Low",S432&lt;8000,"Medium",S432&gt;=8000,"High")</f>
        <v>Medium</v>
      </c>
      <c r="AL432" t="str" cm="1">
        <f t="array" ref="AL432">_xlfn.IFS(AF432&lt;3,"new",AF432&lt;=7,"Experienced",AF432&gt;7,"High")</f>
        <v>Experienced</v>
      </c>
      <c r="AM432" s="1"/>
    </row>
    <row r="433" spans="1:39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  <c r="AJ433" t="str">
        <f t="shared" si="6"/>
        <v>Low</v>
      </c>
      <c r="AK433" t="str" cm="1">
        <f t="array" ref="AK433">_xlfn.IFS(S433&lt;4000,"Low",S433&lt;8000,"Medium",S433&gt;=8000,"High")</f>
        <v>Low</v>
      </c>
      <c r="AL433" t="str" cm="1">
        <f t="array" ref="AL433">_xlfn.IFS(AF433&lt;3,"new",AF433&lt;=7,"Experienced",AF433&gt;7,"High")</f>
        <v>new</v>
      </c>
      <c r="AM433" s="1"/>
    </row>
    <row r="434" spans="1:39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  <c r="AJ434" t="str">
        <f t="shared" si="6"/>
        <v>Low</v>
      </c>
      <c r="AK434" t="str" cm="1">
        <f t="array" ref="AK434">_xlfn.IFS(S434&lt;4000,"Low",S434&lt;8000,"Medium",S434&gt;=8000,"High")</f>
        <v>Low</v>
      </c>
      <c r="AL434" t="str" cm="1">
        <f t="array" ref="AL434">_xlfn.IFS(AF434&lt;3,"new",AF434&lt;=7,"Experienced",AF434&gt;7,"High")</f>
        <v>Experienced</v>
      </c>
      <c r="AM434" s="1"/>
    </row>
    <row r="435" spans="1:39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  <c r="AJ435" t="str">
        <f t="shared" si="6"/>
        <v>High</v>
      </c>
      <c r="AK435" t="str" cm="1">
        <f t="array" ref="AK435">_xlfn.IFS(S435&lt;4000,"Low",S435&lt;8000,"Medium",S435&gt;=8000,"High")</f>
        <v>High</v>
      </c>
      <c r="AL435" t="str" cm="1">
        <f t="array" ref="AL435">_xlfn.IFS(AF435&lt;3,"new",AF435&lt;=7,"Experienced",AF435&gt;7,"High")</f>
        <v>Experienced</v>
      </c>
      <c r="AM435" s="1"/>
    </row>
    <row r="436" spans="1:39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  <c r="AJ436" t="str">
        <f t="shared" si="6"/>
        <v>High</v>
      </c>
      <c r="AK436" t="str" cm="1">
        <f t="array" ref="AK436">_xlfn.IFS(S436&lt;4000,"Low",S436&lt;8000,"Medium",S436&gt;=8000,"High")</f>
        <v>High</v>
      </c>
      <c r="AL436" t="str" cm="1">
        <f t="array" ref="AL436">_xlfn.IFS(AF436&lt;3,"new",AF436&lt;=7,"Experienced",AF436&gt;7,"High")</f>
        <v>High</v>
      </c>
      <c r="AM436" s="1"/>
    </row>
    <row r="437" spans="1:39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  <c r="AJ437" t="str">
        <f t="shared" si="6"/>
        <v>High</v>
      </c>
      <c r="AK437" t="str" cm="1">
        <f t="array" ref="AK437">_xlfn.IFS(S437&lt;4000,"Low",S437&lt;8000,"Medium",S437&gt;=8000,"High")</f>
        <v>High</v>
      </c>
      <c r="AL437" t="str" cm="1">
        <f t="array" ref="AL437">_xlfn.IFS(AF437&lt;3,"new",AF437&lt;=7,"Experienced",AF437&gt;7,"High")</f>
        <v>Experienced</v>
      </c>
      <c r="AM437" s="1"/>
    </row>
    <row r="438" spans="1:39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  <c r="AJ438" t="str">
        <f t="shared" si="6"/>
        <v>Low</v>
      </c>
      <c r="AK438" t="str" cm="1">
        <f t="array" ref="AK438">_xlfn.IFS(S438&lt;4000,"Low",S438&lt;8000,"Medium",S438&gt;=8000,"High")</f>
        <v>Low</v>
      </c>
      <c r="AL438" t="str" cm="1">
        <f t="array" ref="AL438">_xlfn.IFS(AF438&lt;3,"new",AF438&lt;=7,"Experienced",AF438&gt;7,"High")</f>
        <v>Experienced</v>
      </c>
      <c r="AM438" s="1"/>
    </row>
    <row r="439" spans="1:39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  <c r="AJ439" t="str">
        <f t="shared" si="6"/>
        <v>Low</v>
      </c>
      <c r="AK439" t="str" cm="1">
        <f t="array" ref="AK439">_xlfn.IFS(S439&lt;4000,"Low",S439&lt;8000,"Medium",S439&gt;=8000,"High")</f>
        <v>Low</v>
      </c>
      <c r="AL439" t="str" cm="1">
        <f t="array" ref="AL439">_xlfn.IFS(AF439&lt;3,"new",AF439&lt;=7,"Experienced",AF439&gt;7,"High")</f>
        <v>Experienced</v>
      </c>
      <c r="AM439" s="1"/>
    </row>
    <row r="440" spans="1:39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  <c r="AJ440" t="str">
        <f t="shared" si="6"/>
        <v>High</v>
      </c>
      <c r="AK440" t="str" cm="1">
        <f t="array" ref="AK440">_xlfn.IFS(S440&lt;4000,"Low",S440&lt;8000,"Medium",S440&gt;=8000,"High")</f>
        <v>Medium</v>
      </c>
      <c r="AL440" t="str" cm="1">
        <f t="array" ref="AL440">_xlfn.IFS(AF440&lt;3,"new",AF440&lt;=7,"Experienced",AF440&gt;7,"High")</f>
        <v>High</v>
      </c>
      <c r="AM440" s="1"/>
    </row>
    <row r="441" spans="1:39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  <c r="AJ441" t="str">
        <f t="shared" si="6"/>
        <v>High</v>
      </c>
      <c r="AK441" t="str" cm="1">
        <f t="array" ref="AK441">_xlfn.IFS(S441&lt;4000,"Low",S441&lt;8000,"Medium",S441&gt;=8000,"High")</f>
        <v>High</v>
      </c>
      <c r="AL441" t="str" cm="1">
        <f t="array" ref="AL441">_xlfn.IFS(AF441&lt;3,"new",AF441&lt;=7,"Experienced",AF441&gt;7,"High")</f>
        <v>new</v>
      </c>
      <c r="AM441" s="1"/>
    </row>
    <row r="442" spans="1:39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  <c r="AJ442" t="str">
        <f t="shared" si="6"/>
        <v>High</v>
      </c>
      <c r="AK442" t="str" cm="1">
        <f t="array" ref="AK442">_xlfn.IFS(S442&lt;4000,"Low",S442&lt;8000,"Medium",S442&gt;=8000,"High")</f>
        <v>High</v>
      </c>
      <c r="AL442" t="str" cm="1">
        <f t="array" ref="AL442">_xlfn.IFS(AF442&lt;3,"new",AF442&lt;=7,"Experienced",AF442&gt;7,"High")</f>
        <v>Experienced</v>
      </c>
      <c r="AM442" s="1"/>
    </row>
    <row r="443" spans="1:39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  <c r="AJ443" t="str">
        <f t="shared" si="6"/>
        <v>Low</v>
      </c>
      <c r="AK443" t="str" cm="1">
        <f t="array" ref="AK443">_xlfn.IFS(S443&lt;4000,"Low",S443&lt;8000,"Medium",S443&gt;=8000,"High")</f>
        <v>Low</v>
      </c>
      <c r="AL443" t="str" cm="1">
        <f t="array" ref="AL443">_xlfn.IFS(AF443&lt;3,"new",AF443&lt;=7,"Experienced",AF443&gt;7,"High")</f>
        <v>new</v>
      </c>
      <c r="AM443" s="1"/>
    </row>
    <row r="444" spans="1:39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  <c r="AJ444" t="str">
        <f t="shared" si="6"/>
        <v>High</v>
      </c>
      <c r="AK444" t="str" cm="1">
        <f t="array" ref="AK444">_xlfn.IFS(S444&lt;4000,"Low",S444&lt;8000,"Medium",S444&gt;=8000,"High")</f>
        <v>High</v>
      </c>
      <c r="AL444" t="str" cm="1">
        <f t="array" ref="AL444">_xlfn.IFS(AF444&lt;3,"new",AF444&lt;=7,"Experienced",AF444&gt;7,"High")</f>
        <v>High</v>
      </c>
      <c r="AM444" s="1"/>
    </row>
    <row r="445" spans="1:39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  <c r="AJ445" t="str">
        <f t="shared" si="6"/>
        <v>Low</v>
      </c>
      <c r="AK445" t="str" cm="1">
        <f t="array" ref="AK445">_xlfn.IFS(S445&lt;4000,"Low",S445&lt;8000,"Medium",S445&gt;=8000,"High")</f>
        <v>Low</v>
      </c>
      <c r="AL445" t="str" cm="1">
        <f t="array" ref="AL445">_xlfn.IFS(AF445&lt;3,"new",AF445&lt;=7,"Experienced",AF445&gt;7,"High")</f>
        <v>new</v>
      </c>
      <c r="AM445" s="1"/>
    </row>
    <row r="446" spans="1:39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  <c r="AJ446" t="str">
        <f t="shared" si="6"/>
        <v>Low</v>
      </c>
      <c r="AK446" t="str" cm="1">
        <f t="array" ref="AK446">_xlfn.IFS(S446&lt;4000,"Low",S446&lt;8000,"Medium",S446&gt;=8000,"High")</f>
        <v>Medium</v>
      </c>
      <c r="AL446" t="str" cm="1">
        <f t="array" ref="AL446">_xlfn.IFS(AF446&lt;3,"new",AF446&lt;=7,"Experienced",AF446&gt;7,"High")</f>
        <v>High</v>
      </c>
      <c r="AM446" s="1"/>
    </row>
    <row r="447" spans="1:39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  <c r="AJ447" t="str">
        <f t="shared" si="6"/>
        <v>High</v>
      </c>
      <c r="AK447" t="str" cm="1">
        <f t="array" ref="AK447">_xlfn.IFS(S447&lt;4000,"Low",S447&lt;8000,"Medium",S447&gt;=8000,"High")</f>
        <v>High</v>
      </c>
      <c r="AL447" t="str" cm="1">
        <f t="array" ref="AL447">_xlfn.IFS(AF447&lt;3,"new",AF447&lt;=7,"Experienced",AF447&gt;7,"High")</f>
        <v>High</v>
      </c>
      <c r="AM447" s="1"/>
    </row>
    <row r="448" spans="1:39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  <c r="AJ448" t="str">
        <f t="shared" si="6"/>
        <v>Low</v>
      </c>
      <c r="AK448" t="str" cm="1">
        <f t="array" ref="AK448">_xlfn.IFS(S448&lt;4000,"Low",S448&lt;8000,"Medium",S448&gt;=8000,"High")</f>
        <v>Medium</v>
      </c>
      <c r="AL448" t="str" cm="1">
        <f t="array" ref="AL448">_xlfn.IFS(AF448&lt;3,"new",AF448&lt;=7,"Experienced",AF448&gt;7,"High")</f>
        <v>High</v>
      </c>
      <c r="AM448" s="1"/>
    </row>
    <row r="449" spans="1:39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  <c r="AJ449" t="str">
        <f t="shared" si="6"/>
        <v>Low</v>
      </c>
      <c r="AK449" t="str" cm="1">
        <f t="array" ref="AK449">_xlfn.IFS(S449&lt;4000,"Low",S449&lt;8000,"Medium",S449&gt;=8000,"High")</f>
        <v>Medium</v>
      </c>
      <c r="AL449" t="str" cm="1">
        <f t="array" ref="AL449">_xlfn.IFS(AF449&lt;3,"new",AF449&lt;=7,"Experienced",AF449&gt;7,"High")</f>
        <v>High</v>
      </c>
      <c r="AM449" s="1"/>
    </row>
    <row r="450" spans="1:39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  <c r="AJ450" t="str">
        <f t="shared" ref="AJ450:AJ513" si="7">IF(S450&gt;=6500,"High","Low")</f>
        <v>High</v>
      </c>
      <c r="AK450" t="str" cm="1">
        <f t="array" ref="AK450">_xlfn.IFS(S450&lt;4000,"Low",S450&lt;8000,"Medium",S450&gt;=8000,"High")</f>
        <v>High</v>
      </c>
      <c r="AL450" t="str" cm="1">
        <f t="array" ref="AL450">_xlfn.IFS(AF450&lt;3,"new",AF450&lt;=7,"Experienced",AF450&gt;7,"High")</f>
        <v>High</v>
      </c>
      <c r="AM450" s="1"/>
    </row>
    <row r="451" spans="1:39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  <c r="AJ451" t="str">
        <f t="shared" si="7"/>
        <v>Low</v>
      </c>
      <c r="AK451" t="str" cm="1">
        <f t="array" ref="AK451">_xlfn.IFS(S451&lt;4000,"Low",S451&lt;8000,"Medium",S451&gt;=8000,"High")</f>
        <v>Low</v>
      </c>
      <c r="AL451" t="str" cm="1">
        <f t="array" ref="AL451">_xlfn.IFS(AF451&lt;3,"new",AF451&lt;=7,"Experienced",AF451&gt;7,"High")</f>
        <v>High</v>
      </c>
      <c r="AM451" s="1"/>
    </row>
    <row r="452" spans="1:39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  <c r="AJ452" t="str">
        <f t="shared" si="7"/>
        <v>High</v>
      </c>
      <c r="AK452" t="str" cm="1">
        <f t="array" ref="AK452">_xlfn.IFS(S452&lt;4000,"Low",S452&lt;8000,"Medium",S452&gt;=8000,"High")</f>
        <v>Medium</v>
      </c>
      <c r="AL452" t="str" cm="1">
        <f t="array" ref="AL452">_xlfn.IFS(AF452&lt;3,"new",AF452&lt;=7,"Experienced",AF452&gt;7,"High")</f>
        <v>Experienced</v>
      </c>
      <c r="AM452" s="1"/>
    </row>
    <row r="453" spans="1:39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  <c r="AJ453" t="str">
        <f t="shared" si="7"/>
        <v>High</v>
      </c>
      <c r="AK453" t="str" cm="1">
        <f t="array" ref="AK453">_xlfn.IFS(S453&lt;4000,"Low",S453&lt;8000,"Medium",S453&gt;=8000,"High")</f>
        <v>Medium</v>
      </c>
      <c r="AL453" t="str" cm="1">
        <f t="array" ref="AL453">_xlfn.IFS(AF453&lt;3,"new",AF453&lt;=7,"Experienced",AF453&gt;7,"High")</f>
        <v>High</v>
      </c>
      <c r="AM453" s="1"/>
    </row>
    <row r="454" spans="1:39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  <c r="AJ454" t="str">
        <f t="shared" si="7"/>
        <v>Low</v>
      </c>
      <c r="AK454" t="str" cm="1">
        <f t="array" ref="AK454">_xlfn.IFS(S454&lt;4000,"Low",S454&lt;8000,"Medium",S454&gt;=8000,"High")</f>
        <v>Medium</v>
      </c>
      <c r="AL454" t="str" cm="1">
        <f t="array" ref="AL454">_xlfn.IFS(AF454&lt;3,"new",AF454&lt;=7,"Experienced",AF454&gt;7,"High")</f>
        <v>High</v>
      </c>
      <c r="AM454" s="1"/>
    </row>
    <row r="455" spans="1:39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  <c r="AJ455" t="str">
        <f t="shared" si="7"/>
        <v>Low</v>
      </c>
      <c r="AK455" t="str" cm="1">
        <f t="array" ref="AK455">_xlfn.IFS(S455&lt;4000,"Low",S455&lt;8000,"Medium",S455&gt;=8000,"High")</f>
        <v>Low</v>
      </c>
      <c r="AL455" t="str" cm="1">
        <f t="array" ref="AL455">_xlfn.IFS(AF455&lt;3,"new",AF455&lt;=7,"Experienced",AF455&gt;7,"High")</f>
        <v>Experienced</v>
      </c>
      <c r="AM455" s="1"/>
    </row>
    <row r="456" spans="1:39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  <c r="AJ456" t="str">
        <f t="shared" si="7"/>
        <v>Low</v>
      </c>
      <c r="AK456" t="str" cm="1">
        <f t="array" ref="AK456">_xlfn.IFS(S456&lt;4000,"Low",S456&lt;8000,"Medium",S456&gt;=8000,"High")</f>
        <v>Medium</v>
      </c>
      <c r="AL456" t="str" cm="1">
        <f t="array" ref="AL456">_xlfn.IFS(AF456&lt;3,"new",AF456&lt;=7,"Experienced",AF456&gt;7,"High")</f>
        <v>Experienced</v>
      </c>
      <c r="AM456" s="1"/>
    </row>
    <row r="457" spans="1:39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  <c r="AJ457" t="str">
        <f t="shared" si="7"/>
        <v>High</v>
      </c>
      <c r="AK457" t="str" cm="1">
        <f t="array" ref="AK457">_xlfn.IFS(S457&lt;4000,"Low",S457&lt;8000,"Medium",S457&gt;=8000,"High")</f>
        <v>High</v>
      </c>
      <c r="AL457" t="str" cm="1">
        <f t="array" ref="AL457">_xlfn.IFS(AF457&lt;3,"new",AF457&lt;=7,"Experienced",AF457&gt;7,"High")</f>
        <v>Experienced</v>
      </c>
      <c r="AM457" s="1"/>
    </row>
    <row r="458" spans="1:39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  <c r="AJ458" t="str">
        <f t="shared" si="7"/>
        <v>High</v>
      </c>
      <c r="AK458" t="str" cm="1">
        <f t="array" ref="AK458">_xlfn.IFS(S458&lt;4000,"Low",S458&lt;8000,"Medium",S458&gt;=8000,"High")</f>
        <v>High</v>
      </c>
      <c r="AL458" t="str" cm="1">
        <f t="array" ref="AL458">_xlfn.IFS(AF458&lt;3,"new",AF458&lt;=7,"Experienced",AF458&gt;7,"High")</f>
        <v>Experienced</v>
      </c>
      <c r="AM458" s="1"/>
    </row>
    <row r="459" spans="1:39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  <c r="AJ459" t="str">
        <f t="shared" si="7"/>
        <v>Low</v>
      </c>
      <c r="AK459" t="str" cm="1">
        <f t="array" ref="AK459">_xlfn.IFS(S459&lt;4000,"Low",S459&lt;8000,"Medium",S459&gt;=8000,"High")</f>
        <v>Low</v>
      </c>
      <c r="AL459" t="str" cm="1">
        <f t="array" ref="AL459">_xlfn.IFS(AF459&lt;3,"new",AF459&lt;=7,"Experienced",AF459&gt;7,"High")</f>
        <v>new</v>
      </c>
      <c r="AM459" s="1"/>
    </row>
    <row r="460" spans="1:39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  <c r="AJ460" t="str">
        <f t="shared" si="7"/>
        <v>High</v>
      </c>
      <c r="AK460" t="str" cm="1">
        <f t="array" ref="AK460">_xlfn.IFS(S460&lt;4000,"Low",S460&lt;8000,"Medium",S460&gt;=8000,"High")</f>
        <v>High</v>
      </c>
      <c r="AL460" t="str" cm="1">
        <f t="array" ref="AL460">_xlfn.IFS(AF460&lt;3,"new",AF460&lt;=7,"Experienced",AF460&gt;7,"High")</f>
        <v>new</v>
      </c>
      <c r="AM460" s="1"/>
    </row>
    <row r="461" spans="1:39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  <c r="AJ461" t="str">
        <f t="shared" si="7"/>
        <v>High</v>
      </c>
      <c r="AK461" t="str" cm="1">
        <f t="array" ref="AK461">_xlfn.IFS(S461&lt;4000,"Low",S461&lt;8000,"Medium",S461&gt;=8000,"High")</f>
        <v>Medium</v>
      </c>
      <c r="AL461" t="str" cm="1">
        <f t="array" ref="AL461">_xlfn.IFS(AF461&lt;3,"new",AF461&lt;=7,"Experienced",AF461&gt;7,"High")</f>
        <v>High</v>
      </c>
      <c r="AM461" s="1"/>
    </row>
    <row r="462" spans="1:39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  <c r="AJ462" t="str">
        <f t="shared" si="7"/>
        <v>Low</v>
      </c>
      <c r="AK462" t="str" cm="1">
        <f t="array" ref="AK462">_xlfn.IFS(S462&lt;4000,"Low",S462&lt;8000,"Medium",S462&gt;=8000,"High")</f>
        <v>Medium</v>
      </c>
      <c r="AL462" t="str" cm="1">
        <f t="array" ref="AL462">_xlfn.IFS(AF462&lt;3,"new",AF462&lt;=7,"Experienced",AF462&gt;7,"High")</f>
        <v>new</v>
      </c>
      <c r="AM462" s="1"/>
    </row>
    <row r="463" spans="1:39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  <c r="AJ463" t="str">
        <f t="shared" si="7"/>
        <v>Low</v>
      </c>
      <c r="AK463" t="str" cm="1">
        <f t="array" ref="AK463">_xlfn.IFS(S463&lt;4000,"Low",S463&lt;8000,"Medium",S463&gt;=8000,"High")</f>
        <v>Medium</v>
      </c>
      <c r="AL463" t="str" cm="1">
        <f t="array" ref="AL463">_xlfn.IFS(AF463&lt;3,"new",AF463&lt;=7,"Experienced",AF463&gt;7,"High")</f>
        <v>Experienced</v>
      </c>
      <c r="AM463" s="1"/>
    </row>
    <row r="464" spans="1:39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  <c r="AJ464" t="str">
        <f t="shared" si="7"/>
        <v>Low</v>
      </c>
      <c r="AK464" t="str" cm="1">
        <f t="array" ref="AK464">_xlfn.IFS(S464&lt;4000,"Low",S464&lt;8000,"Medium",S464&gt;=8000,"High")</f>
        <v>Medium</v>
      </c>
      <c r="AL464" t="str" cm="1">
        <f t="array" ref="AL464">_xlfn.IFS(AF464&lt;3,"new",AF464&lt;=7,"Experienced",AF464&gt;7,"High")</f>
        <v>High</v>
      </c>
      <c r="AM464" s="1"/>
    </row>
    <row r="465" spans="1:39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  <c r="AJ465" t="str">
        <f t="shared" si="7"/>
        <v>Low</v>
      </c>
      <c r="AK465" t="str" cm="1">
        <f t="array" ref="AK465">_xlfn.IFS(S465&lt;4000,"Low",S465&lt;8000,"Medium",S465&gt;=8000,"High")</f>
        <v>Low</v>
      </c>
      <c r="AL465" t="str" cm="1">
        <f t="array" ref="AL465">_xlfn.IFS(AF465&lt;3,"new",AF465&lt;=7,"Experienced",AF465&gt;7,"High")</f>
        <v>new</v>
      </c>
      <c r="AM465" s="1"/>
    </row>
    <row r="466" spans="1:39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  <c r="AJ466" t="str">
        <f t="shared" si="7"/>
        <v>High</v>
      </c>
      <c r="AK466" t="str" cm="1">
        <f t="array" ref="AK466">_xlfn.IFS(S466&lt;4000,"Low",S466&lt;8000,"Medium",S466&gt;=8000,"High")</f>
        <v>Medium</v>
      </c>
      <c r="AL466" t="str" cm="1">
        <f t="array" ref="AL466">_xlfn.IFS(AF466&lt;3,"new",AF466&lt;=7,"Experienced",AF466&gt;7,"High")</f>
        <v>Experienced</v>
      </c>
      <c r="AM466" s="1"/>
    </row>
    <row r="467" spans="1:39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  <c r="AJ467" t="str">
        <f t="shared" si="7"/>
        <v>High</v>
      </c>
      <c r="AK467" t="str" cm="1">
        <f t="array" ref="AK467">_xlfn.IFS(S467&lt;4000,"Low",S467&lt;8000,"Medium",S467&gt;=8000,"High")</f>
        <v>High</v>
      </c>
      <c r="AL467" t="str" cm="1">
        <f t="array" ref="AL467">_xlfn.IFS(AF467&lt;3,"new",AF467&lt;=7,"Experienced",AF467&gt;7,"High")</f>
        <v>new</v>
      </c>
      <c r="AM467" s="1"/>
    </row>
    <row r="468" spans="1:39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  <c r="AJ468" t="str">
        <f t="shared" si="7"/>
        <v>High</v>
      </c>
      <c r="AK468" t="str" cm="1">
        <f t="array" ref="AK468">_xlfn.IFS(S468&lt;4000,"Low",S468&lt;8000,"Medium",S468&gt;=8000,"High")</f>
        <v>High</v>
      </c>
      <c r="AL468" t="str" cm="1">
        <f t="array" ref="AL468">_xlfn.IFS(AF468&lt;3,"new",AF468&lt;=7,"Experienced",AF468&gt;7,"High")</f>
        <v>High</v>
      </c>
      <c r="AM468" s="1"/>
    </row>
    <row r="469" spans="1:39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  <c r="AJ469" t="str">
        <f t="shared" si="7"/>
        <v>High</v>
      </c>
      <c r="AK469" t="str" cm="1">
        <f t="array" ref="AK469">_xlfn.IFS(S469&lt;4000,"Low",S469&lt;8000,"Medium",S469&gt;=8000,"High")</f>
        <v>High</v>
      </c>
      <c r="AL469" t="str" cm="1">
        <f t="array" ref="AL469">_xlfn.IFS(AF469&lt;3,"new",AF469&lt;=7,"Experienced",AF469&gt;7,"High")</f>
        <v>High</v>
      </c>
      <c r="AM469" s="1"/>
    </row>
    <row r="470" spans="1:39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  <c r="AJ470" t="str">
        <f t="shared" si="7"/>
        <v>Low</v>
      </c>
      <c r="AK470" t="str" cm="1">
        <f t="array" ref="AK470">_xlfn.IFS(S470&lt;4000,"Low",S470&lt;8000,"Medium",S470&gt;=8000,"High")</f>
        <v>Medium</v>
      </c>
      <c r="AL470" t="str" cm="1">
        <f t="array" ref="AL470">_xlfn.IFS(AF470&lt;3,"new",AF470&lt;=7,"Experienced",AF470&gt;7,"High")</f>
        <v>High</v>
      </c>
      <c r="AM470" s="1"/>
    </row>
    <row r="471" spans="1:39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  <c r="AJ471" t="str">
        <f t="shared" si="7"/>
        <v>Low</v>
      </c>
      <c r="AK471" t="str" cm="1">
        <f t="array" ref="AK471">_xlfn.IFS(S471&lt;4000,"Low",S471&lt;8000,"Medium",S471&gt;=8000,"High")</f>
        <v>Medium</v>
      </c>
      <c r="AL471" t="str" cm="1">
        <f t="array" ref="AL471">_xlfn.IFS(AF471&lt;3,"new",AF471&lt;=7,"Experienced",AF471&gt;7,"High")</f>
        <v>Experienced</v>
      </c>
      <c r="AM471" s="1"/>
    </row>
    <row r="472" spans="1:39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  <c r="AJ472" t="str">
        <f t="shared" si="7"/>
        <v>Low</v>
      </c>
      <c r="AK472" t="str" cm="1">
        <f t="array" ref="AK472">_xlfn.IFS(S472&lt;4000,"Low",S472&lt;8000,"Medium",S472&gt;=8000,"High")</f>
        <v>Low</v>
      </c>
      <c r="AL472" t="str" cm="1">
        <f t="array" ref="AL472">_xlfn.IFS(AF472&lt;3,"new",AF472&lt;=7,"Experienced",AF472&gt;7,"High")</f>
        <v>new</v>
      </c>
      <c r="AM472" s="1"/>
    </row>
    <row r="473" spans="1:39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  <c r="AJ473" t="str">
        <f t="shared" si="7"/>
        <v>High</v>
      </c>
      <c r="AK473" t="str" cm="1">
        <f t="array" ref="AK473">_xlfn.IFS(S473&lt;4000,"Low",S473&lt;8000,"Medium",S473&gt;=8000,"High")</f>
        <v>High</v>
      </c>
      <c r="AL473" t="str" cm="1">
        <f t="array" ref="AL473">_xlfn.IFS(AF473&lt;3,"new",AF473&lt;=7,"Experienced",AF473&gt;7,"High")</f>
        <v>new</v>
      </c>
      <c r="AM473" s="1"/>
    </row>
    <row r="474" spans="1:39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  <c r="AJ474" t="str">
        <f t="shared" si="7"/>
        <v>Low</v>
      </c>
      <c r="AK474" t="str" cm="1">
        <f t="array" ref="AK474">_xlfn.IFS(S474&lt;4000,"Low",S474&lt;8000,"Medium",S474&gt;=8000,"High")</f>
        <v>Medium</v>
      </c>
      <c r="AL474" t="str" cm="1">
        <f t="array" ref="AL474">_xlfn.IFS(AF474&lt;3,"new",AF474&lt;=7,"Experienced",AF474&gt;7,"High")</f>
        <v>Experienced</v>
      </c>
      <c r="AM474" s="1"/>
    </row>
    <row r="475" spans="1:39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  <c r="AJ475" t="str">
        <f t="shared" si="7"/>
        <v>High</v>
      </c>
      <c r="AK475" t="str" cm="1">
        <f t="array" ref="AK475">_xlfn.IFS(S475&lt;4000,"Low",S475&lt;8000,"Medium",S475&gt;=8000,"High")</f>
        <v>High</v>
      </c>
      <c r="AL475" t="str" cm="1">
        <f t="array" ref="AL475">_xlfn.IFS(AF475&lt;3,"new",AF475&lt;=7,"Experienced",AF475&gt;7,"High")</f>
        <v>High</v>
      </c>
      <c r="AM475" s="1"/>
    </row>
    <row r="476" spans="1:39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  <c r="AJ476" t="str">
        <f t="shared" si="7"/>
        <v>Low</v>
      </c>
      <c r="AK476" t="str" cm="1">
        <f t="array" ref="AK476">_xlfn.IFS(S476&lt;4000,"Low",S476&lt;8000,"Medium",S476&gt;=8000,"High")</f>
        <v>Low</v>
      </c>
      <c r="AL476" t="str" cm="1">
        <f t="array" ref="AL476">_xlfn.IFS(AF476&lt;3,"new",AF476&lt;=7,"Experienced",AF476&gt;7,"High")</f>
        <v>Experienced</v>
      </c>
      <c r="AM476" s="1"/>
    </row>
    <row r="477" spans="1:39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  <c r="AJ477" t="str">
        <f t="shared" si="7"/>
        <v>Low</v>
      </c>
      <c r="AK477" t="str" cm="1">
        <f t="array" ref="AK477">_xlfn.IFS(S477&lt;4000,"Low",S477&lt;8000,"Medium",S477&gt;=8000,"High")</f>
        <v>Medium</v>
      </c>
      <c r="AL477" t="str" cm="1">
        <f t="array" ref="AL477">_xlfn.IFS(AF477&lt;3,"new",AF477&lt;=7,"Experienced",AF477&gt;7,"High")</f>
        <v>Experienced</v>
      </c>
      <c r="AM477" s="1"/>
    </row>
    <row r="478" spans="1:39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  <c r="AJ478" t="str">
        <f t="shared" si="7"/>
        <v>Low</v>
      </c>
      <c r="AK478" t="str" cm="1">
        <f t="array" ref="AK478">_xlfn.IFS(S478&lt;4000,"Low",S478&lt;8000,"Medium",S478&gt;=8000,"High")</f>
        <v>Low</v>
      </c>
      <c r="AL478" t="str" cm="1">
        <f t="array" ref="AL478">_xlfn.IFS(AF478&lt;3,"new",AF478&lt;=7,"Experienced",AF478&gt;7,"High")</f>
        <v>new</v>
      </c>
      <c r="AM478" s="1"/>
    </row>
    <row r="479" spans="1:39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  <c r="AJ479" t="str">
        <f t="shared" si="7"/>
        <v>High</v>
      </c>
      <c r="AK479" t="str" cm="1">
        <f t="array" ref="AK479">_xlfn.IFS(S479&lt;4000,"Low",S479&lt;8000,"Medium",S479&gt;=8000,"High")</f>
        <v>High</v>
      </c>
      <c r="AL479" t="str" cm="1">
        <f t="array" ref="AL479">_xlfn.IFS(AF479&lt;3,"new",AF479&lt;=7,"Experienced",AF479&gt;7,"High")</f>
        <v>High</v>
      </c>
      <c r="AM479" s="1"/>
    </row>
    <row r="480" spans="1:39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  <c r="AJ480" t="str">
        <f t="shared" si="7"/>
        <v>Low</v>
      </c>
      <c r="AK480" t="str" cm="1">
        <f t="array" ref="AK480">_xlfn.IFS(S480&lt;4000,"Low",S480&lt;8000,"Medium",S480&gt;=8000,"High")</f>
        <v>Low</v>
      </c>
      <c r="AL480" t="str" cm="1">
        <f t="array" ref="AL480">_xlfn.IFS(AF480&lt;3,"new",AF480&lt;=7,"Experienced",AF480&gt;7,"High")</f>
        <v>Experienced</v>
      </c>
      <c r="AM480" s="1"/>
    </row>
    <row r="481" spans="1:39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  <c r="AJ481" t="str">
        <f t="shared" si="7"/>
        <v>Low</v>
      </c>
      <c r="AK481" t="str" cm="1">
        <f t="array" ref="AK481">_xlfn.IFS(S481&lt;4000,"Low",S481&lt;8000,"Medium",S481&gt;=8000,"High")</f>
        <v>Low</v>
      </c>
      <c r="AL481" t="str" cm="1">
        <f t="array" ref="AL481">_xlfn.IFS(AF481&lt;3,"new",AF481&lt;=7,"Experienced",AF481&gt;7,"High")</f>
        <v>Experienced</v>
      </c>
      <c r="AM481" s="1"/>
    </row>
    <row r="482" spans="1:39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  <c r="AJ482" t="str">
        <f t="shared" si="7"/>
        <v>Low</v>
      </c>
      <c r="AK482" t="str" cm="1">
        <f t="array" ref="AK482">_xlfn.IFS(S482&lt;4000,"Low",S482&lt;8000,"Medium",S482&gt;=8000,"High")</f>
        <v>Low</v>
      </c>
      <c r="AL482" t="str" cm="1">
        <f t="array" ref="AL482">_xlfn.IFS(AF482&lt;3,"new",AF482&lt;=7,"Experienced",AF482&gt;7,"High")</f>
        <v>new</v>
      </c>
      <c r="AM482" s="1"/>
    </row>
    <row r="483" spans="1:39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  <c r="AJ483" t="str">
        <f t="shared" si="7"/>
        <v>Low</v>
      </c>
      <c r="AK483" t="str" cm="1">
        <f t="array" ref="AK483">_xlfn.IFS(S483&lt;4000,"Low",S483&lt;8000,"Medium",S483&gt;=8000,"High")</f>
        <v>Low</v>
      </c>
      <c r="AL483" t="str" cm="1">
        <f t="array" ref="AL483">_xlfn.IFS(AF483&lt;3,"new",AF483&lt;=7,"Experienced",AF483&gt;7,"High")</f>
        <v>Experienced</v>
      </c>
      <c r="AM483" s="1"/>
    </row>
    <row r="484" spans="1:39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  <c r="AJ484" t="str">
        <f t="shared" si="7"/>
        <v>Low</v>
      </c>
      <c r="AK484" t="str" cm="1">
        <f t="array" ref="AK484">_xlfn.IFS(S484&lt;4000,"Low",S484&lt;8000,"Medium",S484&gt;=8000,"High")</f>
        <v>Medium</v>
      </c>
      <c r="AL484" t="str" cm="1">
        <f t="array" ref="AL484">_xlfn.IFS(AF484&lt;3,"new",AF484&lt;=7,"Experienced",AF484&gt;7,"High")</f>
        <v>Experienced</v>
      </c>
      <c r="AM484" s="1"/>
    </row>
    <row r="485" spans="1:39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  <c r="AJ485" t="str">
        <f t="shared" si="7"/>
        <v>Low</v>
      </c>
      <c r="AK485" t="str" cm="1">
        <f t="array" ref="AK485">_xlfn.IFS(S485&lt;4000,"Low",S485&lt;8000,"Medium",S485&gt;=8000,"High")</f>
        <v>Low</v>
      </c>
      <c r="AL485" t="str" cm="1">
        <f t="array" ref="AL485">_xlfn.IFS(AF485&lt;3,"new",AF485&lt;=7,"Experienced",AF485&gt;7,"High")</f>
        <v>Experienced</v>
      </c>
      <c r="AM485" s="1"/>
    </row>
    <row r="486" spans="1:39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  <c r="AJ486" t="str">
        <f t="shared" si="7"/>
        <v>Low</v>
      </c>
      <c r="AK486" t="str" cm="1">
        <f t="array" ref="AK486">_xlfn.IFS(S486&lt;4000,"Low",S486&lt;8000,"Medium",S486&gt;=8000,"High")</f>
        <v>Medium</v>
      </c>
      <c r="AL486" t="str" cm="1">
        <f t="array" ref="AL486">_xlfn.IFS(AF486&lt;3,"new",AF486&lt;=7,"Experienced",AF486&gt;7,"High")</f>
        <v>Experienced</v>
      </c>
      <c r="AM486" s="1"/>
    </row>
    <row r="487" spans="1:39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  <c r="AJ487" t="str">
        <f t="shared" si="7"/>
        <v>Low</v>
      </c>
      <c r="AK487" t="str" cm="1">
        <f t="array" ref="AK487">_xlfn.IFS(S487&lt;4000,"Low",S487&lt;8000,"Medium",S487&gt;=8000,"High")</f>
        <v>Low</v>
      </c>
      <c r="AL487" t="str" cm="1">
        <f t="array" ref="AL487">_xlfn.IFS(AF487&lt;3,"new",AF487&lt;=7,"Experienced",AF487&gt;7,"High")</f>
        <v>Experienced</v>
      </c>
      <c r="AM487" s="1"/>
    </row>
    <row r="488" spans="1:39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  <c r="AJ488" t="str">
        <f t="shared" si="7"/>
        <v>High</v>
      </c>
      <c r="AK488" t="str" cm="1">
        <f t="array" ref="AK488">_xlfn.IFS(S488&lt;4000,"Low",S488&lt;8000,"Medium",S488&gt;=8000,"High")</f>
        <v>High</v>
      </c>
      <c r="AL488" t="str" cm="1">
        <f t="array" ref="AL488">_xlfn.IFS(AF488&lt;3,"new",AF488&lt;=7,"Experienced",AF488&gt;7,"High")</f>
        <v>Experienced</v>
      </c>
      <c r="AM488" s="1"/>
    </row>
    <row r="489" spans="1:39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  <c r="AJ489" t="str">
        <f t="shared" si="7"/>
        <v>Low</v>
      </c>
      <c r="AK489" t="str" cm="1">
        <f t="array" ref="AK489">_xlfn.IFS(S489&lt;4000,"Low",S489&lt;8000,"Medium",S489&gt;=8000,"High")</f>
        <v>Low</v>
      </c>
      <c r="AL489" t="str" cm="1">
        <f t="array" ref="AL489">_xlfn.IFS(AF489&lt;3,"new",AF489&lt;=7,"Experienced",AF489&gt;7,"High")</f>
        <v>new</v>
      </c>
      <c r="AM489" s="1"/>
    </row>
    <row r="490" spans="1:39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  <c r="AJ490" t="str">
        <f t="shared" si="7"/>
        <v>Low</v>
      </c>
      <c r="AK490" t="str" cm="1">
        <f t="array" ref="AK490">_xlfn.IFS(S490&lt;4000,"Low",S490&lt;8000,"Medium",S490&gt;=8000,"High")</f>
        <v>Medium</v>
      </c>
      <c r="AL490" t="str" cm="1">
        <f t="array" ref="AL490">_xlfn.IFS(AF490&lt;3,"new",AF490&lt;=7,"Experienced",AF490&gt;7,"High")</f>
        <v>High</v>
      </c>
      <c r="AM490" s="1"/>
    </row>
    <row r="491" spans="1:39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  <c r="AJ491" t="str">
        <f t="shared" si="7"/>
        <v>High</v>
      </c>
      <c r="AK491" t="str" cm="1">
        <f t="array" ref="AK491">_xlfn.IFS(S491&lt;4000,"Low",S491&lt;8000,"Medium",S491&gt;=8000,"High")</f>
        <v>High</v>
      </c>
      <c r="AL491" t="str" cm="1">
        <f t="array" ref="AL491">_xlfn.IFS(AF491&lt;3,"new",AF491&lt;=7,"Experienced",AF491&gt;7,"High")</f>
        <v>new</v>
      </c>
      <c r="AM491" s="1"/>
    </row>
    <row r="492" spans="1:39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  <c r="AJ492" t="str">
        <f t="shared" si="7"/>
        <v>Low</v>
      </c>
      <c r="AK492" t="str" cm="1">
        <f t="array" ref="AK492">_xlfn.IFS(S492&lt;4000,"Low",S492&lt;8000,"Medium",S492&gt;=8000,"High")</f>
        <v>Low</v>
      </c>
      <c r="AL492" t="str" cm="1">
        <f t="array" ref="AL492">_xlfn.IFS(AF492&lt;3,"new",AF492&lt;=7,"Experienced",AF492&gt;7,"High")</f>
        <v>new</v>
      </c>
      <c r="AM492" s="1"/>
    </row>
    <row r="493" spans="1:39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  <c r="AJ493" t="str">
        <f t="shared" si="7"/>
        <v>Low</v>
      </c>
      <c r="AK493" t="str" cm="1">
        <f t="array" ref="AK493">_xlfn.IFS(S493&lt;4000,"Low",S493&lt;8000,"Medium",S493&gt;=8000,"High")</f>
        <v>Medium</v>
      </c>
      <c r="AL493" t="str" cm="1">
        <f t="array" ref="AL493">_xlfn.IFS(AF493&lt;3,"new",AF493&lt;=7,"Experienced",AF493&gt;7,"High")</f>
        <v>High</v>
      </c>
      <c r="AM493" s="1"/>
    </row>
    <row r="494" spans="1:39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  <c r="AJ494" t="str">
        <f t="shared" si="7"/>
        <v>High</v>
      </c>
      <c r="AK494" t="str" cm="1">
        <f t="array" ref="AK494">_xlfn.IFS(S494&lt;4000,"Low",S494&lt;8000,"Medium",S494&gt;=8000,"High")</f>
        <v>High</v>
      </c>
      <c r="AL494" t="str" cm="1">
        <f t="array" ref="AL494">_xlfn.IFS(AF494&lt;3,"new",AF494&lt;=7,"Experienced",AF494&gt;7,"High")</f>
        <v>Experienced</v>
      </c>
      <c r="AM494" s="1"/>
    </row>
    <row r="495" spans="1:39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  <c r="AJ495" t="str">
        <f t="shared" si="7"/>
        <v>Low</v>
      </c>
      <c r="AK495" t="str" cm="1">
        <f t="array" ref="AK495">_xlfn.IFS(S495&lt;4000,"Low",S495&lt;8000,"Medium",S495&gt;=8000,"High")</f>
        <v>Medium</v>
      </c>
      <c r="AL495" t="str" cm="1">
        <f t="array" ref="AL495">_xlfn.IFS(AF495&lt;3,"new",AF495&lt;=7,"Experienced",AF495&gt;7,"High")</f>
        <v>new</v>
      </c>
      <c r="AM495" s="1"/>
    </row>
    <row r="496" spans="1:39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  <c r="AJ496" t="str">
        <f t="shared" si="7"/>
        <v>Low</v>
      </c>
      <c r="AK496" t="str" cm="1">
        <f t="array" ref="AK496">_xlfn.IFS(S496&lt;4000,"Low",S496&lt;8000,"Medium",S496&gt;=8000,"High")</f>
        <v>Low</v>
      </c>
      <c r="AL496" t="str" cm="1">
        <f t="array" ref="AL496">_xlfn.IFS(AF496&lt;3,"new",AF496&lt;=7,"Experienced",AF496&gt;7,"High")</f>
        <v>High</v>
      </c>
      <c r="AM496" s="1"/>
    </row>
    <row r="497" spans="1:39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  <c r="AJ497" t="str">
        <f t="shared" si="7"/>
        <v>Low</v>
      </c>
      <c r="AK497" t="str" cm="1">
        <f t="array" ref="AK497">_xlfn.IFS(S497&lt;4000,"Low",S497&lt;8000,"Medium",S497&gt;=8000,"High")</f>
        <v>Low</v>
      </c>
      <c r="AL497" t="str" cm="1">
        <f t="array" ref="AL497">_xlfn.IFS(AF497&lt;3,"new",AF497&lt;=7,"Experienced",AF497&gt;7,"High")</f>
        <v>Experienced</v>
      </c>
      <c r="AM497" s="1"/>
    </row>
    <row r="498" spans="1:39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  <c r="AJ498" t="str">
        <f t="shared" si="7"/>
        <v>Low</v>
      </c>
      <c r="AK498" t="str" cm="1">
        <f t="array" ref="AK498">_xlfn.IFS(S498&lt;4000,"Low",S498&lt;8000,"Medium",S498&gt;=8000,"High")</f>
        <v>Low</v>
      </c>
      <c r="AL498" t="str" cm="1">
        <f t="array" ref="AL498">_xlfn.IFS(AF498&lt;3,"new",AF498&lt;=7,"Experienced",AF498&gt;7,"High")</f>
        <v>Experienced</v>
      </c>
      <c r="AM498" s="1"/>
    </row>
    <row r="499" spans="1:39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  <c r="AJ499" t="str">
        <f t="shared" si="7"/>
        <v>High</v>
      </c>
      <c r="AK499" t="str" cm="1">
        <f t="array" ref="AK499">_xlfn.IFS(S499&lt;4000,"Low",S499&lt;8000,"Medium",S499&gt;=8000,"High")</f>
        <v>High</v>
      </c>
      <c r="AL499" t="str" cm="1">
        <f t="array" ref="AL499">_xlfn.IFS(AF499&lt;3,"new",AF499&lt;=7,"Experienced",AF499&gt;7,"High")</f>
        <v>new</v>
      </c>
      <c r="AM499" s="1"/>
    </row>
    <row r="500" spans="1:39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  <c r="AJ500" t="str">
        <f t="shared" si="7"/>
        <v>Low</v>
      </c>
      <c r="AK500" t="str" cm="1">
        <f t="array" ref="AK500">_xlfn.IFS(S500&lt;4000,"Low",S500&lt;8000,"Medium",S500&gt;=8000,"High")</f>
        <v>Low</v>
      </c>
      <c r="AL500" t="str" cm="1">
        <f t="array" ref="AL500">_xlfn.IFS(AF500&lt;3,"new",AF500&lt;=7,"Experienced",AF500&gt;7,"High")</f>
        <v>new</v>
      </c>
      <c r="AM500" s="1"/>
    </row>
    <row r="501" spans="1:39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  <c r="AJ501" t="str">
        <f t="shared" si="7"/>
        <v>High</v>
      </c>
      <c r="AK501" t="str" cm="1">
        <f t="array" ref="AK501">_xlfn.IFS(S501&lt;4000,"Low",S501&lt;8000,"Medium",S501&gt;=8000,"High")</f>
        <v>Medium</v>
      </c>
      <c r="AL501" t="str" cm="1">
        <f t="array" ref="AL501">_xlfn.IFS(AF501&lt;3,"new",AF501&lt;=7,"Experienced",AF501&gt;7,"High")</f>
        <v>Experienced</v>
      </c>
      <c r="AM501" s="1"/>
    </row>
    <row r="502" spans="1:39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  <c r="AJ502" t="str">
        <f t="shared" si="7"/>
        <v>Low</v>
      </c>
      <c r="AK502" t="str" cm="1">
        <f t="array" ref="AK502">_xlfn.IFS(S502&lt;4000,"Low",S502&lt;8000,"Medium",S502&gt;=8000,"High")</f>
        <v>Medium</v>
      </c>
      <c r="AL502" t="str" cm="1">
        <f t="array" ref="AL502">_xlfn.IFS(AF502&lt;3,"new",AF502&lt;=7,"Experienced",AF502&gt;7,"High")</f>
        <v>Experienced</v>
      </c>
      <c r="AM502" s="1"/>
    </row>
    <row r="503" spans="1:39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  <c r="AJ503" t="str">
        <f t="shared" si="7"/>
        <v>Low</v>
      </c>
      <c r="AK503" t="str" cm="1">
        <f t="array" ref="AK503">_xlfn.IFS(S503&lt;4000,"Low",S503&lt;8000,"Medium",S503&gt;=8000,"High")</f>
        <v>Low</v>
      </c>
      <c r="AL503" t="str" cm="1">
        <f t="array" ref="AL503">_xlfn.IFS(AF503&lt;3,"new",AF503&lt;=7,"Experienced",AF503&gt;7,"High")</f>
        <v>new</v>
      </c>
      <c r="AM503" s="1"/>
    </row>
    <row r="504" spans="1:39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  <c r="AJ504" t="str">
        <f t="shared" si="7"/>
        <v>High</v>
      </c>
      <c r="AK504" t="str" cm="1">
        <f t="array" ref="AK504">_xlfn.IFS(S504&lt;4000,"Low",S504&lt;8000,"Medium",S504&gt;=8000,"High")</f>
        <v>High</v>
      </c>
      <c r="AL504" t="str" cm="1">
        <f t="array" ref="AL504">_xlfn.IFS(AF504&lt;3,"new",AF504&lt;=7,"Experienced",AF504&gt;7,"High")</f>
        <v>High</v>
      </c>
      <c r="AM504" s="1"/>
    </row>
    <row r="505" spans="1:39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  <c r="AJ505" t="str">
        <f t="shared" si="7"/>
        <v>Low</v>
      </c>
      <c r="AK505" t="str" cm="1">
        <f t="array" ref="AK505">_xlfn.IFS(S505&lt;4000,"Low",S505&lt;8000,"Medium",S505&gt;=8000,"High")</f>
        <v>Low</v>
      </c>
      <c r="AL505" t="str" cm="1">
        <f t="array" ref="AL505">_xlfn.IFS(AF505&lt;3,"new",AF505&lt;=7,"Experienced",AF505&gt;7,"High")</f>
        <v>High</v>
      </c>
      <c r="AM505" s="1"/>
    </row>
    <row r="506" spans="1:39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  <c r="AJ506" t="str">
        <f t="shared" si="7"/>
        <v>Low</v>
      </c>
      <c r="AK506" t="str" cm="1">
        <f t="array" ref="AK506">_xlfn.IFS(S506&lt;4000,"Low",S506&lt;8000,"Medium",S506&gt;=8000,"High")</f>
        <v>Medium</v>
      </c>
      <c r="AL506" t="str" cm="1">
        <f t="array" ref="AL506">_xlfn.IFS(AF506&lt;3,"new",AF506&lt;=7,"Experienced",AF506&gt;7,"High")</f>
        <v>new</v>
      </c>
      <c r="AM506" s="1"/>
    </row>
    <row r="507" spans="1:39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  <c r="AJ507" t="str">
        <f t="shared" si="7"/>
        <v>Low</v>
      </c>
      <c r="AK507" t="str" cm="1">
        <f t="array" ref="AK507">_xlfn.IFS(S507&lt;4000,"Low",S507&lt;8000,"Medium",S507&gt;=8000,"High")</f>
        <v>Low</v>
      </c>
      <c r="AL507" t="str" cm="1">
        <f t="array" ref="AL507">_xlfn.IFS(AF507&lt;3,"new",AF507&lt;=7,"Experienced",AF507&gt;7,"High")</f>
        <v>Experienced</v>
      </c>
      <c r="AM507" s="1"/>
    </row>
    <row r="508" spans="1:39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  <c r="AJ508" t="str">
        <f t="shared" si="7"/>
        <v>High</v>
      </c>
      <c r="AK508" t="str" cm="1">
        <f t="array" ref="AK508">_xlfn.IFS(S508&lt;4000,"Low",S508&lt;8000,"Medium",S508&gt;=8000,"High")</f>
        <v>High</v>
      </c>
      <c r="AL508" t="str" cm="1">
        <f t="array" ref="AL508">_xlfn.IFS(AF508&lt;3,"new",AF508&lt;=7,"Experienced",AF508&gt;7,"High")</f>
        <v>High</v>
      </c>
      <c r="AM508" s="1"/>
    </row>
    <row r="509" spans="1:39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  <c r="AJ509" t="str">
        <f t="shared" si="7"/>
        <v>Low</v>
      </c>
      <c r="AK509" t="str" cm="1">
        <f t="array" ref="AK509">_xlfn.IFS(S509&lt;4000,"Low",S509&lt;8000,"Medium",S509&gt;=8000,"High")</f>
        <v>Medium</v>
      </c>
      <c r="AL509" t="str" cm="1">
        <f t="array" ref="AL509">_xlfn.IFS(AF509&lt;3,"new",AF509&lt;=7,"Experienced",AF509&gt;7,"High")</f>
        <v>Experienced</v>
      </c>
      <c r="AM509" s="1"/>
    </row>
    <row r="510" spans="1:39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  <c r="AJ510" t="str">
        <f t="shared" si="7"/>
        <v>High</v>
      </c>
      <c r="AK510" t="str" cm="1">
        <f t="array" ref="AK510">_xlfn.IFS(S510&lt;4000,"Low",S510&lt;8000,"Medium",S510&gt;=8000,"High")</f>
        <v>Medium</v>
      </c>
      <c r="AL510" t="str" cm="1">
        <f t="array" ref="AL510">_xlfn.IFS(AF510&lt;3,"new",AF510&lt;=7,"Experienced",AF510&gt;7,"High")</f>
        <v>High</v>
      </c>
      <c r="AM510" s="1"/>
    </row>
    <row r="511" spans="1:39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  <c r="AJ511" t="str">
        <f t="shared" si="7"/>
        <v>High</v>
      </c>
      <c r="AK511" t="str" cm="1">
        <f t="array" ref="AK511">_xlfn.IFS(S511&lt;4000,"Low",S511&lt;8000,"Medium",S511&gt;=8000,"High")</f>
        <v>Medium</v>
      </c>
      <c r="AL511" t="str" cm="1">
        <f t="array" ref="AL511">_xlfn.IFS(AF511&lt;3,"new",AF511&lt;=7,"Experienced",AF511&gt;7,"High")</f>
        <v>High</v>
      </c>
      <c r="AM511" s="1"/>
    </row>
    <row r="512" spans="1:39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  <c r="AJ512" t="str">
        <f t="shared" si="7"/>
        <v>High</v>
      </c>
      <c r="AK512" t="str" cm="1">
        <f t="array" ref="AK512">_xlfn.IFS(S512&lt;4000,"Low",S512&lt;8000,"Medium",S512&gt;=8000,"High")</f>
        <v>High</v>
      </c>
      <c r="AL512" t="str" cm="1">
        <f t="array" ref="AL512">_xlfn.IFS(AF512&lt;3,"new",AF512&lt;=7,"Experienced",AF512&gt;7,"High")</f>
        <v>High</v>
      </c>
      <c r="AM512" s="1"/>
    </row>
    <row r="513" spans="1:39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  <c r="AJ513" t="str">
        <f t="shared" si="7"/>
        <v>High</v>
      </c>
      <c r="AK513" t="str" cm="1">
        <f t="array" ref="AK513">_xlfn.IFS(S513&lt;4000,"Low",S513&lt;8000,"Medium",S513&gt;=8000,"High")</f>
        <v>High</v>
      </c>
      <c r="AL513" t="str" cm="1">
        <f t="array" ref="AL513">_xlfn.IFS(AF513&lt;3,"new",AF513&lt;=7,"Experienced",AF513&gt;7,"High")</f>
        <v>Experienced</v>
      </c>
      <c r="AM513" s="1"/>
    </row>
    <row r="514" spans="1:39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  <c r="AJ514" t="str">
        <f t="shared" ref="AJ514:AJ577" si="8">IF(S514&gt;=6500,"High","Low")</f>
        <v>Low</v>
      </c>
      <c r="AK514" t="str" cm="1">
        <f t="array" ref="AK514">_xlfn.IFS(S514&lt;4000,"Low",S514&lt;8000,"Medium",S514&gt;=8000,"High")</f>
        <v>Low</v>
      </c>
      <c r="AL514" t="str" cm="1">
        <f t="array" ref="AL514">_xlfn.IFS(AF514&lt;3,"new",AF514&lt;=7,"Experienced",AF514&gt;7,"High")</f>
        <v>Experienced</v>
      </c>
      <c r="AM514" s="1"/>
    </row>
    <row r="515" spans="1:39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  <c r="AJ515" t="str">
        <f t="shared" si="8"/>
        <v>Low</v>
      </c>
      <c r="AK515" t="str" cm="1">
        <f t="array" ref="AK515">_xlfn.IFS(S515&lt;4000,"Low",S515&lt;8000,"Medium",S515&gt;=8000,"High")</f>
        <v>Low</v>
      </c>
      <c r="AL515" t="str" cm="1">
        <f t="array" ref="AL515">_xlfn.IFS(AF515&lt;3,"new",AF515&lt;=7,"Experienced",AF515&gt;7,"High")</f>
        <v>new</v>
      </c>
      <c r="AM515" s="1"/>
    </row>
    <row r="516" spans="1:39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  <c r="AJ516" t="str">
        <f t="shared" si="8"/>
        <v>Low</v>
      </c>
      <c r="AK516" t="str" cm="1">
        <f t="array" ref="AK516">_xlfn.IFS(S516&lt;4000,"Low",S516&lt;8000,"Medium",S516&gt;=8000,"High")</f>
        <v>Low</v>
      </c>
      <c r="AL516" t="str" cm="1">
        <f t="array" ref="AL516">_xlfn.IFS(AF516&lt;3,"new",AF516&lt;=7,"Experienced",AF516&gt;7,"High")</f>
        <v>High</v>
      </c>
      <c r="AM516" s="1"/>
    </row>
    <row r="517" spans="1:39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  <c r="AJ517" t="str">
        <f t="shared" si="8"/>
        <v>Low</v>
      </c>
      <c r="AK517" t="str" cm="1">
        <f t="array" ref="AK517">_xlfn.IFS(S517&lt;4000,"Low",S517&lt;8000,"Medium",S517&gt;=8000,"High")</f>
        <v>Low</v>
      </c>
      <c r="AL517" t="str" cm="1">
        <f t="array" ref="AL517">_xlfn.IFS(AF517&lt;3,"new",AF517&lt;=7,"Experienced",AF517&gt;7,"High")</f>
        <v>new</v>
      </c>
      <c r="AM517" s="1"/>
    </row>
    <row r="518" spans="1:39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  <c r="AJ518" t="str">
        <f t="shared" si="8"/>
        <v>Low</v>
      </c>
      <c r="AK518" t="str" cm="1">
        <f t="array" ref="AK518">_xlfn.IFS(S518&lt;4000,"Low",S518&lt;8000,"Medium",S518&gt;=8000,"High")</f>
        <v>Low</v>
      </c>
      <c r="AL518" t="str" cm="1">
        <f t="array" ref="AL518">_xlfn.IFS(AF518&lt;3,"new",AF518&lt;=7,"Experienced",AF518&gt;7,"High")</f>
        <v>Experienced</v>
      </c>
      <c r="AM518" s="1"/>
    </row>
    <row r="519" spans="1:39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  <c r="AJ519" t="str">
        <f t="shared" si="8"/>
        <v>Low</v>
      </c>
      <c r="AK519" t="str" cm="1">
        <f t="array" ref="AK519">_xlfn.IFS(S519&lt;4000,"Low",S519&lt;8000,"Medium",S519&gt;=8000,"High")</f>
        <v>Medium</v>
      </c>
      <c r="AL519" t="str" cm="1">
        <f t="array" ref="AL519">_xlfn.IFS(AF519&lt;3,"new",AF519&lt;=7,"Experienced",AF519&gt;7,"High")</f>
        <v>Experienced</v>
      </c>
      <c r="AM519" s="1"/>
    </row>
    <row r="520" spans="1:39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  <c r="AJ520" t="str">
        <f t="shared" si="8"/>
        <v>Low</v>
      </c>
      <c r="AK520" t="str" cm="1">
        <f t="array" ref="AK520">_xlfn.IFS(S520&lt;4000,"Low",S520&lt;8000,"Medium",S520&gt;=8000,"High")</f>
        <v>Medium</v>
      </c>
      <c r="AL520" t="str" cm="1">
        <f t="array" ref="AL520">_xlfn.IFS(AF520&lt;3,"new",AF520&lt;=7,"Experienced",AF520&gt;7,"High")</f>
        <v>Experienced</v>
      </c>
      <c r="AM520" s="1"/>
    </row>
    <row r="521" spans="1:39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  <c r="AJ521" t="str">
        <f t="shared" si="8"/>
        <v>Low</v>
      </c>
      <c r="AK521" t="str" cm="1">
        <f t="array" ref="AK521">_xlfn.IFS(S521&lt;4000,"Low",S521&lt;8000,"Medium",S521&gt;=8000,"High")</f>
        <v>Low</v>
      </c>
      <c r="AL521" t="str" cm="1">
        <f t="array" ref="AL521">_xlfn.IFS(AF521&lt;3,"new",AF521&lt;=7,"Experienced",AF521&gt;7,"High")</f>
        <v>High</v>
      </c>
      <c r="AM521" s="1"/>
    </row>
    <row r="522" spans="1:39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  <c r="AJ522" t="str">
        <f t="shared" si="8"/>
        <v>High</v>
      </c>
      <c r="AK522" t="str" cm="1">
        <f t="array" ref="AK522">_xlfn.IFS(S522&lt;4000,"Low",S522&lt;8000,"Medium",S522&gt;=8000,"High")</f>
        <v>High</v>
      </c>
      <c r="AL522" t="str" cm="1">
        <f t="array" ref="AL522">_xlfn.IFS(AF522&lt;3,"new",AF522&lt;=7,"Experienced",AF522&gt;7,"High")</f>
        <v>new</v>
      </c>
      <c r="AM522" s="1"/>
    </row>
    <row r="523" spans="1:39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  <c r="AJ523" t="str">
        <f t="shared" si="8"/>
        <v>Low</v>
      </c>
      <c r="AK523" t="str" cm="1">
        <f t="array" ref="AK523">_xlfn.IFS(S523&lt;4000,"Low",S523&lt;8000,"Medium",S523&gt;=8000,"High")</f>
        <v>Medium</v>
      </c>
      <c r="AL523" t="str" cm="1">
        <f t="array" ref="AL523">_xlfn.IFS(AF523&lt;3,"new",AF523&lt;=7,"Experienced",AF523&gt;7,"High")</f>
        <v>Experienced</v>
      </c>
      <c r="AM523" s="1"/>
    </row>
    <row r="524" spans="1:39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  <c r="AJ524" t="str">
        <f t="shared" si="8"/>
        <v>Low</v>
      </c>
      <c r="AK524" t="str" cm="1">
        <f t="array" ref="AK524">_xlfn.IFS(S524&lt;4000,"Low",S524&lt;8000,"Medium",S524&gt;=8000,"High")</f>
        <v>Medium</v>
      </c>
      <c r="AL524" t="str" cm="1">
        <f t="array" ref="AL524">_xlfn.IFS(AF524&lt;3,"new",AF524&lt;=7,"Experienced",AF524&gt;7,"High")</f>
        <v>new</v>
      </c>
      <c r="AM524" s="1"/>
    </row>
    <row r="525" spans="1:39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  <c r="AJ525" t="str">
        <f t="shared" si="8"/>
        <v>Low</v>
      </c>
      <c r="AK525" t="str" cm="1">
        <f t="array" ref="AK525">_xlfn.IFS(S525&lt;4000,"Low",S525&lt;8000,"Medium",S525&gt;=8000,"High")</f>
        <v>Low</v>
      </c>
      <c r="AL525" t="str" cm="1">
        <f t="array" ref="AL525">_xlfn.IFS(AF525&lt;3,"new",AF525&lt;=7,"Experienced",AF525&gt;7,"High")</f>
        <v>High</v>
      </c>
      <c r="AM525" s="1"/>
    </row>
    <row r="526" spans="1:39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  <c r="AJ526" t="str">
        <f t="shared" si="8"/>
        <v>High</v>
      </c>
      <c r="AK526" t="str" cm="1">
        <f t="array" ref="AK526">_xlfn.IFS(S526&lt;4000,"Low",S526&lt;8000,"Medium",S526&gt;=8000,"High")</f>
        <v>High</v>
      </c>
      <c r="AL526" t="str" cm="1">
        <f t="array" ref="AL526">_xlfn.IFS(AF526&lt;3,"new",AF526&lt;=7,"Experienced",AF526&gt;7,"High")</f>
        <v>High</v>
      </c>
      <c r="AM526" s="1"/>
    </row>
    <row r="527" spans="1:39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  <c r="AJ527" t="str">
        <f t="shared" si="8"/>
        <v>Low</v>
      </c>
      <c r="AK527" t="str" cm="1">
        <f t="array" ref="AK527">_xlfn.IFS(S527&lt;4000,"Low",S527&lt;8000,"Medium",S527&gt;=8000,"High")</f>
        <v>Medium</v>
      </c>
      <c r="AL527" t="str" cm="1">
        <f t="array" ref="AL527">_xlfn.IFS(AF527&lt;3,"new",AF527&lt;=7,"Experienced",AF527&gt;7,"High")</f>
        <v>new</v>
      </c>
      <c r="AM527" s="1"/>
    </row>
    <row r="528" spans="1:39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  <c r="AJ528" t="str">
        <f t="shared" si="8"/>
        <v>Low</v>
      </c>
      <c r="AK528" t="str" cm="1">
        <f t="array" ref="AK528">_xlfn.IFS(S528&lt;4000,"Low",S528&lt;8000,"Medium",S528&gt;=8000,"High")</f>
        <v>Medium</v>
      </c>
      <c r="AL528" t="str" cm="1">
        <f t="array" ref="AL528">_xlfn.IFS(AF528&lt;3,"new",AF528&lt;=7,"Experienced",AF528&gt;7,"High")</f>
        <v>High</v>
      </c>
      <c r="AM528" s="1"/>
    </row>
    <row r="529" spans="1:39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  <c r="AJ529" t="str">
        <f t="shared" si="8"/>
        <v>Low</v>
      </c>
      <c r="AK529" t="str" cm="1">
        <f t="array" ref="AK529">_xlfn.IFS(S529&lt;4000,"Low",S529&lt;8000,"Medium",S529&gt;=8000,"High")</f>
        <v>Medium</v>
      </c>
      <c r="AL529" t="str" cm="1">
        <f t="array" ref="AL529">_xlfn.IFS(AF529&lt;3,"new",AF529&lt;=7,"Experienced",AF529&gt;7,"High")</f>
        <v>High</v>
      </c>
      <c r="AM529" s="1"/>
    </row>
    <row r="530" spans="1:39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  <c r="AJ530" t="str">
        <f t="shared" si="8"/>
        <v>High</v>
      </c>
      <c r="AK530" t="str" cm="1">
        <f t="array" ref="AK530">_xlfn.IFS(S530&lt;4000,"Low",S530&lt;8000,"Medium",S530&gt;=8000,"High")</f>
        <v>Medium</v>
      </c>
      <c r="AL530" t="str" cm="1">
        <f t="array" ref="AL530">_xlfn.IFS(AF530&lt;3,"new",AF530&lt;=7,"Experienced",AF530&gt;7,"High")</f>
        <v>Experienced</v>
      </c>
      <c r="AM530" s="1"/>
    </row>
    <row r="531" spans="1:39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  <c r="AJ531" t="str">
        <f t="shared" si="8"/>
        <v>High</v>
      </c>
      <c r="AK531" t="str" cm="1">
        <f t="array" ref="AK531">_xlfn.IFS(S531&lt;4000,"Low",S531&lt;8000,"Medium",S531&gt;=8000,"High")</f>
        <v>Medium</v>
      </c>
      <c r="AL531" t="str" cm="1">
        <f t="array" ref="AL531">_xlfn.IFS(AF531&lt;3,"new",AF531&lt;=7,"Experienced",AF531&gt;7,"High")</f>
        <v>High</v>
      </c>
      <c r="AM531" s="1"/>
    </row>
    <row r="532" spans="1:39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  <c r="AJ532" t="str">
        <f t="shared" si="8"/>
        <v>High</v>
      </c>
      <c r="AK532" t="str" cm="1">
        <f t="array" ref="AK532">_xlfn.IFS(S532&lt;4000,"Low",S532&lt;8000,"Medium",S532&gt;=8000,"High")</f>
        <v>Medium</v>
      </c>
      <c r="AL532" t="str" cm="1">
        <f t="array" ref="AL532">_xlfn.IFS(AF532&lt;3,"new",AF532&lt;=7,"Experienced",AF532&gt;7,"High")</f>
        <v>High</v>
      </c>
      <c r="AM532" s="1"/>
    </row>
    <row r="533" spans="1:39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  <c r="AJ533" t="str">
        <f t="shared" si="8"/>
        <v>High</v>
      </c>
      <c r="AK533" t="str" cm="1">
        <f t="array" ref="AK533">_xlfn.IFS(S533&lt;4000,"Low",S533&lt;8000,"Medium",S533&gt;=8000,"High")</f>
        <v>High</v>
      </c>
      <c r="AL533" t="str" cm="1">
        <f t="array" ref="AL533">_xlfn.IFS(AF533&lt;3,"new",AF533&lt;=7,"Experienced",AF533&gt;7,"High")</f>
        <v>Experienced</v>
      </c>
      <c r="AM533" s="1"/>
    </row>
    <row r="534" spans="1:39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  <c r="AJ534" t="str">
        <f t="shared" si="8"/>
        <v>Low</v>
      </c>
      <c r="AK534" t="str" cm="1">
        <f t="array" ref="AK534">_xlfn.IFS(S534&lt;4000,"Low",S534&lt;8000,"Medium",S534&gt;=8000,"High")</f>
        <v>Medium</v>
      </c>
      <c r="AL534" t="str" cm="1">
        <f t="array" ref="AL534">_xlfn.IFS(AF534&lt;3,"new",AF534&lt;=7,"Experienced",AF534&gt;7,"High")</f>
        <v>Experienced</v>
      </c>
      <c r="AM534" s="1"/>
    </row>
    <row r="535" spans="1:39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  <c r="AJ535" t="str">
        <f t="shared" si="8"/>
        <v>High</v>
      </c>
      <c r="AK535" t="str" cm="1">
        <f t="array" ref="AK535">_xlfn.IFS(S535&lt;4000,"Low",S535&lt;8000,"Medium",S535&gt;=8000,"High")</f>
        <v>High</v>
      </c>
      <c r="AL535" t="str" cm="1">
        <f t="array" ref="AL535">_xlfn.IFS(AF535&lt;3,"new",AF535&lt;=7,"Experienced",AF535&gt;7,"High")</f>
        <v>High</v>
      </c>
      <c r="AM535" s="1"/>
    </row>
    <row r="536" spans="1:39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  <c r="AJ536" t="str">
        <f t="shared" si="8"/>
        <v>High</v>
      </c>
      <c r="AK536" t="str" cm="1">
        <f t="array" ref="AK536">_xlfn.IFS(S536&lt;4000,"Low",S536&lt;8000,"Medium",S536&gt;=8000,"High")</f>
        <v>High</v>
      </c>
      <c r="AL536" t="str" cm="1">
        <f t="array" ref="AL536">_xlfn.IFS(AF536&lt;3,"new",AF536&lt;=7,"Experienced",AF536&gt;7,"High")</f>
        <v>Experienced</v>
      </c>
      <c r="AM536" s="1"/>
    </row>
    <row r="537" spans="1:39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  <c r="AJ537" t="str">
        <f t="shared" si="8"/>
        <v>High</v>
      </c>
      <c r="AK537" t="str" cm="1">
        <f t="array" ref="AK537">_xlfn.IFS(S537&lt;4000,"Low",S537&lt;8000,"Medium",S537&gt;=8000,"High")</f>
        <v>High</v>
      </c>
      <c r="AL537" t="str" cm="1">
        <f t="array" ref="AL537">_xlfn.IFS(AF537&lt;3,"new",AF537&lt;=7,"Experienced",AF537&gt;7,"High")</f>
        <v>High</v>
      </c>
      <c r="AM537" s="1"/>
    </row>
    <row r="538" spans="1:39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  <c r="AJ538" t="str">
        <f t="shared" si="8"/>
        <v>Low</v>
      </c>
      <c r="AK538" t="str" cm="1">
        <f t="array" ref="AK538">_xlfn.IFS(S538&lt;4000,"Low",S538&lt;8000,"Medium",S538&gt;=8000,"High")</f>
        <v>Medium</v>
      </c>
      <c r="AL538" t="str" cm="1">
        <f t="array" ref="AL538">_xlfn.IFS(AF538&lt;3,"new",AF538&lt;=7,"Experienced",AF538&gt;7,"High")</f>
        <v>new</v>
      </c>
      <c r="AM538" s="1"/>
    </row>
    <row r="539" spans="1:39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  <c r="AJ539" t="str">
        <f t="shared" si="8"/>
        <v>High</v>
      </c>
      <c r="AK539" t="str" cm="1">
        <f t="array" ref="AK539">_xlfn.IFS(S539&lt;4000,"Low",S539&lt;8000,"Medium",S539&gt;=8000,"High")</f>
        <v>High</v>
      </c>
      <c r="AL539" t="str" cm="1">
        <f t="array" ref="AL539">_xlfn.IFS(AF539&lt;3,"new",AF539&lt;=7,"Experienced",AF539&gt;7,"High")</f>
        <v>High</v>
      </c>
      <c r="AM539" s="1"/>
    </row>
    <row r="540" spans="1:39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  <c r="AJ540" t="str">
        <f t="shared" si="8"/>
        <v>High</v>
      </c>
      <c r="AK540" t="str" cm="1">
        <f t="array" ref="AK540">_xlfn.IFS(S540&lt;4000,"Low",S540&lt;8000,"Medium",S540&gt;=8000,"High")</f>
        <v>High</v>
      </c>
      <c r="AL540" t="str" cm="1">
        <f t="array" ref="AL540">_xlfn.IFS(AF540&lt;3,"new",AF540&lt;=7,"Experienced",AF540&gt;7,"High")</f>
        <v>High</v>
      </c>
      <c r="AM540" s="1"/>
    </row>
    <row r="541" spans="1:39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  <c r="AJ541" t="str">
        <f t="shared" si="8"/>
        <v>Low</v>
      </c>
      <c r="AK541" t="str" cm="1">
        <f t="array" ref="AK541">_xlfn.IFS(S541&lt;4000,"Low",S541&lt;8000,"Medium",S541&gt;=8000,"High")</f>
        <v>Low</v>
      </c>
      <c r="AL541" t="str" cm="1">
        <f t="array" ref="AL541">_xlfn.IFS(AF541&lt;3,"new",AF541&lt;=7,"Experienced",AF541&gt;7,"High")</f>
        <v>new</v>
      </c>
      <c r="AM541" s="1"/>
    </row>
    <row r="542" spans="1:39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  <c r="AJ542" t="str">
        <f t="shared" si="8"/>
        <v>Low</v>
      </c>
      <c r="AK542" t="str" cm="1">
        <f t="array" ref="AK542">_xlfn.IFS(S542&lt;4000,"Low",S542&lt;8000,"Medium",S542&gt;=8000,"High")</f>
        <v>Low</v>
      </c>
      <c r="AL542" t="str" cm="1">
        <f t="array" ref="AL542">_xlfn.IFS(AF542&lt;3,"new",AF542&lt;=7,"Experienced",AF542&gt;7,"High")</f>
        <v>Experienced</v>
      </c>
      <c r="AM542" s="1"/>
    </row>
    <row r="543" spans="1:39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  <c r="AJ543" t="str">
        <f t="shared" si="8"/>
        <v>High</v>
      </c>
      <c r="AK543" t="str" cm="1">
        <f t="array" ref="AK543">_xlfn.IFS(S543&lt;4000,"Low",S543&lt;8000,"Medium",S543&gt;=8000,"High")</f>
        <v>High</v>
      </c>
      <c r="AL543" t="str" cm="1">
        <f t="array" ref="AL543">_xlfn.IFS(AF543&lt;3,"new",AF543&lt;=7,"Experienced",AF543&gt;7,"High")</f>
        <v>High</v>
      </c>
      <c r="AM543" s="1"/>
    </row>
    <row r="544" spans="1:39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  <c r="AJ544" t="str">
        <f t="shared" si="8"/>
        <v>High</v>
      </c>
      <c r="AK544" t="str" cm="1">
        <f t="array" ref="AK544">_xlfn.IFS(S544&lt;4000,"Low",S544&lt;8000,"Medium",S544&gt;=8000,"High")</f>
        <v>Medium</v>
      </c>
      <c r="AL544" t="str" cm="1">
        <f t="array" ref="AL544">_xlfn.IFS(AF544&lt;3,"new",AF544&lt;=7,"Experienced",AF544&gt;7,"High")</f>
        <v>new</v>
      </c>
      <c r="AM544" s="1"/>
    </row>
    <row r="545" spans="1:39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  <c r="AJ545" t="str">
        <f t="shared" si="8"/>
        <v>Low</v>
      </c>
      <c r="AK545" t="str" cm="1">
        <f t="array" ref="AK545">_xlfn.IFS(S545&lt;4000,"Low",S545&lt;8000,"Medium",S545&gt;=8000,"High")</f>
        <v>Low</v>
      </c>
      <c r="AL545" t="str" cm="1">
        <f t="array" ref="AL545">_xlfn.IFS(AF545&lt;3,"new",AF545&lt;=7,"Experienced",AF545&gt;7,"High")</f>
        <v>Experienced</v>
      </c>
      <c r="AM545" s="1"/>
    </row>
    <row r="546" spans="1:39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  <c r="AJ546" t="str">
        <f t="shared" si="8"/>
        <v>High</v>
      </c>
      <c r="AK546" t="str" cm="1">
        <f t="array" ref="AK546">_xlfn.IFS(S546&lt;4000,"Low",S546&lt;8000,"Medium",S546&gt;=8000,"High")</f>
        <v>High</v>
      </c>
      <c r="AL546" t="str" cm="1">
        <f t="array" ref="AL546">_xlfn.IFS(AF546&lt;3,"new",AF546&lt;=7,"Experienced",AF546&gt;7,"High")</f>
        <v>High</v>
      </c>
      <c r="AM546" s="1"/>
    </row>
    <row r="547" spans="1:39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  <c r="AJ547" t="str">
        <f t="shared" si="8"/>
        <v>Low</v>
      </c>
      <c r="AK547" t="str" cm="1">
        <f t="array" ref="AK547">_xlfn.IFS(S547&lt;4000,"Low",S547&lt;8000,"Medium",S547&gt;=8000,"High")</f>
        <v>Medium</v>
      </c>
      <c r="AL547" t="str" cm="1">
        <f t="array" ref="AL547">_xlfn.IFS(AF547&lt;3,"new",AF547&lt;=7,"Experienced",AF547&gt;7,"High")</f>
        <v>High</v>
      </c>
      <c r="AM547" s="1"/>
    </row>
    <row r="548" spans="1:39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  <c r="AJ548" t="str">
        <f t="shared" si="8"/>
        <v>Low</v>
      </c>
      <c r="AK548" t="str" cm="1">
        <f t="array" ref="AK548">_xlfn.IFS(S548&lt;4000,"Low",S548&lt;8000,"Medium",S548&gt;=8000,"High")</f>
        <v>Low</v>
      </c>
      <c r="AL548" t="str" cm="1">
        <f t="array" ref="AL548">_xlfn.IFS(AF548&lt;3,"new",AF548&lt;=7,"Experienced",AF548&gt;7,"High")</f>
        <v>new</v>
      </c>
      <c r="AM548" s="1"/>
    </row>
    <row r="549" spans="1:39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  <c r="AJ549" t="str">
        <f t="shared" si="8"/>
        <v>Low</v>
      </c>
      <c r="AK549" t="str" cm="1">
        <f t="array" ref="AK549">_xlfn.IFS(S549&lt;4000,"Low",S549&lt;8000,"Medium",S549&gt;=8000,"High")</f>
        <v>Low</v>
      </c>
      <c r="AL549" t="str" cm="1">
        <f t="array" ref="AL549">_xlfn.IFS(AF549&lt;3,"new",AF549&lt;=7,"Experienced",AF549&gt;7,"High")</f>
        <v>new</v>
      </c>
      <c r="AM549" s="1"/>
    </row>
    <row r="550" spans="1:39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  <c r="AJ550" t="str">
        <f t="shared" si="8"/>
        <v>High</v>
      </c>
      <c r="AK550" t="str" cm="1">
        <f t="array" ref="AK550">_xlfn.IFS(S550&lt;4000,"Low",S550&lt;8000,"Medium",S550&gt;=8000,"High")</f>
        <v>Medium</v>
      </c>
      <c r="AL550" t="str" cm="1">
        <f t="array" ref="AL550">_xlfn.IFS(AF550&lt;3,"new",AF550&lt;=7,"Experienced",AF550&gt;7,"High")</f>
        <v>new</v>
      </c>
      <c r="AM550" s="1"/>
    </row>
    <row r="551" spans="1:39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  <c r="AJ551" t="str">
        <f t="shared" si="8"/>
        <v>Low</v>
      </c>
      <c r="AK551" t="str" cm="1">
        <f t="array" ref="AK551">_xlfn.IFS(S551&lt;4000,"Low",S551&lt;8000,"Medium",S551&gt;=8000,"High")</f>
        <v>Medium</v>
      </c>
      <c r="AL551" t="str" cm="1">
        <f t="array" ref="AL551">_xlfn.IFS(AF551&lt;3,"new",AF551&lt;=7,"Experienced",AF551&gt;7,"High")</f>
        <v>Experienced</v>
      </c>
      <c r="AM551" s="1"/>
    </row>
    <row r="552" spans="1:39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  <c r="AJ552" t="str">
        <f t="shared" si="8"/>
        <v>Low</v>
      </c>
      <c r="AK552" t="str" cm="1">
        <f t="array" ref="AK552">_xlfn.IFS(S552&lt;4000,"Low",S552&lt;8000,"Medium",S552&gt;=8000,"High")</f>
        <v>Low</v>
      </c>
      <c r="AL552" t="str" cm="1">
        <f t="array" ref="AL552">_xlfn.IFS(AF552&lt;3,"new",AF552&lt;=7,"Experienced",AF552&gt;7,"High")</f>
        <v>Experienced</v>
      </c>
      <c r="AM552" s="1"/>
    </row>
    <row r="553" spans="1:39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  <c r="AJ553" t="str">
        <f t="shared" si="8"/>
        <v>Low</v>
      </c>
      <c r="AK553" t="str" cm="1">
        <f t="array" ref="AK553">_xlfn.IFS(S553&lt;4000,"Low",S553&lt;8000,"Medium",S553&gt;=8000,"High")</f>
        <v>Medium</v>
      </c>
      <c r="AL553" t="str" cm="1">
        <f t="array" ref="AL553">_xlfn.IFS(AF553&lt;3,"new",AF553&lt;=7,"Experienced",AF553&gt;7,"High")</f>
        <v>High</v>
      </c>
      <c r="AM553" s="1"/>
    </row>
    <row r="554" spans="1:39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  <c r="AJ554" t="str">
        <f t="shared" si="8"/>
        <v>High</v>
      </c>
      <c r="AK554" t="str" cm="1">
        <f t="array" ref="AK554">_xlfn.IFS(S554&lt;4000,"Low",S554&lt;8000,"Medium",S554&gt;=8000,"High")</f>
        <v>High</v>
      </c>
      <c r="AL554" t="str" cm="1">
        <f t="array" ref="AL554">_xlfn.IFS(AF554&lt;3,"new",AF554&lt;=7,"Experienced",AF554&gt;7,"High")</f>
        <v>High</v>
      </c>
      <c r="AM554" s="1"/>
    </row>
    <row r="555" spans="1:39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  <c r="AJ555" t="str">
        <f t="shared" si="8"/>
        <v>Low</v>
      </c>
      <c r="AK555" t="str" cm="1">
        <f t="array" ref="AK555">_xlfn.IFS(S555&lt;4000,"Low",S555&lt;8000,"Medium",S555&gt;=8000,"High")</f>
        <v>Low</v>
      </c>
      <c r="AL555" t="str" cm="1">
        <f t="array" ref="AL555">_xlfn.IFS(AF555&lt;3,"new",AF555&lt;=7,"Experienced",AF555&gt;7,"High")</f>
        <v>Experienced</v>
      </c>
      <c r="AM555" s="1"/>
    </row>
    <row r="556" spans="1:39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  <c r="AJ556" t="str">
        <f t="shared" si="8"/>
        <v>High</v>
      </c>
      <c r="AK556" t="str" cm="1">
        <f t="array" ref="AK556">_xlfn.IFS(S556&lt;4000,"Low",S556&lt;8000,"Medium",S556&gt;=8000,"High")</f>
        <v>Medium</v>
      </c>
      <c r="AL556" t="str" cm="1">
        <f t="array" ref="AL556">_xlfn.IFS(AF556&lt;3,"new",AF556&lt;=7,"Experienced",AF556&gt;7,"High")</f>
        <v>Experienced</v>
      </c>
      <c r="AM556" s="1"/>
    </row>
    <row r="557" spans="1:39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  <c r="AJ557" t="str">
        <f t="shared" si="8"/>
        <v>Low</v>
      </c>
      <c r="AK557" t="str" cm="1">
        <f t="array" ref="AK557">_xlfn.IFS(S557&lt;4000,"Low",S557&lt;8000,"Medium",S557&gt;=8000,"High")</f>
        <v>Low</v>
      </c>
      <c r="AL557" t="str" cm="1">
        <f t="array" ref="AL557">_xlfn.IFS(AF557&lt;3,"new",AF557&lt;=7,"Experienced",AF557&gt;7,"High")</f>
        <v>new</v>
      </c>
      <c r="AM557" s="1"/>
    </row>
    <row r="558" spans="1:39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  <c r="AJ558" t="str">
        <f t="shared" si="8"/>
        <v>Low</v>
      </c>
      <c r="AK558" t="str" cm="1">
        <f t="array" ref="AK558">_xlfn.IFS(S558&lt;4000,"Low",S558&lt;8000,"Medium",S558&gt;=8000,"High")</f>
        <v>Low</v>
      </c>
      <c r="AL558" t="str" cm="1">
        <f t="array" ref="AL558">_xlfn.IFS(AF558&lt;3,"new",AF558&lt;=7,"Experienced",AF558&gt;7,"High")</f>
        <v>new</v>
      </c>
      <c r="AM558" s="1"/>
    </row>
    <row r="559" spans="1:39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  <c r="AJ559" t="str">
        <f t="shared" si="8"/>
        <v>Low</v>
      </c>
      <c r="AK559" t="str" cm="1">
        <f t="array" ref="AK559">_xlfn.IFS(S559&lt;4000,"Low",S559&lt;8000,"Medium",S559&gt;=8000,"High")</f>
        <v>Medium</v>
      </c>
      <c r="AL559" t="str" cm="1">
        <f t="array" ref="AL559">_xlfn.IFS(AF559&lt;3,"new",AF559&lt;=7,"Experienced",AF559&gt;7,"High")</f>
        <v>new</v>
      </c>
      <c r="AM559" s="1"/>
    </row>
    <row r="560" spans="1:39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  <c r="AJ560" t="str">
        <f t="shared" si="8"/>
        <v>Low</v>
      </c>
      <c r="AK560" t="str" cm="1">
        <f t="array" ref="AK560">_xlfn.IFS(S560&lt;4000,"Low",S560&lt;8000,"Medium",S560&gt;=8000,"High")</f>
        <v>Medium</v>
      </c>
      <c r="AL560" t="str" cm="1">
        <f t="array" ref="AL560">_xlfn.IFS(AF560&lt;3,"new",AF560&lt;=7,"Experienced",AF560&gt;7,"High")</f>
        <v>High</v>
      </c>
      <c r="AM560" s="1"/>
    </row>
    <row r="561" spans="1:39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  <c r="AJ561" t="str">
        <f t="shared" si="8"/>
        <v>Low</v>
      </c>
      <c r="AK561" t="str" cm="1">
        <f t="array" ref="AK561">_xlfn.IFS(S561&lt;4000,"Low",S561&lt;8000,"Medium",S561&gt;=8000,"High")</f>
        <v>Low</v>
      </c>
      <c r="AL561" t="str" cm="1">
        <f t="array" ref="AL561">_xlfn.IFS(AF561&lt;3,"new",AF561&lt;=7,"Experienced",AF561&gt;7,"High")</f>
        <v>new</v>
      </c>
      <c r="AM561" s="1"/>
    </row>
    <row r="562" spans="1:39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  <c r="AJ562" t="str">
        <f t="shared" si="8"/>
        <v>Low</v>
      </c>
      <c r="AK562" t="str" cm="1">
        <f t="array" ref="AK562">_xlfn.IFS(S562&lt;4000,"Low",S562&lt;8000,"Medium",S562&gt;=8000,"High")</f>
        <v>Medium</v>
      </c>
      <c r="AL562" t="str" cm="1">
        <f t="array" ref="AL562">_xlfn.IFS(AF562&lt;3,"new",AF562&lt;=7,"Experienced",AF562&gt;7,"High")</f>
        <v>new</v>
      </c>
      <c r="AM562" s="1"/>
    </row>
    <row r="563" spans="1:39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  <c r="AJ563" t="str">
        <f t="shared" si="8"/>
        <v>High</v>
      </c>
      <c r="AK563" t="str" cm="1">
        <f t="array" ref="AK563">_xlfn.IFS(S563&lt;4000,"Low",S563&lt;8000,"Medium",S563&gt;=8000,"High")</f>
        <v>High</v>
      </c>
      <c r="AL563" t="str" cm="1">
        <f t="array" ref="AL563">_xlfn.IFS(AF563&lt;3,"new",AF563&lt;=7,"Experienced",AF563&gt;7,"High")</f>
        <v>High</v>
      </c>
      <c r="AM563" s="1"/>
    </row>
    <row r="564" spans="1:39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  <c r="AJ564" t="str">
        <f t="shared" si="8"/>
        <v>Low</v>
      </c>
      <c r="AK564" t="str" cm="1">
        <f t="array" ref="AK564">_xlfn.IFS(S564&lt;4000,"Low",S564&lt;8000,"Medium",S564&gt;=8000,"High")</f>
        <v>Low</v>
      </c>
      <c r="AL564" t="str" cm="1">
        <f t="array" ref="AL564">_xlfn.IFS(AF564&lt;3,"new",AF564&lt;=7,"Experienced",AF564&gt;7,"High")</f>
        <v>High</v>
      </c>
      <c r="AM564" s="1"/>
    </row>
    <row r="565" spans="1:39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  <c r="AJ565" t="str">
        <f t="shared" si="8"/>
        <v>Low</v>
      </c>
      <c r="AK565" t="str" cm="1">
        <f t="array" ref="AK565">_xlfn.IFS(S565&lt;4000,"Low",S565&lt;8000,"Medium",S565&gt;=8000,"High")</f>
        <v>Medium</v>
      </c>
      <c r="AL565" t="str" cm="1">
        <f t="array" ref="AL565">_xlfn.IFS(AF565&lt;3,"new",AF565&lt;=7,"Experienced",AF565&gt;7,"High")</f>
        <v>Experienced</v>
      </c>
      <c r="AM565" s="1"/>
    </row>
    <row r="566" spans="1:39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  <c r="AJ566" t="str">
        <f t="shared" si="8"/>
        <v>High</v>
      </c>
      <c r="AK566" t="str" cm="1">
        <f t="array" ref="AK566">_xlfn.IFS(S566&lt;4000,"Low",S566&lt;8000,"Medium",S566&gt;=8000,"High")</f>
        <v>Medium</v>
      </c>
      <c r="AL566" t="str" cm="1">
        <f t="array" ref="AL566">_xlfn.IFS(AF566&lt;3,"new",AF566&lt;=7,"Experienced",AF566&gt;7,"High")</f>
        <v>High</v>
      </c>
      <c r="AM566" s="1"/>
    </row>
    <row r="567" spans="1:39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  <c r="AJ567" t="str">
        <f t="shared" si="8"/>
        <v>Low</v>
      </c>
      <c r="AK567" t="str" cm="1">
        <f t="array" ref="AK567">_xlfn.IFS(S567&lt;4000,"Low",S567&lt;8000,"Medium",S567&gt;=8000,"High")</f>
        <v>Low</v>
      </c>
      <c r="AL567" t="str" cm="1">
        <f t="array" ref="AL567">_xlfn.IFS(AF567&lt;3,"new",AF567&lt;=7,"Experienced",AF567&gt;7,"High")</f>
        <v>new</v>
      </c>
      <c r="AM567" s="1"/>
    </row>
    <row r="568" spans="1:39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  <c r="AJ568" t="str">
        <f t="shared" si="8"/>
        <v>Low</v>
      </c>
      <c r="AK568" t="str" cm="1">
        <f t="array" ref="AK568">_xlfn.IFS(S568&lt;4000,"Low",S568&lt;8000,"Medium",S568&gt;=8000,"High")</f>
        <v>Medium</v>
      </c>
      <c r="AL568" t="str" cm="1">
        <f t="array" ref="AL568">_xlfn.IFS(AF568&lt;3,"new",AF568&lt;=7,"Experienced",AF568&gt;7,"High")</f>
        <v>Experienced</v>
      </c>
      <c r="AM568" s="1"/>
    </row>
    <row r="569" spans="1:39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  <c r="AJ569" t="str">
        <f t="shared" si="8"/>
        <v>Low</v>
      </c>
      <c r="AK569" t="str" cm="1">
        <f t="array" ref="AK569">_xlfn.IFS(S569&lt;4000,"Low",S569&lt;8000,"Medium",S569&gt;=8000,"High")</f>
        <v>Medium</v>
      </c>
      <c r="AL569" t="str" cm="1">
        <f t="array" ref="AL569">_xlfn.IFS(AF569&lt;3,"new",AF569&lt;=7,"Experienced",AF569&gt;7,"High")</f>
        <v>Experienced</v>
      </c>
      <c r="AM569" s="1"/>
    </row>
    <row r="570" spans="1:39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  <c r="AJ570" t="str">
        <f t="shared" si="8"/>
        <v>High</v>
      </c>
      <c r="AK570" t="str" cm="1">
        <f t="array" ref="AK570">_xlfn.IFS(S570&lt;4000,"Low",S570&lt;8000,"Medium",S570&gt;=8000,"High")</f>
        <v>High</v>
      </c>
      <c r="AL570" t="str" cm="1">
        <f t="array" ref="AL570">_xlfn.IFS(AF570&lt;3,"new",AF570&lt;=7,"Experienced",AF570&gt;7,"High")</f>
        <v>Experienced</v>
      </c>
      <c r="AM570" s="1"/>
    </row>
    <row r="571" spans="1:39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  <c r="AJ571" t="str">
        <f t="shared" si="8"/>
        <v>High</v>
      </c>
      <c r="AK571" t="str" cm="1">
        <f t="array" ref="AK571">_xlfn.IFS(S571&lt;4000,"Low",S571&lt;8000,"Medium",S571&gt;=8000,"High")</f>
        <v>Medium</v>
      </c>
      <c r="AL571" t="str" cm="1">
        <f t="array" ref="AL571">_xlfn.IFS(AF571&lt;3,"new",AF571&lt;=7,"Experienced",AF571&gt;7,"High")</f>
        <v>High</v>
      </c>
      <c r="AM571" s="1"/>
    </row>
    <row r="572" spans="1:39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  <c r="AJ572" t="str">
        <f t="shared" si="8"/>
        <v>Low</v>
      </c>
      <c r="AK572" t="str" cm="1">
        <f t="array" ref="AK572">_xlfn.IFS(S572&lt;4000,"Low",S572&lt;8000,"Medium",S572&gt;=8000,"High")</f>
        <v>Medium</v>
      </c>
      <c r="AL572" t="str" cm="1">
        <f t="array" ref="AL572">_xlfn.IFS(AF572&lt;3,"new",AF572&lt;=7,"Experienced",AF572&gt;7,"High")</f>
        <v>Experienced</v>
      </c>
      <c r="AM572" s="1"/>
    </row>
    <row r="573" spans="1:39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  <c r="AJ573" t="str">
        <f t="shared" si="8"/>
        <v>Low</v>
      </c>
      <c r="AK573" t="str" cm="1">
        <f t="array" ref="AK573">_xlfn.IFS(S573&lt;4000,"Low",S573&lt;8000,"Medium",S573&gt;=8000,"High")</f>
        <v>Medium</v>
      </c>
      <c r="AL573" t="str" cm="1">
        <f t="array" ref="AL573">_xlfn.IFS(AF573&lt;3,"new",AF573&lt;=7,"Experienced",AF573&gt;7,"High")</f>
        <v>new</v>
      </c>
      <c r="AM573" s="1"/>
    </row>
    <row r="574" spans="1:39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  <c r="AJ574" t="str">
        <f t="shared" si="8"/>
        <v>Low</v>
      </c>
      <c r="AK574" t="str" cm="1">
        <f t="array" ref="AK574">_xlfn.IFS(S574&lt;4000,"Low",S574&lt;8000,"Medium",S574&gt;=8000,"High")</f>
        <v>Medium</v>
      </c>
      <c r="AL574" t="str" cm="1">
        <f t="array" ref="AL574">_xlfn.IFS(AF574&lt;3,"new",AF574&lt;=7,"Experienced",AF574&gt;7,"High")</f>
        <v>High</v>
      </c>
      <c r="AM574" s="1"/>
    </row>
    <row r="575" spans="1:39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  <c r="AJ575" t="str">
        <f t="shared" si="8"/>
        <v>Low</v>
      </c>
      <c r="AK575" t="str" cm="1">
        <f t="array" ref="AK575">_xlfn.IFS(S575&lt;4000,"Low",S575&lt;8000,"Medium",S575&gt;=8000,"High")</f>
        <v>Medium</v>
      </c>
      <c r="AL575" t="str" cm="1">
        <f t="array" ref="AL575">_xlfn.IFS(AF575&lt;3,"new",AF575&lt;=7,"Experienced",AF575&gt;7,"High")</f>
        <v>Experienced</v>
      </c>
      <c r="AM575" s="1"/>
    </row>
    <row r="576" spans="1:39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  <c r="AJ576" t="str">
        <f t="shared" si="8"/>
        <v>Low</v>
      </c>
      <c r="AK576" t="str" cm="1">
        <f t="array" ref="AK576">_xlfn.IFS(S576&lt;4000,"Low",S576&lt;8000,"Medium",S576&gt;=8000,"High")</f>
        <v>Low</v>
      </c>
      <c r="AL576" t="str" cm="1">
        <f t="array" ref="AL576">_xlfn.IFS(AF576&lt;3,"new",AF576&lt;=7,"Experienced",AF576&gt;7,"High")</f>
        <v>Experienced</v>
      </c>
      <c r="AM576" s="1"/>
    </row>
    <row r="577" spans="1:39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  <c r="AJ577" t="str">
        <f t="shared" si="8"/>
        <v>Low</v>
      </c>
      <c r="AK577" t="str" cm="1">
        <f t="array" ref="AK577">_xlfn.IFS(S577&lt;4000,"Low",S577&lt;8000,"Medium",S577&gt;=8000,"High")</f>
        <v>Medium</v>
      </c>
      <c r="AL577" t="str" cm="1">
        <f t="array" ref="AL577">_xlfn.IFS(AF577&lt;3,"new",AF577&lt;=7,"Experienced",AF577&gt;7,"High")</f>
        <v>Experienced</v>
      </c>
      <c r="AM577" s="1"/>
    </row>
    <row r="578" spans="1:39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  <c r="AJ578" t="str">
        <f t="shared" ref="AJ578:AJ641" si="9">IF(S578&gt;=6500,"High","Low")</f>
        <v>Low</v>
      </c>
      <c r="AK578" t="str" cm="1">
        <f t="array" ref="AK578">_xlfn.IFS(S578&lt;4000,"Low",S578&lt;8000,"Medium",S578&gt;=8000,"High")</f>
        <v>Medium</v>
      </c>
      <c r="AL578" t="str" cm="1">
        <f t="array" ref="AL578">_xlfn.IFS(AF578&lt;3,"new",AF578&lt;=7,"Experienced",AF578&gt;7,"High")</f>
        <v>Experienced</v>
      </c>
      <c r="AM578" s="1"/>
    </row>
    <row r="579" spans="1:39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  <c r="AJ579" t="str">
        <f t="shared" si="9"/>
        <v>Low</v>
      </c>
      <c r="AK579" t="str" cm="1">
        <f t="array" ref="AK579">_xlfn.IFS(S579&lt;4000,"Low",S579&lt;8000,"Medium",S579&gt;=8000,"High")</f>
        <v>Low</v>
      </c>
      <c r="AL579" t="str" cm="1">
        <f t="array" ref="AL579">_xlfn.IFS(AF579&lt;3,"new",AF579&lt;=7,"Experienced",AF579&gt;7,"High")</f>
        <v>Experienced</v>
      </c>
      <c r="AM579" s="1"/>
    </row>
    <row r="580" spans="1:39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  <c r="AJ580" t="str">
        <f t="shared" si="9"/>
        <v>Low</v>
      </c>
      <c r="AK580" t="str" cm="1">
        <f t="array" ref="AK580">_xlfn.IFS(S580&lt;4000,"Low",S580&lt;8000,"Medium",S580&gt;=8000,"High")</f>
        <v>Medium</v>
      </c>
      <c r="AL580" t="str" cm="1">
        <f t="array" ref="AL580">_xlfn.IFS(AF580&lt;3,"new",AF580&lt;=7,"Experienced",AF580&gt;7,"High")</f>
        <v>High</v>
      </c>
      <c r="AM580" s="1"/>
    </row>
    <row r="581" spans="1:39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  <c r="AJ581" t="str">
        <f t="shared" si="9"/>
        <v>Low</v>
      </c>
      <c r="AK581" t="str" cm="1">
        <f t="array" ref="AK581">_xlfn.IFS(S581&lt;4000,"Low",S581&lt;8000,"Medium",S581&gt;=8000,"High")</f>
        <v>Medium</v>
      </c>
      <c r="AL581" t="str" cm="1">
        <f t="array" ref="AL581">_xlfn.IFS(AF581&lt;3,"new",AF581&lt;=7,"Experienced",AF581&gt;7,"High")</f>
        <v>Experienced</v>
      </c>
      <c r="AM581" s="1"/>
    </row>
    <row r="582" spans="1:39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  <c r="AJ582" t="str">
        <f t="shared" si="9"/>
        <v>Low</v>
      </c>
      <c r="AK582" t="str" cm="1">
        <f t="array" ref="AK582">_xlfn.IFS(S582&lt;4000,"Low",S582&lt;8000,"Medium",S582&gt;=8000,"High")</f>
        <v>Low</v>
      </c>
      <c r="AL582" t="str" cm="1">
        <f t="array" ref="AL582">_xlfn.IFS(AF582&lt;3,"new",AF582&lt;=7,"Experienced",AF582&gt;7,"High")</f>
        <v>Experienced</v>
      </c>
      <c r="AM582" s="1"/>
    </row>
    <row r="583" spans="1:39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  <c r="AJ583" t="str">
        <f t="shared" si="9"/>
        <v>Low</v>
      </c>
      <c r="AK583" t="str" cm="1">
        <f t="array" ref="AK583">_xlfn.IFS(S583&lt;4000,"Low",S583&lt;8000,"Medium",S583&gt;=8000,"High")</f>
        <v>Low</v>
      </c>
      <c r="AL583" t="str" cm="1">
        <f t="array" ref="AL583">_xlfn.IFS(AF583&lt;3,"new",AF583&lt;=7,"Experienced",AF583&gt;7,"High")</f>
        <v>new</v>
      </c>
      <c r="AM583" s="1"/>
    </row>
    <row r="584" spans="1:39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  <c r="AJ584" t="str">
        <f t="shared" si="9"/>
        <v>Low</v>
      </c>
      <c r="AK584" t="str" cm="1">
        <f t="array" ref="AK584">_xlfn.IFS(S584&lt;4000,"Low",S584&lt;8000,"Medium",S584&gt;=8000,"High")</f>
        <v>Medium</v>
      </c>
      <c r="AL584" t="str" cm="1">
        <f t="array" ref="AL584">_xlfn.IFS(AF584&lt;3,"new",AF584&lt;=7,"Experienced",AF584&gt;7,"High")</f>
        <v>High</v>
      </c>
      <c r="AM584" s="1"/>
    </row>
    <row r="585" spans="1:39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  <c r="AJ585" t="str">
        <f t="shared" si="9"/>
        <v>High</v>
      </c>
      <c r="AK585" t="str" cm="1">
        <f t="array" ref="AK585">_xlfn.IFS(S585&lt;4000,"Low",S585&lt;8000,"Medium",S585&gt;=8000,"High")</f>
        <v>Medium</v>
      </c>
      <c r="AL585" t="str" cm="1">
        <f t="array" ref="AL585">_xlfn.IFS(AF585&lt;3,"new",AF585&lt;=7,"Experienced",AF585&gt;7,"High")</f>
        <v>Experienced</v>
      </c>
      <c r="AM585" s="1"/>
    </row>
    <row r="586" spans="1:39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  <c r="AJ586" t="str">
        <f t="shared" si="9"/>
        <v>High</v>
      </c>
      <c r="AK586" t="str" cm="1">
        <f t="array" ref="AK586">_xlfn.IFS(S586&lt;4000,"Low",S586&lt;8000,"Medium",S586&gt;=8000,"High")</f>
        <v>High</v>
      </c>
      <c r="AL586" t="str" cm="1">
        <f t="array" ref="AL586">_xlfn.IFS(AF586&lt;3,"new",AF586&lt;=7,"Experienced",AF586&gt;7,"High")</f>
        <v>High</v>
      </c>
      <c r="AM586" s="1"/>
    </row>
    <row r="587" spans="1:39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  <c r="AJ587" t="str">
        <f t="shared" si="9"/>
        <v>Low</v>
      </c>
      <c r="AK587" t="str" cm="1">
        <f t="array" ref="AK587">_xlfn.IFS(S587&lt;4000,"Low",S587&lt;8000,"Medium",S587&gt;=8000,"High")</f>
        <v>Low</v>
      </c>
      <c r="AL587" t="str" cm="1">
        <f t="array" ref="AL587">_xlfn.IFS(AF587&lt;3,"new",AF587&lt;=7,"Experienced",AF587&gt;7,"High")</f>
        <v>new</v>
      </c>
      <c r="AM587" s="1"/>
    </row>
    <row r="588" spans="1:39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  <c r="AJ588" t="str">
        <f t="shared" si="9"/>
        <v>Low</v>
      </c>
      <c r="AK588" t="str" cm="1">
        <f t="array" ref="AK588">_xlfn.IFS(S588&lt;4000,"Low",S588&lt;8000,"Medium",S588&gt;=8000,"High")</f>
        <v>Low</v>
      </c>
      <c r="AL588" t="str" cm="1">
        <f t="array" ref="AL588">_xlfn.IFS(AF588&lt;3,"new",AF588&lt;=7,"Experienced",AF588&gt;7,"High")</f>
        <v>new</v>
      </c>
      <c r="AM588" s="1"/>
    </row>
    <row r="589" spans="1:39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  <c r="AJ589" t="str">
        <f t="shared" si="9"/>
        <v>Low</v>
      </c>
      <c r="AK589" t="str" cm="1">
        <f t="array" ref="AK589">_xlfn.IFS(S589&lt;4000,"Low",S589&lt;8000,"Medium",S589&gt;=8000,"High")</f>
        <v>Low</v>
      </c>
      <c r="AL589" t="str" cm="1">
        <f t="array" ref="AL589">_xlfn.IFS(AF589&lt;3,"new",AF589&lt;=7,"Experienced",AF589&gt;7,"High")</f>
        <v>Experienced</v>
      </c>
      <c r="AM589" s="1"/>
    </row>
    <row r="590" spans="1:39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  <c r="AJ590" t="str">
        <f t="shared" si="9"/>
        <v>High</v>
      </c>
      <c r="AK590" t="str" cm="1">
        <f t="array" ref="AK590">_xlfn.IFS(S590&lt;4000,"Low",S590&lt;8000,"Medium",S590&gt;=8000,"High")</f>
        <v>High</v>
      </c>
      <c r="AL590" t="str" cm="1">
        <f t="array" ref="AL590">_xlfn.IFS(AF590&lt;3,"new",AF590&lt;=7,"Experienced",AF590&gt;7,"High")</f>
        <v>Experienced</v>
      </c>
      <c r="AM590" s="1"/>
    </row>
    <row r="591" spans="1:39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  <c r="AJ591" t="str">
        <f t="shared" si="9"/>
        <v>Low</v>
      </c>
      <c r="AK591" t="str" cm="1">
        <f t="array" ref="AK591">_xlfn.IFS(S591&lt;4000,"Low",S591&lt;8000,"Medium",S591&gt;=8000,"High")</f>
        <v>Low</v>
      </c>
      <c r="AL591" t="str" cm="1">
        <f t="array" ref="AL591">_xlfn.IFS(AF591&lt;3,"new",AF591&lt;=7,"Experienced",AF591&gt;7,"High")</f>
        <v>new</v>
      </c>
      <c r="AM591" s="1"/>
    </row>
    <row r="592" spans="1:39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  <c r="AJ592" t="str">
        <f t="shared" si="9"/>
        <v>High</v>
      </c>
      <c r="AK592" t="str" cm="1">
        <f t="array" ref="AK592">_xlfn.IFS(S592&lt;4000,"Low",S592&lt;8000,"Medium",S592&gt;=8000,"High")</f>
        <v>High</v>
      </c>
      <c r="AL592" t="str" cm="1">
        <f t="array" ref="AL592">_xlfn.IFS(AF592&lt;3,"new",AF592&lt;=7,"Experienced",AF592&gt;7,"High")</f>
        <v>High</v>
      </c>
      <c r="AM592" s="1"/>
    </row>
    <row r="593" spans="1:39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  <c r="AJ593" t="str">
        <f t="shared" si="9"/>
        <v>Low</v>
      </c>
      <c r="AK593" t="str" cm="1">
        <f t="array" ref="AK593">_xlfn.IFS(S593&lt;4000,"Low",S593&lt;8000,"Medium",S593&gt;=8000,"High")</f>
        <v>Medium</v>
      </c>
      <c r="AL593" t="str" cm="1">
        <f t="array" ref="AL593">_xlfn.IFS(AF593&lt;3,"new",AF593&lt;=7,"Experienced",AF593&gt;7,"High")</f>
        <v>Experienced</v>
      </c>
      <c r="AM593" s="1"/>
    </row>
    <row r="594" spans="1:39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  <c r="AJ594" t="str">
        <f t="shared" si="9"/>
        <v>High</v>
      </c>
      <c r="AK594" t="str" cm="1">
        <f t="array" ref="AK594">_xlfn.IFS(S594&lt;4000,"Low",S594&lt;8000,"Medium",S594&gt;=8000,"High")</f>
        <v>High</v>
      </c>
      <c r="AL594" t="str" cm="1">
        <f t="array" ref="AL594">_xlfn.IFS(AF594&lt;3,"new",AF594&lt;=7,"Experienced",AF594&gt;7,"High")</f>
        <v>High</v>
      </c>
      <c r="AM594" s="1"/>
    </row>
    <row r="595" spans="1:39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  <c r="AJ595" t="str">
        <f t="shared" si="9"/>
        <v>Low</v>
      </c>
      <c r="AK595" t="str" cm="1">
        <f t="array" ref="AK595">_xlfn.IFS(S595&lt;4000,"Low",S595&lt;8000,"Medium",S595&gt;=8000,"High")</f>
        <v>Medium</v>
      </c>
      <c r="AL595" t="str" cm="1">
        <f t="array" ref="AL595">_xlfn.IFS(AF595&lt;3,"new",AF595&lt;=7,"Experienced",AF595&gt;7,"High")</f>
        <v>High</v>
      </c>
      <c r="AM595" s="1"/>
    </row>
    <row r="596" spans="1:39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  <c r="AJ596" t="str">
        <f t="shared" si="9"/>
        <v>Low</v>
      </c>
      <c r="AK596" t="str" cm="1">
        <f t="array" ref="AK596">_xlfn.IFS(S596&lt;4000,"Low",S596&lt;8000,"Medium",S596&gt;=8000,"High")</f>
        <v>Low</v>
      </c>
      <c r="AL596" t="str" cm="1">
        <f t="array" ref="AL596">_xlfn.IFS(AF596&lt;3,"new",AF596&lt;=7,"Experienced",AF596&gt;7,"High")</f>
        <v>High</v>
      </c>
      <c r="AM596" s="1"/>
    </row>
    <row r="597" spans="1:39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  <c r="AJ597" t="str">
        <f t="shared" si="9"/>
        <v>High</v>
      </c>
      <c r="AK597" t="str" cm="1">
        <f t="array" ref="AK597">_xlfn.IFS(S597&lt;4000,"Low",S597&lt;8000,"Medium",S597&gt;=8000,"High")</f>
        <v>High</v>
      </c>
      <c r="AL597" t="str" cm="1">
        <f t="array" ref="AL597">_xlfn.IFS(AF597&lt;3,"new",AF597&lt;=7,"Experienced",AF597&gt;7,"High")</f>
        <v>High</v>
      </c>
      <c r="AM597" s="1"/>
    </row>
    <row r="598" spans="1:39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  <c r="AJ598" t="str">
        <f t="shared" si="9"/>
        <v>Low</v>
      </c>
      <c r="AK598" t="str" cm="1">
        <f t="array" ref="AK598">_xlfn.IFS(S598&lt;4000,"Low",S598&lt;8000,"Medium",S598&gt;=8000,"High")</f>
        <v>Low</v>
      </c>
      <c r="AL598" t="str" cm="1">
        <f t="array" ref="AL598">_xlfn.IFS(AF598&lt;3,"new",AF598&lt;=7,"Experienced",AF598&gt;7,"High")</f>
        <v>new</v>
      </c>
      <c r="AM598" s="1"/>
    </row>
    <row r="599" spans="1:39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  <c r="AJ599" t="str">
        <f t="shared" si="9"/>
        <v>Low</v>
      </c>
      <c r="AK599" t="str" cm="1">
        <f t="array" ref="AK599">_xlfn.IFS(S599&lt;4000,"Low",S599&lt;8000,"Medium",S599&gt;=8000,"High")</f>
        <v>Medium</v>
      </c>
      <c r="AL599" t="str" cm="1">
        <f t="array" ref="AL599">_xlfn.IFS(AF599&lt;3,"new",AF599&lt;=7,"Experienced",AF599&gt;7,"High")</f>
        <v>Experienced</v>
      </c>
      <c r="AM599" s="1"/>
    </row>
    <row r="600" spans="1:39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  <c r="AJ600" t="str">
        <f t="shared" si="9"/>
        <v>Low</v>
      </c>
      <c r="AK600" t="str" cm="1">
        <f t="array" ref="AK600">_xlfn.IFS(S600&lt;4000,"Low",S600&lt;8000,"Medium",S600&gt;=8000,"High")</f>
        <v>Medium</v>
      </c>
      <c r="AL600" t="str" cm="1">
        <f t="array" ref="AL600">_xlfn.IFS(AF600&lt;3,"new",AF600&lt;=7,"Experienced",AF600&gt;7,"High")</f>
        <v>new</v>
      </c>
      <c r="AM600" s="1"/>
    </row>
    <row r="601" spans="1:39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  <c r="AJ601" t="str">
        <f t="shared" si="9"/>
        <v>Low</v>
      </c>
      <c r="AK601" t="str" cm="1">
        <f t="array" ref="AK601">_xlfn.IFS(S601&lt;4000,"Low",S601&lt;8000,"Medium",S601&gt;=8000,"High")</f>
        <v>Low</v>
      </c>
      <c r="AL601" t="str" cm="1">
        <f t="array" ref="AL601">_xlfn.IFS(AF601&lt;3,"new",AF601&lt;=7,"Experienced",AF601&gt;7,"High")</f>
        <v>Experienced</v>
      </c>
      <c r="AM601" s="1"/>
    </row>
    <row r="602" spans="1:39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  <c r="AJ602" t="str">
        <f t="shared" si="9"/>
        <v>Low</v>
      </c>
      <c r="AK602" t="str" cm="1">
        <f t="array" ref="AK602">_xlfn.IFS(S602&lt;4000,"Low",S602&lt;8000,"Medium",S602&gt;=8000,"High")</f>
        <v>Medium</v>
      </c>
      <c r="AL602" t="str" cm="1">
        <f t="array" ref="AL602">_xlfn.IFS(AF602&lt;3,"new",AF602&lt;=7,"Experienced",AF602&gt;7,"High")</f>
        <v>High</v>
      </c>
      <c r="AM602" s="1"/>
    </row>
    <row r="603" spans="1:39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  <c r="AJ603" t="str">
        <f t="shared" si="9"/>
        <v>Low</v>
      </c>
      <c r="AK603" t="str" cm="1">
        <f t="array" ref="AK603">_xlfn.IFS(S603&lt;4000,"Low",S603&lt;8000,"Medium",S603&gt;=8000,"High")</f>
        <v>Medium</v>
      </c>
      <c r="AL603" t="str" cm="1">
        <f t="array" ref="AL603">_xlfn.IFS(AF603&lt;3,"new",AF603&lt;=7,"Experienced",AF603&gt;7,"High")</f>
        <v>new</v>
      </c>
      <c r="AM603" s="1"/>
    </row>
    <row r="604" spans="1:39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  <c r="AJ604" t="str">
        <f t="shared" si="9"/>
        <v>High</v>
      </c>
      <c r="AK604" t="str" cm="1">
        <f t="array" ref="AK604">_xlfn.IFS(S604&lt;4000,"Low",S604&lt;8000,"Medium",S604&gt;=8000,"High")</f>
        <v>Medium</v>
      </c>
      <c r="AL604" t="str" cm="1">
        <f t="array" ref="AL604">_xlfn.IFS(AF604&lt;3,"new",AF604&lt;=7,"Experienced",AF604&gt;7,"High")</f>
        <v>new</v>
      </c>
      <c r="AM604" s="1"/>
    </row>
    <row r="605" spans="1:39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  <c r="AJ605" t="str">
        <f t="shared" si="9"/>
        <v>Low</v>
      </c>
      <c r="AK605" t="str" cm="1">
        <f t="array" ref="AK605">_xlfn.IFS(S605&lt;4000,"Low",S605&lt;8000,"Medium",S605&gt;=8000,"High")</f>
        <v>Low</v>
      </c>
      <c r="AL605" t="str" cm="1">
        <f t="array" ref="AL605">_xlfn.IFS(AF605&lt;3,"new",AF605&lt;=7,"Experienced",AF605&gt;7,"High")</f>
        <v>new</v>
      </c>
      <c r="AM605" s="1"/>
    </row>
    <row r="606" spans="1:39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  <c r="AJ606" t="str">
        <f t="shared" si="9"/>
        <v>Low</v>
      </c>
      <c r="AK606" t="str" cm="1">
        <f t="array" ref="AK606">_xlfn.IFS(S606&lt;4000,"Low",S606&lt;8000,"Medium",S606&gt;=8000,"High")</f>
        <v>Medium</v>
      </c>
      <c r="AL606" t="str" cm="1">
        <f t="array" ref="AL606">_xlfn.IFS(AF606&lt;3,"new",AF606&lt;=7,"Experienced",AF606&gt;7,"High")</f>
        <v>High</v>
      </c>
      <c r="AM606" s="1"/>
    </row>
    <row r="607" spans="1:39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  <c r="AJ607" t="str">
        <f t="shared" si="9"/>
        <v>Low</v>
      </c>
      <c r="AK607" t="str" cm="1">
        <f t="array" ref="AK607">_xlfn.IFS(S607&lt;4000,"Low",S607&lt;8000,"Medium",S607&gt;=8000,"High")</f>
        <v>Medium</v>
      </c>
      <c r="AL607" t="str" cm="1">
        <f t="array" ref="AL607">_xlfn.IFS(AF607&lt;3,"new",AF607&lt;=7,"Experienced",AF607&gt;7,"High")</f>
        <v>Experienced</v>
      </c>
      <c r="AM607" s="1"/>
    </row>
    <row r="608" spans="1:39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  <c r="AJ608" t="str">
        <f t="shared" si="9"/>
        <v>Low</v>
      </c>
      <c r="AK608" t="str" cm="1">
        <f t="array" ref="AK608">_xlfn.IFS(S608&lt;4000,"Low",S608&lt;8000,"Medium",S608&gt;=8000,"High")</f>
        <v>Low</v>
      </c>
      <c r="AL608" t="str" cm="1">
        <f t="array" ref="AL608">_xlfn.IFS(AF608&lt;3,"new",AF608&lt;=7,"Experienced",AF608&gt;7,"High")</f>
        <v>Experienced</v>
      </c>
      <c r="AM608" s="1"/>
    </row>
    <row r="609" spans="1:39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  <c r="AJ609" t="str">
        <f t="shared" si="9"/>
        <v>High</v>
      </c>
      <c r="AK609" t="str" cm="1">
        <f t="array" ref="AK609">_xlfn.IFS(S609&lt;4000,"Low",S609&lt;8000,"Medium",S609&gt;=8000,"High")</f>
        <v>Medium</v>
      </c>
      <c r="AL609" t="str" cm="1">
        <f t="array" ref="AL609">_xlfn.IFS(AF609&lt;3,"new",AF609&lt;=7,"Experienced",AF609&gt;7,"High")</f>
        <v>High</v>
      </c>
      <c r="AM609" s="1"/>
    </row>
    <row r="610" spans="1:39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  <c r="AJ610" t="str">
        <f t="shared" si="9"/>
        <v>Low</v>
      </c>
      <c r="AK610" t="str" cm="1">
        <f t="array" ref="AK610">_xlfn.IFS(S610&lt;4000,"Low",S610&lt;8000,"Medium",S610&gt;=8000,"High")</f>
        <v>Medium</v>
      </c>
      <c r="AL610" t="str" cm="1">
        <f t="array" ref="AL610">_xlfn.IFS(AF610&lt;3,"new",AF610&lt;=7,"Experienced",AF610&gt;7,"High")</f>
        <v>High</v>
      </c>
      <c r="AM610" s="1"/>
    </row>
    <row r="611" spans="1:39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  <c r="AJ611" t="str">
        <f t="shared" si="9"/>
        <v>High</v>
      </c>
      <c r="AK611" t="str" cm="1">
        <f t="array" ref="AK611">_xlfn.IFS(S611&lt;4000,"Low",S611&lt;8000,"Medium",S611&gt;=8000,"High")</f>
        <v>High</v>
      </c>
      <c r="AL611" t="str" cm="1">
        <f t="array" ref="AL611">_xlfn.IFS(AF611&lt;3,"new",AF611&lt;=7,"Experienced",AF611&gt;7,"High")</f>
        <v>Experienced</v>
      </c>
      <c r="AM611" s="1"/>
    </row>
    <row r="612" spans="1:39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  <c r="AJ612" t="str">
        <f t="shared" si="9"/>
        <v>High</v>
      </c>
      <c r="AK612" t="str" cm="1">
        <f t="array" ref="AK612">_xlfn.IFS(S612&lt;4000,"Low",S612&lt;8000,"Medium",S612&gt;=8000,"High")</f>
        <v>High</v>
      </c>
      <c r="AL612" t="str" cm="1">
        <f t="array" ref="AL612">_xlfn.IFS(AF612&lt;3,"new",AF612&lt;=7,"Experienced",AF612&gt;7,"High")</f>
        <v>High</v>
      </c>
      <c r="AM612" s="1"/>
    </row>
    <row r="613" spans="1:39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  <c r="AJ613" t="str">
        <f t="shared" si="9"/>
        <v>High</v>
      </c>
      <c r="AK613" t="str" cm="1">
        <f t="array" ref="AK613">_xlfn.IFS(S613&lt;4000,"Low",S613&lt;8000,"Medium",S613&gt;=8000,"High")</f>
        <v>High</v>
      </c>
      <c r="AL613" t="str" cm="1">
        <f t="array" ref="AL613">_xlfn.IFS(AF613&lt;3,"new",AF613&lt;=7,"Experienced",AF613&gt;7,"High")</f>
        <v>High</v>
      </c>
      <c r="AM613" s="1"/>
    </row>
    <row r="614" spans="1:39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  <c r="AJ614" t="str">
        <f t="shared" si="9"/>
        <v>Low</v>
      </c>
      <c r="AK614" t="str" cm="1">
        <f t="array" ref="AK614">_xlfn.IFS(S614&lt;4000,"Low",S614&lt;8000,"Medium",S614&gt;=8000,"High")</f>
        <v>Medium</v>
      </c>
      <c r="AL614" t="str" cm="1">
        <f t="array" ref="AL614">_xlfn.IFS(AF614&lt;3,"new",AF614&lt;=7,"Experienced",AF614&gt;7,"High")</f>
        <v>High</v>
      </c>
      <c r="AM614" s="1"/>
    </row>
    <row r="615" spans="1:39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  <c r="AJ615" t="str">
        <f t="shared" si="9"/>
        <v>Low</v>
      </c>
      <c r="AK615" t="str" cm="1">
        <f t="array" ref="AK615">_xlfn.IFS(S615&lt;4000,"Low",S615&lt;8000,"Medium",S615&gt;=8000,"High")</f>
        <v>Low</v>
      </c>
      <c r="AL615" t="str" cm="1">
        <f t="array" ref="AL615">_xlfn.IFS(AF615&lt;3,"new",AF615&lt;=7,"Experienced",AF615&gt;7,"High")</f>
        <v>Experienced</v>
      </c>
      <c r="AM615" s="1"/>
    </row>
    <row r="616" spans="1:39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  <c r="AJ616" t="str">
        <f t="shared" si="9"/>
        <v>Low</v>
      </c>
      <c r="AK616" t="str" cm="1">
        <f t="array" ref="AK616">_xlfn.IFS(S616&lt;4000,"Low",S616&lt;8000,"Medium",S616&gt;=8000,"High")</f>
        <v>Low</v>
      </c>
      <c r="AL616" t="str" cm="1">
        <f t="array" ref="AL616">_xlfn.IFS(AF616&lt;3,"new",AF616&lt;=7,"Experienced",AF616&gt;7,"High")</f>
        <v>High</v>
      </c>
      <c r="AM616" s="1"/>
    </row>
    <row r="617" spans="1:39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  <c r="AJ617" t="str">
        <f t="shared" si="9"/>
        <v>Low</v>
      </c>
      <c r="AK617" t="str" cm="1">
        <f t="array" ref="AK617">_xlfn.IFS(S617&lt;4000,"Low",S617&lt;8000,"Medium",S617&gt;=8000,"High")</f>
        <v>Low</v>
      </c>
      <c r="AL617" t="str" cm="1">
        <f t="array" ref="AL617">_xlfn.IFS(AF617&lt;3,"new",AF617&lt;=7,"Experienced",AF617&gt;7,"High")</f>
        <v>new</v>
      </c>
      <c r="AM617" s="1"/>
    </row>
    <row r="618" spans="1:39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  <c r="AJ618" t="str">
        <f t="shared" si="9"/>
        <v>High</v>
      </c>
      <c r="AK618" t="str" cm="1">
        <f t="array" ref="AK618">_xlfn.IFS(S618&lt;4000,"Low",S618&lt;8000,"Medium",S618&gt;=8000,"High")</f>
        <v>High</v>
      </c>
      <c r="AL618" t="str" cm="1">
        <f t="array" ref="AL618">_xlfn.IFS(AF618&lt;3,"new",AF618&lt;=7,"Experienced",AF618&gt;7,"High")</f>
        <v>High</v>
      </c>
      <c r="AM618" s="1"/>
    </row>
    <row r="619" spans="1:39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  <c r="AJ619" t="str">
        <f t="shared" si="9"/>
        <v>Low</v>
      </c>
      <c r="AK619" t="str" cm="1">
        <f t="array" ref="AK619">_xlfn.IFS(S619&lt;4000,"Low",S619&lt;8000,"Medium",S619&gt;=8000,"High")</f>
        <v>Medium</v>
      </c>
      <c r="AL619" t="str" cm="1">
        <f t="array" ref="AL619">_xlfn.IFS(AF619&lt;3,"new",AF619&lt;=7,"Experienced",AF619&gt;7,"High")</f>
        <v>Experienced</v>
      </c>
      <c r="AM619" s="1"/>
    </row>
    <row r="620" spans="1:39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  <c r="AJ620" t="str">
        <f t="shared" si="9"/>
        <v>Low</v>
      </c>
      <c r="AK620" t="str" cm="1">
        <f t="array" ref="AK620">_xlfn.IFS(S620&lt;4000,"Low",S620&lt;8000,"Medium",S620&gt;=8000,"High")</f>
        <v>Low</v>
      </c>
      <c r="AL620" t="str" cm="1">
        <f t="array" ref="AL620">_xlfn.IFS(AF620&lt;3,"new",AF620&lt;=7,"Experienced",AF620&gt;7,"High")</f>
        <v>Experienced</v>
      </c>
      <c r="AM620" s="1"/>
    </row>
    <row r="621" spans="1:39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  <c r="AJ621" t="str">
        <f t="shared" si="9"/>
        <v>Low</v>
      </c>
      <c r="AK621" t="str" cm="1">
        <f t="array" ref="AK621">_xlfn.IFS(S621&lt;4000,"Low",S621&lt;8000,"Medium",S621&gt;=8000,"High")</f>
        <v>Medium</v>
      </c>
      <c r="AL621" t="str" cm="1">
        <f t="array" ref="AL621">_xlfn.IFS(AF621&lt;3,"new",AF621&lt;=7,"Experienced",AF621&gt;7,"High")</f>
        <v>High</v>
      </c>
      <c r="AM621" s="1"/>
    </row>
    <row r="622" spans="1:39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  <c r="AJ622" t="str">
        <f t="shared" si="9"/>
        <v>Low</v>
      </c>
      <c r="AK622" t="str" cm="1">
        <f t="array" ref="AK622">_xlfn.IFS(S622&lt;4000,"Low",S622&lt;8000,"Medium",S622&gt;=8000,"High")</f>
        <v>Low</v>
      </c>
      <c r="AL622" t="str" cm="1">
        <f t="array" ref="AL622">_xlfn.IFS(AF622&lt;3,"new",AF622&lt;=7,"Experienced",AF622&gt;7,"High")</f>
        <v>Experienced</v>
      </c>
      <c r="AM622" s="1"/>
    </row>
    <row r="623" spans="1:39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  <c r="AJ623" t="str">
        <f t="shared" si="9"/>
        <v>Low</v>
      </c>
      <c r="AK623" t="str" cm="1">
        <f t="array" ref="AK623">_xlfn.IFS(S623&lt;4000,"Low",S623&lt;8000,"Medium",S623&gt;=8000,"High")</f>
        <v>Medium</v>
      </c>
      <c r="AL623" t="str" cm="1">
        <f t="array" ref="AL623">_xlfn.IFS(AF623&lt;3,"new",AF623&lt;=7,"Experienced",AF623&gt;7,"High")</f>
        <v>High</v>
      </c>
      <c r="AM623" s="1"/>
    </row>
    <row r="624" spans="1:39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  <c r="AJ624" t="str">
        <f t="shared" si="9"/>
        <v>Low</v>
      </c>
      <c r="AK624" t="str" cm="1">
        <f t="array" ref="AK624">_xlfn.IFS(S624&lt;4000,"Low",S624&lt;8000,"Medium",S624&gt;=8000,"High")</f>
        <v>Medium</v>
      </c>
      <c r="AL624" t="str" cm="1">
        <f t="array" ref="AL624">_xlfn.IFS(AF624&lt;3,"new",AF624&lt;=7,"Experienced",AF624&gt;7,"High")</f>
        <v>Experienced</v>
      </c>
      <c r="AM624" s="1"/>
    </row>
    <row r="625" spans="1:39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  <c r="AJ625" t="str">
        <f t="shared" si="9"/>
        <v>Low</v>
      </c>
      <c r="AK625" t="str" cm="1">
        <f t="array" ref="AK625">_xlfn.IFS(S625&lt;4000,"Low",S625&lt;8000,"Medium",S625&gt;=8000,"High")</f>
        <v>Low</v>
      </c>
      <c r="AL625" t="str" cm="1">
        <f t="array" ref="AL625">_xlfn.IFS(AF625&lt;3,"new",AF625&lt;=7,"Experienced",AF625&gt;7,"High")</f>
        <v>Experienced</v>
      </c>
      <c r="AM625" s="1"/>
    </row>
    <row r="626" spans="1:39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  <c r="AJ626" t="str">
        <f t="shared" si="9"/>
        <v>High</v>
      </c>
      <c r="AK626" t="str" cm="1">
        <f t="array" ref="AK626">_xlfn.IFS(S626&lt;4000,"Low",S626&lt;8000,"Medium",S626&gt;=8000,"High")</f>
        <v>High</v>
      </c>
      <c r="AL626" t="str" cm="1">
        <f t="array" ref="AL626">_xlfn.IFS(AF626&lt;3,"new",AF626&lt;=7,"Experienced",AF626&gt;7,"High")</f>
        <v>Experienced</v>
      </c>
      <c r="AM626" s="1"/>
    </row>
    <row r="627" spans="1:39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  <c r="AJ627" t="str">
        <f t="shared" si="9"/>
        <v>High</v>
      </c>
      <c r="AK627" t="str" cm="1">
        <f t="array" ref="AK627">_xlfn.IFS(S627&lt;4000,"Low",S627&lt;8000,"Medium",S627&gt;=8000,"High")</f>
        <v>High</v>
      </c>
      <c r="AL627" t="str" cm="1">
        <f t="array" ref="AL627">_xlfn.IFS(AF627&lt;3,"new",AF627&lt;=7,"Experienced",AF627&gt;7,"High")</f>
        <v>Experienced</v>
      </c>
      <c r="AM627" s="1"/>
    </row>
    <row r="628" spans="1:39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  <c r="AJ628" t="str">
        <f t="shared" si="9"/>
        <v>Low</v>
      </c>
      <c r="AK628" t="str" cm="1">
        <f t="array" ref="AK628">_xlfn.IFS(S628&lt;4000,"Low",S628&lt;8000,"Medium",S628&gt;=8000,"High")</f>
        <v>Medium</v>
      </c>
      <c r="AL628" t="str" cm="1">
        <f t="array" ref="AL628">_xlfn.IFS(AF628&lt;3,"new",AF628&lt;=7,"Experienced",AF628&gt;7,"High")</f>
        <v>Experienced</v>
      </c>
      <c r="AM628" s="1"/>
    </row>
    <row r="629" spans="1:39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  <c r="AJ629" t="str">
        <f t="shared" si="9"/>
        <v>High</v>
      </c>
      <c r="AK629" t="str" cm="1">
        <f t="array" ref="AK629">_xlfn.IFS(S629&lt;4000,"Low",S629&lt;8000,"Medium",S629&gt;=8000,"High")</f>
        <v>High</v>
      </c>
      <c r="AL629" t="str" cm="1">
        <f t="array" ref="AL629">_xlfn.IFS(AF629&lt;3,"new",AF629&lt;=7,"Experienced",AF629&gt;7,"High")</f>
        <v>High</v>
      </c>
      <c r="AM629" s="1"/>
    </row>
    <row r="630" spans="1:39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  <c r="AJ630" t="str">
        <f t="shared" si="9"/>
        <v>Low</v>
      </c>
      <c r="AK630" t="str" cm="1">
        <f t="array" ref="AK630">_xlfn.IFS(S630&lt;4000,"Low",S630&lt;8000,"Medium",S630&gt;=8000,"High")</f>
        <v>Medium</v>
      </c>
      <c r="AL630" t="str" cm="1">
        <f t="array" ref="AL630">_xlfn.IFS(AF630&lt;3,"new",AF630&lt;=7,"Experienced",AF630&gt;7,"High")</f>
        <v>new</v>
      </c>
      <c r="AM630" s="1"/>
    </row>
    <row r="631" spans="1:39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  <c r="AJ631" t="str">
        <f t="shared" si="9"/>
        <v>Low</v>
      </c>
      <c r="AK631" t="str" cm="1">
        <f t="array" ref="AK631">_xlfn.IFS(S631&lt;4000,"Low",S631&lt;8000,"Medium",S631&gt;=8000,"High")</f>
        <v>Medium</v>
      </c>
      <c r="AL631" t="str" cm="1">
        <f t="array" ref="AL631">_xlfn.IFS(AF631&lt;3,"new",AF631&lt;=7,"Experienced",AF631&gt;7,"High")</f>
        <v>Experienced</v>
      </c>
      <c r="AM631" s="1"/>
    </row>
    <row r="632" spans="1:39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  <c r="AJ632" t="str">
        <f t="shared" si="9"/>
        <v>Low</v>
      </c>
      <c r="AK632" t="str" cm="1">
        <f t="array" ref="AK632">_xlfn.IFS(S632&lt;4000,"Low",S632&lt;8000,"Medium",S632&gt;=8000,"High")</f>
        <v>Medium</v>
      </c>
      <c r="AL632" t="str" cm="1">
        <f t="array" ref="AL632">_xlfn.IFS(AF632&lt;3,"new",AF632&lt;=7,"Experienced",AF632&gt;7,"High")</f>
        <v>new</v>
      </c>
      <c r="AM632" s="1"/>
    </row>
    <row r="633" spans="1:39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  <c r="AJ633" t="str">
        <f t="shared" si="9"/>
        <v>Low</v>
      </c>
      <c r="AK633" t="str" cm="1">
        <f t="array" ref="AK633">_xlfn.IFS(S633&lt;4000,"Low",S633&lt;8000,"Medium",S633&gt;=8000,"High")</f>
        <v>Low</v>
      </c>
      <c r="AL633" t="str" cm="1">
        <f t="array" ref="AL633">_xlfn.IFS(AF633&lt;3,"new",AF633&lt;=7,"Experienced",AF633&gt;7,"High")</f>
        <v>Experienced</v>
      </c>
      <c r="AM633" s="1"/>
    </row>
    <row r="634" spans="1:39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  <c r="AJ634" t="str">
        <f t="shared" si="9"/>
        <v>Low</v>
      </c>
      <c r="AK634" t="str" cm="1">
        <f t="array" ref="AK634">_xlfn.IFS(S634&lt;4000,"Low",S634&lt;8000,"Medium",S634&gt;=8000,"High")</f>
        <v>Low</v>
      </c>
      <c r="AL634" t="str" cm="1">
        <f t="array" ref="AL634">_xlfn.IFS(AF634&lt;3,"new",AF634&lt;=7,"Experienced",AF634&gt;7,"High")</f>
        <v>new</v>
      </c>
      <c r="AM634" s="1"/>
    </row>
    <row r="635" spans="1:39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  <c r="AJ635" t="str">
        <f t="shared" si="9"/>
        <v>Low</v>
      </c>
      <c r="AK635" t="str" cm="1">
        <f t="array" ref="AK635">_xlfn.IFS(S635&lt;4000,"Low",S635&lt;8000,"Medium",S635&gt;=8000,"High")</f>
        <v>Low</v>
      </c>
      <c r="AL635" t="str" cm="1">
        <f t="array" ref="AL635">_xlfn.IFS(AF635&lt;3,"new",AF635&lt;=7,"Experienced",AF635&gt;7,"High")</f>
        <v>Experienced</v>
      </c>
      <c r="AM635" s="1"/>
    </row>
    <row r="636" spans="1:39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  <c r="AJ636" t="str">
        <f t="shared" si="9"/>
        <v>Low</v>
      </c>
      <c r="AK636" t="str" cm="1">
        <f t="array" ref="AK636">_xlfn.IFS(S636&lt;4000,"Low",S636&lt;8000,"Medium",S636&gt;=8000,"High")</f>
        <v>Medium</v>
      </c>
      <c r="AL636" t="str" cm="1">
        <f t="array" ref="AL636">_xlfn.IFS(AF636&lt;3,"new",AF636&lt;=7,"Experienced",AF636&gt;7,"High")</f>
        <v>Experienced</v>
      </c>
      <c r="AM636" s="1"/>
    </row>
    <row r="637" spans="1:39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  <c r="AJ637" t="str">
        <f t="shared" si="9"/>
        <v>High</v>
      </c>
      <c r="AK637" t="str" cm="1">
        <f t="array" ref="AK637">_xlfn.IFS(S637&lt;4000,"Low",S637&lt;8000,"Medium",S637&gt;=8000,"High")</f>
        <v>High</v>
      </c>
      <c r="AL637" t="str" cm="1">
        <f t="array" ref="AL637">_xlfn.IFS(AF637&lt;3,"new",AF637&lt;=7,"Experienced",AF637&gt;7,"High")</f>
        <v>High</v>
      </c>
      <c r="AM637" s="1"/>
    </row>
    <row r="638" spans="1:39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  <c r="AJ638" t="str">
        <f t="shared" si="9"/>
        <v>Low</v>
      </c>
      <c r="AK638" t="str" cm="1">
        <f t="array" ref="AK638">_xlfn.IFS(S638&lt;4000,"Low",S638&lt;8000,"Medium",S638&gt;=8000,"High")</f>
        <v>Low</v>
      </c>
      <c r="AL638" t="str" cm="1">
        <f t="array" ref="AL638">_xlfn.IFS(AF638&lt;3,"new",AF638&lt;=7,"Experienced",AF638&gt;7,"High")</f>
        <v>High</v>
      </c>
      <c r="AM638" s="1"/>
    </row>
    <row r="639" spans="1:39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  <c r="AJ639" t="str">
        <f t="shared" si="9"/>
        <v>Low</v>
      </c>
      <c r="AK639" t="str" cm="1">
        <f t="array" ref="AK639">_xlfn.IFS(S639&lt;4000,"Low",S639&lt;8000,"Medium",S639&gt;=8000,"High")</f>
        <v>Low</v>
      </c>
      <c r="AL639" t="str" cm="1">
        <f t="array" ref="AL639">_xlfn.IFS(AF639&lt;3,"new",AF639&lt;=7,"Experienced",AF639&gt;7,"High")</f>
        <v>Experienced</v>
      </c>
      <c r="AM639" s="1"/>
    </row>
    <row r="640" spans="1:39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  <c r="AJ640" t="str">
        <f t="shared" si="9"/>
        <v>Low</v>
      </c>
      <c r="AK640" t="str" cm="1">
        <f t="array" ref="AK640">_xlfn.IFS(S640&lt;4000,"Low",S640&lt;8000,"Medium",S640&gt;=8000,"High")</f>
        <v>Medium</v>
      </c>
      <c r="AL640" t="str" cm="1">
        <f t="array" ref="AL640">_xlfn.IFS(AF640&lt;3,"new",AF640&lt;=7,"Experienced",AF640&gt;7,"High")</f>
        <v>Experienced</v>
      </c>
      <c r="AM640" s="1"/>
    </row>
    <row r="641" spans="1:39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  <c r="AJ641" t="str">
        <f t="shared" si="9"/>
        <v>Low</v>
      </c>
      <c r="AK641" t="str" cm="1">
        <f t="array" ref="AK641">_xlfn.IFS(S641&lt;4000,"Low",S641&lt;8000,"Medium",S641&gt;=8000,"High")</f>
        <v>Low</v>
      </c>
      <c r="AL641" t="str" cm="1">
        <f t="array" ref="AL641">_xlfn.IFS(AF641&lt;3,"new",AF641&lt;=7,"Experienced",AF641&gt;7,"High")</f>
        <v>Experienced</v>
      </c>
      <c r="AM641" s="1"/>
    </row>
    <row r="642" spans="1:39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  <c r="AJ642" t="str">
        <f t="shared" ref="AJ642:AJ705" si="10">IF(S642&gt;=6500,"High","Low")</f>
        <v>Low</v>
      </c>
      <c r="AK642" t="str" cm="1">
        <f t="array" ref="AK642">_xlfn.IFS(S642&lt;4000,"Low",S642&lt;8000,"Medium",S642&gt;=8000,"High")</f>
        <v>Low</v>
      </c>
      <c r="AL642" t="str" cm="1">
        <f t="array" ref="AL642">_xlfn.IFS(AF642&lt;3,"new",AF642&lt;=7,"Experienced",AF642&gt;7,"High")</f>
        <v>Experienced</v>
      </c>
      <c r="AM642" s="1"/>
    </row>
    <row r="643" spans="1:39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  <c r="AJ643" t="str">
        <f t="shared" si="10"/>
        <v>High</v>
      </c>
      <c r="AK643" t="str" cm="1">
        <f t="array" ref="AK643">_xlfn.IFS(S643&lt;4000,"Low",S643&lt;8000,"Medium",S643&gt;=8000,"High")</f>
        <v>Medium</v>
      </c>
      <c r="AL643" t="str" cm="1">
        <f t="array" ref="AL643">_xlfn.IFS(AF643&lt;3,"new",AF643&lt;=7,"Experienced",AF643&gt;7,"High")</f>
        <v>High</v>
      </c>
      <c r="AM643" s="1"/>
    </row>
    <row r="644" spans="1:39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  <c r="AJ644" t="str">
        <f t="shared" si="10"/>
        <v>Low</v>
      </c>
      <c r="AK644" t="str" cm="1">
        <f t="array" ref="AK644">_xlfn.IFS(S644&lt;4000,"Low",S644&lt;8000,"Medium",S644&gt;=8000,"High")</f>
        <v>Low</v>
      </c>
      <c r="AL644" t="str" cm="1">
        <f t="array" ref="AL644">_xlfn.IFS(AF644&lt;3,"new",AF644&lt;=7,"Experienced",AF644&gt;7,"High")</f>
        <v>new</v>
      </c>
      <c r="AM644" s="1"/>
    </row>
    <row r="645" spans="1:39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  <c r="AJ645" t="str">
        <f t="shared" si="10"/>
        <v>Low</v>
      </c>
      <c r="AK645" t="str" cm="1">
        <f t="array" ref="AK645">_xlfn.IFS(S645&lt;4000,"Low",S645&lt;8000,"Medium",S645&gt;=8000,"High")</f>
        <v>Medium</v>
      </c>
      <c r="AL645" t="str" cm="1">
        <f t="array" ref="AL645">_xlfn.IFS(AF645&lt;3,"new",AF645&lt;=7,"Experienced",AF645&gt;7,"High")</f>
        <v>Experienced</v>
      </c>
      <c r="AM645" s="1"/>
    </row>
    <row r="646" spans="1:39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  <c r="AJ646" t="str">
        <f t="shared" si="10"/>
        <v>Low</v>
      </c>
      <c r="AK646" t="str" cm="1">
        <f t="array" ref="AK646">_xlfn.IFS(S646&lt;4000,"Low",S646&lt;8000,"Medium",S646&gt;=8000,"High")</f>
        <v>Low</v>
      </c>
      <c r="AL646" t="str" cm="1">
        <f t="array" ref="AL646">_xlfn.IFS(AF646&lt;3,"new",AF646&lt;=7,"Experienced",AF646&gt;7,"High")</f>
        <v>Experienced</v>
      </c>
      <c r="AM646" s="1"/>
    </row>
    <row r="647" spans="1:39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  <c r="AJ647" t="str">
        <f t="shared" si="10"/>
        <v>Low</v>
      </c>
      <c r="AK647" t="str" cm="1">
        <f t="array" ref="AK647">_xlfn.IFS(S647&lt;4000,"Low",S647&lt;8000,"Medium",S647&gt;=8000,"High")</f>
        <v>Low</v>
      </c>
      <c r="AL647" t="str" cm="1">
        <f t="array" ref="AL647">_xlfn.IFS(AF647&lt;3,"new",AF647&lt;=7,"Experienced",AF647&gt;7,"High")</f>
        <v>Experienced</v>
      </c>
      <c r="AM647" s="1"/>
    </row>
    <row r="648" spans="1:39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  <c r="AJ648" t="str">
        <f t="shared" si="10"/>
        <v>High</v>
      </c>
      <c r="AK648" t="str" cm="1">
        <f t="array" ref="AK648">_xlfn.IFS(S648&lt;4000,"Low",S648&lt;8000,"Medium",S648&gt;=8000,"High")</f>
        <v>High</v>
      </c>
      <c r="AL648" t="str" cm="1">
        <f t="array" ref="AL648">_xlfn.IFS(AF648&lt;3,"new",AF648&lt;=7,"Experienced",AF648&gt;7,"High")</f>
        <v>new</v>
      </c>
      <c r="AM648" s="1"/>
    </row>
    <row r="649" spans="1:39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  <c r="AJ649" t="str">
        <f t="shared" si="10"/>
        <v>High</v>
      </c>
      <c r="AK649" t="str" cm="1">
        <f t="array" ref="AK649">_xlfn.IFS(S649&lt;4000,"Low",S649&lt;8000,"Medium",S649&gt;=8000,"High")</f>
        <v>High</v>
      </c>
      <c r="AL649" t="str" cm="1">
        <f t="array" ref="AL649">_xlfn.IFS(AF649&lt;3,"new",AF649&lt;=7,"Experienced",AF649&gt;7,"High")</f>
        <v>High</v>
      </c>
      <c r="AM649" s="1"/>
    </row>
    <row r="650" spans="1:39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  <c r="AJ650" t="str">
        <f t="shared" si="10"/>
        <v>Low</v>
      </c>
      <c r="AK650" t="str" cm="1">
        <f t="array" ref="AK650">_xlfn.IFS(S650&lt;4000,"Low",S650&lt;8000,"Medium",S650&gt;=8000,"High")</f>
        <v>Low</v>
      </c>
      <c r="AL650" t="str" cm="1">
        <f t="array" ref="AL650">_xlfn.IFS(AF650&lt;3,"new",AF650&lt;=7,"Experienced",AF650&gt;7,"High")</f>
        <v>Experienced</v>
      </c>
      <c r="AM650" s="1"/>
    </row>
    <row r="651" spans="1:39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  <c r="AJ651" t="str">
        <f t="shared" si="10"/>
        <v>High</v>
      </c>
      <c r="AK651" t="str" cm="1">
        <f t="array" ref="AK651">_xlfn.IFS(S651&lt;4000,"Low",S651&lt;8000,"Medium",S651&gt;=8000,"High")</f>
        <v>High</v>
      </c>
      <c r="AL651" t="str" cm="1">
        <f t="array" ref="AL651">_xlfn.IFS(AF651&lt;3,"new",AF651&lt;=7,"Experienced",AF651&gt;7,"High")</f>
        <v>High</v>
      </c>
      <c r="AM651" s="1"/>
    </row>
    <row r="652" spans="1:39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  <c r="AJ652" t="str">
        <f t="shared" si="10"/>
        <v>Low</v>
      </c>
      <c r="AK652" t="str" cm="1">
        <f t="array" ref="AK652">_xlfn.IFS(S652&lt;4000,"Low",S652&lt;8000,"Medium",S652&gt;=8000,"High")</f>
        <v>Medium</v>
      </c>
      <c r="AL652" t="str" cm="1">
        <f t="array" ref="AL652">_xlfn.IFS(AF652&lt;3,"new",AF652&lt;=7,"Experienced",AF652&gt;7,"High")</f>
        <v>Experienced</v>
      </c>
      <c r="AM652" s="1"/>
    </row>
    <row r="653" spans="1:39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  <c r="AJ653" t="str">
        <f t="shared" si="10"/>
        <v>Low</v>
      </c>
      <c r="AK653" t="str" cm="1">
        <f t="array" ref="AK653">_xlfn.IFS(S653&lt;4000,"Low",S653&lt;8000,"Medium",S653&gt;=8000,"High")</f>
        <v>Medium</v>
      </c>
      <c r="AL653" t="str" cm="1">
        <f t="array" ref="AL653">_xlfn.IFS(AF653&lt;3,"new",AF653&lt;=7,"Experienced",AF653&gt;7,"High")</f>
        <v>Experienced</v>
      </c>
      <c r="AM653" s="1"/>
    </row>
    <row r="654" spans="1:39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  <c r="AJ654" t="str">
        <f t="shared" si="10"/>
        <v>High</v>
      </c>
      <c r="AK654" t="str" cm="1">
        <f t="array" ref="AK654">_xlfn.IFS(S654&lt;4000,"Low",S654&lt;8000,"Medium",S654&gt;=8000,"High")</f>
        <v>Medium</v>
      </c>
      <c r="AL654" t="str" cm="1">
        <f t="array" ref="AL654">_xlfn.IFS(AF654&lt;3,"new",AF654&lt;=7,"Experienced",AF654&gt;7,"High")</f>
        <v>High</v>
      </c>
      <c r="AM654" s="1"/>
    </row>
    <row r="655" spans="1:39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  <c r="AJ655" t="str">
        <f t="shared" si="10"/>
        <v>High</v>
      </c>
      <c r="AK655" t="str" cm="1">
        <f t="array" ref="AK655">_xlfn.IFS(S655&lt;4000,"Low",S655&lt;8000,"Medium",S655&gt;=8000,"High")</f>
        <v>High</v>
      </c>
      <c r="AL655" t="str" cm="1">
        <f t="array" ref="AL655">_xlfn.IFS(AF655&lt;3,"new",AF655&lt;=7,"Experienced",AF655&gt;7,"High")</f>
        <v>High</v>
      </c>
      <c r="AM655" s="1"/>
    </row>
    <row r="656" spans="1:39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  <c r="AJ656" t="str">
        <f t="shared" si="10"/>
        <v>Low</v>
      </c>
      <c r="AK656" t="str" cm="1">
        <f t="array" ref="AK656">_xlfn.IFS(S656&lt;4000,"Low",S656&lt;8000,"Medium",S656&gt;=8000,"High")</f>
        <v>Medium</v>
      </c>
      <c r="AL656" t="str" cm="1">
        <f t="array" ref="AL656">_xlfn.IFS(AF656&lt;3,"new",AF656&lt;=7,"Experienced",AF656&gt;7,"High")</f>
        <v>Experienced</v>
      </c>
      <c r="AM656" s="1"/>
    </row>
    <row r="657" spans="1:39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  <c r="AJ657" t="str">
        <f t="shared" si="10"/>
        <v>Low</v>
      </c>
      <c r="AK657" t="str" cm="1">
        <f t="array" ref="AK657">_xlfn.IFS(S657&lt;4000,"Low",S657&lt;8000,"Medium",S657&gt;=8000,"High")</f>
        <v>Low</v>
      </c>
      <c r="AL657" t="str" cm="1">
        <f t="array" ref="AL657">_xlfn.IFS(AF657&lt;3,"new",AF657&lt;=7,"Experienced",AF657&gt;7,"High")</f>
        <v>Experienced</v>
      </c>
      <c r="AM657" s="1"/>
    </row>
    <row r="658" spans="1:39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  <c r="AJ658" t="str">
        <f t="shared" si="10"/>
        <v>Low</v>
      </c>
      <c r="AK658" t="str" cm="1">
        <f t="array" ref="AK658">_xlfn.IFS(S658&lt;4000,"Low",S658&lt;8000,"Medium",S658&gt;=8000,"High")</f>
        <v>Low</v>
      </c>
      <c r="AL658" t="str" cm="1">
        <f t="array" ref="AL658">_xlfn.IFS(AF658&lt;3,"new",AF658&lt;=7,"Experienced",AF658&gt;7,"High")</f>
        <v>new</v>
      </c>
      <c r="AM658" s="1"/>
    </row>
    <row r="659" spans="1:39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  <c r="AJ659" t="str">
        <f t="shared" si="10"/>
        <v>Low</v>
      </c>
      <c r="AK659" t="str" cm="1">
        <f t="array" ref="AK659">_xlfn.IFS(S659&lt;4000,"Low",S659&lt;8000,"Medium",S659&gt;=8000,"High")</f>
        <v>Low</v>
      </c>
      <c r="AL659" t="str" cm="1">
        <f t="array" ref="AL659">_xlfn.IFS(AF659&lt;3,"new",AF659&lt;=7,"Experienced",AF659&gt;7,"High")</f>
        <v>Experienced</v>
      </c>
      <c r="AM659" s="1"/>
    </row>
    <row r="660" spans="1:39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  <c r="AJ660" t="str">
        <f t="shared" si="10"/>
        <v>Low</v>
      </c>
      <c r="AK660" t="str" cm="1">
        <f t="array" ref="AK660">_xlfn.IFS(S660&lt;4000,"Low",S660&lt;8000,"Medium",S660&gt;=8000,"High")</f>
        <v>Low</v>
      </c>
      <c r="AL660" t="str" cm="1">
        <f t="array" ref="AL660">_xlfn.IFS(AF660&lt;3,"new",AF660&lt;=7,"Experienced",AF660&gt;7,"High")</f>
        <v>High</v>
      </c>
      <c r="AM660" s="1"/>
    </row>
    <row r="661" spans="1:39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  <c r="AJ661" t="str">
        <f t="shared" si="10"/>
        <v>Low</v>
      </c>
      <c r="AK661" t="str" cm="1">
        <f t="array" ref="AK661">_xlfn.IFS(S661&lt;4000,"Low",S661&lt;8000,"Medium",S661&gt;=8000,"High")</f>
        <v>Medium</v>
      </c>
      <c r="AL661" t="str" cm="1">
        <f t="array" ref="AL661">_xlfn.IFS(AF661&lt;3,"new",AF661&lt;=7,"Experienced",AF661&gt;7,"High")</f>
        <v>Experienced</v>
      </c>
      <c r="AM661" s="1"/>
    </row>
    <row r="662" spans="1:39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  <c r="AJ662" t="str">
        <f t="shared" si="10"/>
        <v>Low</v>
      </c>
      <c r="AK662" t="str" cm="1">
        <f t="array" ref="AK662">_xlfn.IFS(S662&lt;4000,"Low",S662&lt;8000,"Medium",S662&gt;=8000,"High")</f>
        <v>Low</v>
      </c>
      <c r="AL662" t="str" cm="1">
        <f t="array" ref="AL662">_xlfn.IFS(AF662&lt;3,"new",AF662&lt;=7,"Experienced",AF662&gt;7,"High")</f>
        <v>new</v>
      </c>
      <c r="AM662" s="1"/>
    </row>
    <row r="663" spans="1:39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  <c r="AJ663" t="str">
        <f t="shared" si="10"/>
        <v>Low</v>
      </c>
      <c r="AK663" t="str" cm="1">
        <f t="array" ref="AK663">_xlfn.IFS(S663&lt;4000,"Low",S663&lt;8000,"Medium",S663&gt;=8000,"High")</f>
        <v>Medium</v>
      </c>
      <c r="AL663" t="str" cm="1">
        <f t="array" ref="AL663">_xlfn.IFS(AF663&lt;3,"new",AF663&lt;=7,"Experienced",AF663&gt;7,"High")</f>
        <v>new</v>
      </c>
      <c r="AM663" s="1"/>
    </row>
    <row r="664" spans="1:39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  <c r="AJ664" t="str">
        <f t="shared" si="10"/>
        <v>Low</v>
      </c>
      <c r="AK664" t="str" cm="1">
        <f t="array" ref="AK664">_xlfn.IFS(S664&lt;4000,"Low",S664&lt;8000,"Medium",S664&gt;=8000,"High")</f>
        <v>Low</v>
      </c>
      <c r="AL664" t="str" cm="1">
        <f t="array" ref="AL664">_xlfn.IFS(AF664&lt;3,"new",AF664&lt;=7,"Experienced",AF664&gt;7,"High")</f>
        <v>new</v>
      </c>
      <c r="AM664" s="1"/>
    </row>
    <row r="665" spans="1:39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  <c r="AJ665" t="str">
        <f t="shared" si="10"/>
        <v>Low</v>
      </c>
      <c r="AK665" t="str" cm="1">
        <f t="array" ref="AK665">_xlfn.IFS(S665&lt;4000,"Low",S665&lt;8000,"Medium",S665&gt;=8000,"High")</f>
        <v>Low</v>
      </c>
      <c r="AL665" t="str" cm="1">
        <f t="array" ref="AL665">_xlfn.IFS(AF665&lt;3,"new",AF665&lt;=7,"Experienced",AF665&gt;7,"High")</f>
        <v>new</v>
      </c>
      <c r="AM665" s="1"/>
    </row>
    <row r="666" spans="1:39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  <c r="AJ666" t="str">
        <f t="shared" si="10"/>
        <v>High</v>
      </c>
      <c r="AK666" t="str" cm="1">
        <f t="array" ref="AK666">_xlfn.IFS(S666&lt;4000,"Low",S666&lt;8000,"Medium",S666&gt;=8000,"High")</f>
        <v>Medium</v>
      </c>
      <c r="AL666" t="str" cm="1">
        <f t="array" ref="AL666">_xlfn.IFS(AF666&lt;3,"new",AF666&lt;=7,"Experienced",AF666&gt;7,"High")</f>
        <v>High</v>
      </c>
      <c r="AM666" s="1"/>
    </row>
    <row r="667" spans="1:39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  <c r="AJ667" t="str">
        <f t="shared" si="10"/>
        <v>Low</v>
      </c>
      <c r="AK667" t="str" cm="1">
        <f t="array" ref="AK667">_xlfn.IFS(S667&lt;4000,"Low",S667&lt;8000,"Medium",S667&gt;=8000,"High")</f>
        <v>Low</v>
      </c>
      <c r="AL667" t="str" cm="1">
        <f t="array" ref="AL667">_xlfn.IFS(AF667&lt;3,"new",AF667&lt;=7,"Experienced",AF667&gt;7,"High")</f>
        <v>Experienced</v>
      </c>
      <c r="AM667" s="1"/>
    </row>
    <row r="668" spans="1:39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  <c r="AJ668" t="str">
        <f t="shared" si="10"/>
        <v>Low</v>
      </c>
      <c r="AK668" t="str" cm="1">
        <f t="array" ref="AK668">_xlfn.IFS(S668&lt;4000,"Low",S668&lt;8000,"Medium",S668&gt;=8000,"High")</f>
        <v>Medium</v>
      </c>
      <c r="AL668" t="str" cm="1">
        <f t="array" ref="AL668">_xlfn.IFS(AF668&lt;3,"new",AF668&lt;=7,"Experienced",AF668&gt;7,"High")</f>
        <v>Experienced</v>
      </c>
      <c r="AM668" s="1"/>
    </row>
    <row r="669" spans="1:39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  <c r="AJ669" t="str">
        <f t="shared" si="10"/>
        <v>Low</v>
      </c>
      <c r="AK669" t="str" cm="1">
        <f t="array" ref="AK669">_xlfn.IFS(S669&lt;4000,"Low",S669&lt;8000,"Medium",S669&gt;=8000,"High")</f>
        <v>Low</v>
      </c>
      <c r="AL669" t="str" cm="1">
        <f t="array" ref="AL669">_xlfn.IFS(AF669&lt;3,"new",AF669&lt;=7,"Experienced",AF669&gt;7,"High")</f>
        <v>Experienced</v>
      </c>
      <c r="AM669" s="1"/>
    </row>
    <row r="670" spans="1:39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  <c r="AJ670" t="str">
        <f t="shared" si="10"/>
        <v>Low</v>
      </c>
      <c r="AK670" t="str" cm="1">
        <f t="array" ref="AK670">_xlfn.IFS(S670&lt;4000,"Low",S670&lt;8000,"Medium",S670&gt;=8000,"High")</f>
        <v>Low</v>
      </c>
      <c r="AL670" t="str" cm="1">
        <f t="array" ref="AL670">_xlfn.IFS(AF670&lt;3,"new",AF670&lt;=7,"Experienced",AF670&gt;7,"High")</f>
        <v>new</v>
      </c>
      <c r="AM670" s="1"/>
    </row>
    <row r="671" spans="1:39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  <c r="AJ671" t="str">
        <f t="shared" si="10"/>
        <v>Low</v>
      </c>
      <c r="AK671" t="str" cm="1">
        <f t="array" ref="AK671">_xlfn.IFS(S671&lt;4000,"Low",S671&lt;8000,"Medium",S671&gt;=8000,"High")</f>
        <v>Low</v>
      </c>
      <c r="AL671" t="str" cm="1">
        <f t="array" ref="AL671">_xlfn.IFS(AF671&lt;3,"new",AF671&lt;=7,"Experienced",AF671&gt;7,"High")</f>
        <v>new</v>
      </c>
      <c r="AM671" s="1"/>
    </row>
    <row r="672" spans="1:39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  <c r="AJ672" t="str">
        <f t="shared" si="10"/>
        <v>Low</v>
      </c>
      <c r="AK672" t="str" cm="1">
        <f t="array" ref="AK672">_xlfn.IFS(S672&lt;4000,"Low",S672&lt;8000,"Medium",S672&gt;=8000,"High")</f>
        <v>Low</v>
      </c>
      <c r="AL672" t="str" cm="1">
        <f t="array" ref="AL672">_xlfn.IFS(AF672&lt;3,"new",AF672&lt;=7,"Experienced",AF672&gt;7,"High")</f>
        <v>new</v>
      </c>
      <c r="AM672" s="1"/>
    </row>
    <row r="673" spans="1:39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  <c r="AJ673" t="str">
        <f t="shared" si="10"/>
        <v>Low</v>
      </c>
      <c r="AK673" t="str" cm="1">
        <f t="array" ref="AK673">_xlfn.IFS(S673&lt;4000,"Low",S673&lt;8000,"Medium",S673&gt;=8000,"High")</f>
        <v>Low</v>
      </c>
      <c r="AL673" t="str" cm="1">
        <f t="array" ref="AL673">_xlfn.IFS(AF673&lt;3,"new",AF673&lt;=7,"Experienced",AF673&gt;7,"High")</f>
        <v>new</v>
      </c>
      <c r="AM673" s="1"/>
    </row>
    <row r="674" spans="1:39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  <c r="AJ674" t="str">
        <f t="shared" si="10"/>
        <v>Low</v>
      </c>
      <c r="AK674" t="str" cm="1">
        <f t="array" ref="AK674">_xlfn.IFS(S674&lt;4000,"Low",S674&lt;8000,"Medium",S674&gt;=8000,"High")</f>
        <v>Medium</v>
      </c>
      <c r="AL674" t="str" cm="1">
        <f t="array" ref="AL674">_xlfn.IFS(AF674&lt;3,"new",AF674&lt;=7,"Experienced",AF674&gt;7,"High")</f>
        <v>Experienced</v>
      </c>
      <c r="AM674" s="1"/>
    </row>
    <row r="675" spans="1:39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  <c r="AJ675" t="str">
        <f t="shared" si="10"/>
        <v>Low</v>
      </c>
      <c r="AK675" t="str" cm="1">
        <f t="array" ref="AK675">_xlfn.IFS(S675&lt;4000,"Low",S675&lt;8000,"Medium",S675&gt;=8000,"High")</f>
        <v>Low</v>
      </c>
      <c r="AL675" t="str" cm="1">
        <f t="array" ref="AL675">_xlfn.IFS(AF675&lt;3,"new",AF675&lt;=7,"Experienced",AF675&gt;7,"High")</f>
        <v>Experienced</v>
      </c>
      <c r="AM675" s="1"/>
    </row>
    <row r="676" spans="1:39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  <c r="AJ676" t="str">
        <f t="shared" si="10"/>
        <v>High</v>
      </c>
      <c r="AK676" t="str" cm="1">
        <f t="array" ref="AK676">_xlfn.IFS(S676&lt;4000,"Low",S676&lt;8000,"Medium",S676&gt;=8000,"High")</f>
        <v>High</v>
      </c>
      <c r="AL676" t="str" cm="1">
        <f t="array" ref="AL676">_xlfn.IFS(AF676&lt;3,"new",AF676&lt;=7,"Experienced",AF676&gt;7,"High")</f>
        <v>Experienced</v>
      </c>
      <c r="AM676" s="1"/>
    </row>
    <row r="677" spans="1:39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  <c r="AJ677" t="str">
        <f t="shared" si="10"/>
        <v>Low</v>
      </c>
      <c r="AK677" t="str" cm="1">
        <f t="array" ref="AK677">_xlfn.IFS(S677&lt;4000,"Low",S677&lt;8000,"Medium",S677&gt;=8000,"High")</f>
        <v>Low</v>
      </c>
      <c r="AL677" t="str" cm="1">
        <f t="array" ref="AL677">_xlfn.IFS(AF677&lt;3,"new",AF677&lt;=7,"Experienced",AF677&gt;7,"High")</f>
        <v>Experienced</v>
      </c>
      <c r="AM677" s="1"/>
    </row>
    <row r="678" spans="1:39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  <c r="AJ678" t="str">
        <f t="shared" si="10"/>
        <v>Low</v>
      </c>
      <c r="AK678" t="str" cm="1">
        <f t="array" ref="AK678">_xlfn.IFS(S678&lt;4000,"Low",S678&lt;8000,"Medium",S678&gt;=8000,"High")</f>
        <v>Medium</v>
      </c>
      <c r="AL678" t="str" cm="1">
        <f t="array" ref="AL678">_xlfn.IFS(AF678&lt;3,"new",AF678&lt;=7,"Experienced",AF678&gt;7,"High")</f>
        <v>High</v>
      </c>
      <c r="AM678" s="1"/>
    </row>
    <row r="679" spans="1:39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  <c r="AJ679" t="str">
        <f t="shared" si="10"/>
        <v>High</v>
      </c>
      <c r="AK679" t="str" cm="1">
        <f t="array" ref="AK679">_xlfn.IFS(S679&lt;4000,"Low",S679&lt;8000,"Medium",S679&gt;=8000,"High")</f>
        <v>Medium</v>
      </c>
      <c r="AL679" t="str" cm="1">
        <f t="array" ref="AL679">_xlfn.IFS(AF679&lt;3,"new",AF679&lt;=7,"Experienced",AF679&gt;7,"High")</f>
        <v>High</v>
      </c>
      <c r="AM679" s="1"/>
    </row>
    <row r="680" spans="1:39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  <c r="AJ680" t="str">
        <f t="shared" si="10"/>
        <v>Low</v>
      </c>
      <c r="AK680" t="str" cm="1">
        <f t="array" ref="AK680">_xlfn.IFS(S680&lt;4000,"Low",S680&lt;8000,"Medium",S680&gt;=8000,"High")</f>
        <v>Low</v>
      </c>
      <c r="AL680" t="str" cm="1">
        <f t="array" ref="AL680">_xlfn.IFS(AF680&lt;3,"new",AF680&lt;=7,"Experienced",AF680&gt;7,"High")</f>
        <v>new</v>
      </c>
      <c r="AM680" s="1"/>
    </row>
    <row r="681" spans="1:39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  <c r="AJ681" t="str">
        <f t="shared" si="10"/>
        <v>High</v>
      </c>
      <c r="AK681" t="str" cm="1">
        <f t="array" ref="AK681">_xlfn.IFS(S681&lt;4000,"Low",S681&lt;8000,"Medium",S681&gt;=8000,"High")</f>
        <v>Medium</v>
      </c>
      <c r="AL681" t="str" cm="1">
        <f t="array" ref="AL681">_xlfn.IFS(AF681&lt;3,"new",AF681&lt;=7,"Experienced",AF681&gt;7,"High")</f>
        <v>High</v>
      </c>
      <c r="AM681" s="1"/>
    </row>
    <row r="682" spans="1:39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  <c r="AJ682" t="str">
        <f t="shared" si="10"/>
        <v>Low</v>
      </c>
      <c r="AK682" t="str" cm="1">
        <f t="array" ref="AK682">_xlfn.IFS(S682&lt;4000,"Low",S682&lt;8000,"Medium",S682&gt;=8000,"High")</f>
        <v>Medium</v>
      </c>
      <c r="AL682" t="str" cm="1">
        <f t="array" ref="AL682">_xlfn.IFS(AF682&lt;3,"new",AF682&lt;=7,"Experienced",AF682&gt;7,"High")</f>
        <v>Experienced</v>
      </c>
      <c r="AM682" s="1"/>
    </row>
    <row r="683" spans="1:39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  <c r="AJ683" t="str">
        <f t="shared" si="10"/>
        <v>High</v>
      </c>
      <c r="AK683" t="str" cm="1">
        <f t="array" ref="AK683">_xlfn.IFS(S683&lt;4000,"Low",S683&lt;8000,"Medium",S683&gt;=8000,"High")</f>
        <v>High</v>
      </c>
      <c r="AL683" t="str" cm="1">
        <f t="array" ref="AL683">_xlfn.IFS(AF683&lt;3,"new",AF683&lt;=7,"Experienced",AF683&gt;7,"High")</f>
        <v>High</v>
      </c>
      <c r="AM683" s="1"/>
    </row>
    <row r="684" spans="1:39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  <c r="AJ684" t="str">
        <f t="shared" si="10"/>
        <v>Low</v>
      </c>
      <c r="AK684" t="str" cm="1">
        <f t="array" ref="AK684">_xlfn.IFS(S684&lt;4000,"Low",S684&lt;8000,"Medium",S684&gt;=8000,"High")</f>
        <v>Low</v>
      </c>
      <c r="AL684" t="str" cm="1">
        <f t="array" ref="AL684">_xlfn.IFS(AF684&lt;3,"new",AF684&lt;=7,"Experienced",AF684&gt;7,"High")</f>
        <v>Experienced</v>
      </c>
      <c r="AM684" s="1"/>
    </row>
    <row r="685" spans="1:39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  <c r="AJ685" t="str">
        <f t="shared" si="10"/>
        <v>Low</v>
      </c>
      <c r="AK685" t="str" cm="1">
        <f t="array" ref="AK685">_xlfn.IFS(S685&lt;4000,"Low",S685&lt;8000,"Medium",S685&gt;=8000,"High")</f>
        <v>Low</v>
      </c>
      <c r="AL685" t="str" cm="1">
        <f t="array" ref="AL685">_xlfn.IFS(AF685&lt;3,"new",AF685&lt;=7,"Experienced",AF685&gt;7,"High")</f>
        <v>new</v>
      </c>
      <c r="AM685" s="1"/>
    </row>
    <row r="686" spans="1:39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  <c r="AJ686" t="str">
        <f t="shared" si="10"/>
        <v>High</v>
      </c>
      <c r="AK686" t="str" cm="1">
        <f t="array" ref="AK686">_xlfn.IFS(S686&lt;4000,"Low",S686&lt;8000,"Medium",S686&gt;=8000,"High")</f>
        <v>High</v>
      </c>
      <c r="AL686" t="str" cm="1">
        <f t="array" ref="AL686">_xlfn.IFS(AF686&lt;3,"new",AF686&lt;=7,"Experienced",AF686&gt;7,"High")</f>
        <v>new</v>
      </c>
      <c r="AM686" s="1"/>
    </row>
    <row r="687" spans="1:39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  <c r="AJ687" t="str">
        <f t="shared" si="10"/>
        <v>Low</v>
      </c>
      <c r="AK687" t="str" cm="1">
        <f t="array" ref="AK687">_xlfn.IFS(S687&lt;4000,"Low",S687&lt;8000,"Medium",S687&gt;=8000,"High")</f>
        <v>Medium</v>
      </c>
      <c r="AL687" t="str" cm="1">
        <f t="array" ref="AL687">_xlfn.IFS(AF687&lt;3,"new",AF687&lt;=7,"Experienced",AF687&gt;7,"High")</f>
        <v>Experienced</v>
      </c>
      <c r="AM687" s="1"/>
    </row>
    <row r="688" spans="1:39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  <c r="AJ688" t="str">
        <f t="shared" si="10"/>
        <v>Low</v>
      </c>
      <c r="AK688" t="str" cm="1">
        <f t="array" ref="AK688">_xlfn.IFS(S688&lt;4000,"Low",S688&lt;8000,"Medium",S688&gt;=8000,"High")</f>
        <v>Medium</v>
      </c>
      <c r="AL688" t="str" cm="1">
        <f t="array" ref="AL688">_xlfn.IFS(AF688&lt;3,"new",AF688&lt;=7,"Experienced",AF688&gt;7,"High")</f>
        <v>High</v>
      </c>
      <c r="AM688" s="1"/>
    </row>
    <row r="689" spans="1:39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  <c r="AJ689" t="str">
        <f t="shared" si="10"/>
        <v>Low</v>
      </c>
      <c r="AK689" t="str" cm="1">
        <f t="array" ref="AK689">_xlfn.IFS(S689&lt;4000,"Low",S689&lt;8000,"Medium",S689&gt;=8000,"High")</f>
        <v>Low</v>
      </c>
      <c r="AL689" t="str" cm="1">
        <f t="array" ref="AL689">_xlfn.IFS(AF689&lt;3,"new",AF689&lt;=7,"Experienced",AF689&gt;7,"High")</f>
        <v>High</v>
      </c>
      <c r="AM689" s="1"/>
    </row>
    <row r="690" spans="1:39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  <c r="AJ690" t="str">
        <f t="shared" si="10"/>
        <v>Low</v>
      </c>
      <c r="AK690" t="str" cm="1">
        <f t="array" ref="AK690">_xlfn.IFS(S690&lt;4000,"Low",S690&lt;8000,"Medium",S690&gt;=8000,"High")</f>
        <v>Low</v>
      </c>
      <c r="AL690" t="str" cm="1">
        <f t="array" ref="AL690">_xlfn.IFS(AF690&lt;3,"new",AF690&lt;=7,"Experienced",AF690&gt;7,"High")</f>
        <v>new</v>
      </c>
      <c r="AM690" s="1"/>
    </row>
    <row r="691" spans="1:39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  <c r="AJ691" t="str">
        <f t="shared" si="10"/>
        <v>Low</v>
      </c>
      <c r="AK691" t="str" cm="1">
        <f t="array" ref="AK691">_xlfn.IFS(S691&lt;4000,"Low",S691&lt;8000,"Medium",S691&gt;=8000,"High")</f>
        <v>Low</v>
      </c>
      <c r="AL691" t="str" cm="1">
        <f t="array" ref="AL691">_xlfn.IFS(AF691&lt;3,"new",AF691&lt;=7,"Experienced",AF691&gt;7,"High")</f>
        <v>new</v>
      </c>
      <c r="AM691" s="1"/>
    </row>
    <row r="692" spans="1:39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  <c r="AJ692" t="str">
        <f t="shared" si="10"/>
        <v>Low</v>
      </c>
      <c r="AK692" t="str" cm="1">
        <f t="array" ref="AK692">_xlfn.IFS(S692&lt;4000,"Low",S692&lt;8000,"Medium",S692&gt;=8000,"High")</f>
        <v>Medium</v>
      </c>
      <c r="AL692" t="str" cm="1">
        <f t="array" ref="AL692">_xlfn.IFS(AF692&lt;3,"new",AF692&lt;=7,"Experienced",AF692&gt;7,"High")</f>
        <v>High</v>
      </c>
      <c r="AM692" s="1"/>
    </row>
    <row r="693" spans="1:39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  <c r="AJ693" t="str">
        <f t="shared" si="10"/>
        <v>Low</v>
      </c>
      <c r="AK693" t="str" cm="1">
        <f t="array" ref="AK693">_xlfn.IFS(S693&lt;4000,"Low",S693&lt;8000,"Medium",S693&gt;=8000,"High")</f>
        <v>Low</v>
      </c>
      <c r="AL693" t="str" cm="1">
        <f t="array" ref="AL693">_xlfn.IFS(AF693&lt;3,"new",AF693&lt;=7,"Experienced",AF693&gt;7,"High")</f>
        <v>new</v>
      </c>
      <c r="AM693" s="1"/>
    </row>
    <row r="694" spans="1:39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  <c r="AJ694" t="str">
        <f t="shared" si="10"/>
        <v>High</v>
      </c>
      <c r="AK694" t="str" cm="1">
        <f t="array" ref="AK694">_xlfn.IFS(S694&lt;4000,"Low",S694&lt;8000,"Medium",S694&gt;=8000,"High")</f>
        <v>Medium</v>
      </c>
      <c r="AL694" t="str" cm="1">
        <f t="array" ref="AL694">_xlfn.IFS(AF694&lt;3,"new",AF694&lt;=7,"Experienced",AF694&gt;7,"High")</f>
        <v>High</v>
      </c>
      <c r="AM694" s="1"/>
    </row>
    <row r="695" spans="1:39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  <c r="AJ695" t="str">
        <f t="shared" si="10"/>
        <v>High</v>
      </c>
      <c r="AK695" t="str" cm="1">
        <f t="array" ref="AK695">_xlfn.IFS(S695&lt;4000,"Low",S695&lt;8000,"Medium",S695&gt;=8000,"High")</f>
        <v>High</v>
      </c>
      <c r="AL695" t="str" cm="1">
        <f t="array" ref="AL695">_xlfn.IFS(AF695&lt;3,"new",AF695&lt;=7,"Experienced",AF695&gt;7,"High")</f>
        <v>High</v>
      </c>
      <c r="AM695" s="1"/>
    </row>
    <row r="696" spans="1:39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  <c r="AJ696" t="str">
        <f t="shared" si="10"/>
        <v>High</v>
      </c>
      <c r="AK696" t="str" cm="1">
        <f t="array" ref="AK696">_xlfn.IFS(S696&lt;4000,"Low",S696&lt;8000,"Medium",S696&gt;=8000,"High")</f>
        <v>Medium</v>
      </c>
      <c r="AL696" t="str" cm="1">
        <f t="array" ref="AL696">_xlfn.IFS(AF696&lt;3,"new",AF696&lt;=7,"Experienced",AF696&gt;7,"High")</f>
        <v>Experienced</v>
      </c>
      <c r="AM696" s="1"/>
    </row>
    <row r="697" spans="1:39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  <c r="AJ697" t="str">
        <f t="shared" si="10"/>
        <v>High</v>
      </c>
      <c r="AK697" t="str" cm="1">
        <f t="array" ref="AK697">_xlfn.IFS(S697&lt;4000,"Low",S697&lt;8000,"Medium",S697&gt;=8000,"High")</f>
        <v>High</v>
      </c>
      <c r="AL697" t="str" cm="1">
        <f t="array" ref="AL697">_xlfn.IFS(AF697&lt;3,"new",AF697&lt;=7,"Experienced",AF697&gt;7,"High")</f>
        <v>High</v>
      </c>
      <c r="AM697" s="1"/>
    </row>
    <row r="698" spans="1:39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  <c r="AJ698" t="str">
        <f t="shared" si="10"/>
        <v>Low</v>
      </c>
      <c r="AK698" t="str" cm="1">
        <f t="array" ref="AK698">_xlfn.IFS(S698&lt;4000,"Low",S698&lt;8000,"Medium",S698&gt;=8000,"High")</f>
        <v>Medium</v>
      </c>
      <c r="AL698" t="str" cm="1">
        <f t="array" ref="AL698">_xlfn.IFS(AF698&lt;3,"new",AF698&lt;=7,"Experienced",AF698&gt;7,"High")</f>
        <v>High</v>
      </c>
      <c r="AM698" s="1"/>
    </row>
    <row r="699" spans="1:39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  <c r="AJ699" t="str">
        <f t="shared" si="10"/>
        <v>Low</v>
      </c>
      <c r="AK699" t="str" cm="1">
        <f t="array" ref="AK699">_xlfn.IFS(S699&lt;4000,"Low",S699&lt;8000,"Medium",S699&gt;=8000,"High")</f>
        <v>Low</v>
      </c>
      <c r="AL699" t="str" cm="1">
        <f t="array" ref="AL699">_xlfn.IFS(AF699&lt;3,"new",AF699&lt;=7,"Experienced",AF699&gt;7,"High")</f>
        <v>Experienced</v>
      </c>
      <c r="AM699" s="1"/>
    </row>
    <row r="700" spans="1:39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  <c r="AJ700" t="str">
        <f t="shared" si="10"/>
        <v>Low</v>
      </c>
      <c r="AK700" t="str" cm="1">
        <f t="array" ref="AK700">_xlfn.IFS(S700&lt;4000,"Low",S700&lt;8000,"Medium",S700&gt;=8000,"High")</f>
        <v>Medium</v>
      </c>
      <c r="AL700" t="str" cm="1">
        <f t="array" ref="AL700">_xlfn.IFS(AF700&lt;3,"new",AF700&lt;=7,"Experienced",AF700&gt;7,"High")</f>
        <v>Experienced</v>
      </c>
      <c r="AM700" s="1"/>
    </row>
    <row r="701" spans="1:39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  <c r="AJ701" t="str">
        <f t="shared" si="10"/>
        <v>High</v>
      </c>
      <c r="AK701" t="str" cm="1">
        <f t="array" ref="AK701">_xlfn.IFS(S701&lt;4000,"Low",S701&lt;8000,"Medium",S701&gt;=8000,"High")</f>
        <v>High</v>
      </c>
      <c r="AL701" t="str" cm="1">
        <f t="array" ref="AL701">_xlfn.IFS(AF701&lt;3,"new",AF701&lt;=7,"Experienced",AF701&gt;7,"High")</f>
        <v>High</v>
      </c>
      <c r="AM701" s="1"/>
    </row>
    <row r="702" spans="1:39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  <c r="AJ702" t="str">
        <f t="shared" si="10"/>
        <v>Low</v>
      </c>
      <c r="AK702" t="str" cm="1">
        <f t="array" ref="AK702">_xlfn.IFS(S702&lt;4000,"Low",S702&lt;8000,"Medium",S702&gt;=8000,"High")</f>
        <v>Low</v>
      </c>
      <c r="AL702" t="str" cm="1">
        <f t="array" ref="AL702">_xlfn.IFS(AF702&lt;3,"new",AF702&lt;=7,"Experienced",AF702&gt;7,"High")</f>
        <v>new</v>
      </c>
      <c r="AM702" s="1"/>
    </row>
    <row r="703" spans="1:39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  <c r="AJ703" t="str">
        <f t="shared" si="10"/>
        <v>High</v>
      </c>
      <c r="AK703" t="str" cm="1">
        <f t="array" ref="AK703">_xlfn.IFS(S703&lt;4000,"Low",S703&lt;8000,"Medium",S703&gt;=8000,"High")</f>
        <v>High</v>
      </c>
      <c r="AL703" t="str" cm="1">
        <f t="array" ref="AL703">_xlfn.IFS(AF703&lt;3,"new",AF703&lt;=7,"Experienced",AF703&gt;7,"High")</f>
        <v>High</v>
      </c>
      <c r="AM703" s="1"/>
    </row>
    <row r="704" spans="1:39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  <c r="AJ704" t="str">
        <f t="shared" si="10"/>
        <v>High</v>
      </c>
      <c r="AK704" t="str" cm="1">
        <f t="array" ref="AK704">_xlfn.IFS(S704&lt;4000,"Low",S704&lt;8000,"Medium",S704&gt;=8000,"High")</f>
        <v>Medium</v>
      </c>
      <c r="AL704" t="str" cm="1">
        <f t="array" ref="AL704">_xlfn.IFS(AF704&lt;3,"new",AF704&lt;=7,"Experienced",AF704&gt;7,"High")</f>
        <v>High</v>
      </c>
      <c r="AM704" s="1"/>
    </row>
    <row r="705" spans="1:39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  <c r="AJ705" t="str">
        <f t="shared" si="10"/>
        <v>Low</v>
      </c>
      <c r="AK705" t="str" cm="1">
        <f t="array" ref="AK705">_xlfn.IFS(S705&lt;4000,"Low",S705&lt;8000,"Medium",S705&gt;=8000,"High")</f>
        <v>Medium</v>
      </c>
      <c r="AL705" t="str" cm="1">
        <f t="array" ref="AL705">_xlfn.IFS(AF705&lt;3,"new",AF705&lt;=7,"Experienced",AF705&gt;7,"High")</f>
        <v>Experienced</v>
      </c>
      <c r="AM705" s="1"/>
    </row>
    <row r="706" spans="1:39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  <c r="AJ706" t="str">
        <f t="shared" ref="AJ706:AJ769" si="11">IF(S706&gt;=6500,"High","Low")</f>
        <v>High</v>
      </c>
      <c r="AK706" t="str" cm="1">
        <f t="array" ref="AK706">_xlfn.IFS(S706&lt;4000,"Low",S706&lt;8000,"Medium",S706&gt;=8000,"High")</f>
        <v>Medium</v>
      </c>
      <c r="AL706" t="str" cm="1">
        <f t="array" ref="AL706">_xlfn.IFS(AF706&lt;3,"new",AF706&lt;=7,"Experienced",AF706&gt;7,"High")</f>
        <v>High</v>
      </c>
      <c r="AM706" s="1"/>
    </row>
    <row r="707" spans="1:39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  <c r="AJ707" t="str">
        <f t="shared" si="11"/>
        <v>High</v>
      </c>
      <c r="AK707" t="str" cm="1">
        <f t="array" ref="AK707">_xlfn.IFS(S707&lt;4000,"Low",S707&lt;8000,"Medium",S707&gt;=8000,"High")</f>
        <v>Medium</v>
      </c>
      <c r="AL707" t="str" cm="1">
        <f t="array" ref="AL707">_xlfn.IFS(AF707&lt;3,"new",AF707&lt;=7,"Experienced",AF707&gt;7,"High")</f>
        <v>High</v>
      </c>
      <c r="AM707" s="1"/>
    </row>
    <row r="708" spans="1:39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  <c r="AJ708" t="str">
        <f t="shared" si="11"/>
        <v>High</v>
      </c>
      <c r="AK708" t="str" cm="1">
        <f t="array" ref="AK708">_xlfn.IFS(S708&lt;4000,"Low",S708&lt;8000,"Medium",S708&gt;=8000,"High")</f>
        <v>High</v>
      </c>
      <c r="AL708" t="str" cm="1">
        <f t="array" ref="AL708">_xlfn.IFS(AF708&lt;3,"new",AF708&lt;=7,"Experienced",AF708&gt;7,"High")</f>
        <v>new</v>
      </c>
      <c r="AM708" s="1"/>
    </row>
    <row r="709" spans="1:39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  <c r="AJ709" t="str">
        <f t="shared" si="11"/>
        <v>Low</v>
      </c>
      <c r="AK709" t="str" cm="1">
        <f t="array" ref="AK709">_xlfn.IFS(S709&lt;4000,"Low",S709&lt;8000,"Medium",S709&gt;=8000,"High")</f>
        <v>Medium</v>
      </c>
      <c r="AL709" t="str" cm="1">
        <f t="array" ref="AL709">_xlfn.IFS(AF709&lt;3,"new",AF709&lt;=7,"Experienced",AF709&gt;7,"High")</f>
        <v>High</v>
      </c>
      <c r="AM709" s="1"/>
    </row>
    <row r="710" spans="1:39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  <c r="AJ710" t="str">
        <f t="shared" si="11"/>
        <v>Low</v>
      </c>
      <c r="AK710" t="str" cm="1">
        <f t="array" ref="AK710">_xlfn.IFS(S710&lt;4000,"Low",S710&lt;8000,"Medium",S710&gt;=8000,"High")</f>
        <v>Medium</v>
      </c>
      <c r="AL710" t="str" cm="1">
        <f t="array" ref="AL710">_xlfn.IFS(AF710&lt;3,"new",AF710&lt;=7,"Experienced",AF710&gt;7,"High")</f>
        <v>Experienced</v>
      </c>
      <c r="AM710" s="1"/>
    </row>
    <row r="711" spans="1:39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  <c r="AJ711" t="str">
        <f t="shared" si="11"/>
        <v>Low</v>
      </c>
      <c r="AK711" t="str" cm="1">
        <f t="array" ref="AK711">_xlfn.IFS(S711&lt;4000,"Low",S711&lt;8000,"Medium",S711&gt;=8000,"High")</f>
        <v>Low</v>
      </c>
      <c r="AL711" t="str" cm="1">
        <f t="array" ref="AL711">_xlfn.IFS(AF711&lt;3,"new",AF711&lt;=7,"Experienced",AF711&gt;7,"High")</f>
        <v>Experienced</v>
      </c>
      <c r="AM711" s="1"/>
    </row>
    <row r="712" spans="1:39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  <c r="AJ712" t="str">
        <f t="shared" si="11"/>
        <v>High</v>
      </c>
      <c r="AK712" t="str" cm="1">
        <f t="array" ref="AK712">_xlfn.IFS(S712&lt;4000,"Low",S712&lt;8000,"Medium",S712&gt;=8000,"High")</f>
        <v>High</v>
      </c>
      <c r="AL712" t="str" cm="1">
        <f t="array" ref="AL712">_xlfn.IFS(AF712&lt;3,"new",AF712&lt;=7,"Experienced",AF712&gt;7,"High")</f>
        <v>High</v>
      </c>
      <c r="AM712" s="1"/>
    </row>
    <row r="713" spans="1:39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  <c r="AJ713" t="str">
        <f t="shared" si="11"/>
        <v>Low</v>
      </c>
      <c r="AK713" t="str" cm="1">
        <f t="array" ref="AK713">_xlfn.IFS(S713&lt;4000,"Low",S713&lt;8000,"Medium",S713&gt;=8000,"High")</f>
        <v>Low</v>
      </c>
      <c r="AL713" t="str" cm="1">
        <f t="array" ref="AL713">_xlfn.IFS(AF713&lt;3,"new",AF713&lt;=7,"Experienced",AF713&gt;7,"High")</f>
        <v>new</v>
      </c>
      <c r="AM713" s="1"/>
    </row>
    <row r="714" spans="1:39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  <c r="AJ714" t="str">
        <f t="shared" si="11"/>
        <v>Low</v>
      </c>
      <c r="AK714" t="str" cm="1">
        <f t="array" ref="AK714">_xlfn.IFS(S714&lt;4000,"Low",S714&lt;8000,"Medium",S714&gt;=8000,"High")</f>
        <v>Low</v>
      </c>
      <c r="AL714" t="str" cm="1">
        <f t="array" ref="AL714">_xlfn.IFS(AF714&lt;3,"new",AF714&lt;=7,"Experienced",AF714&gt;7,"High")</f>
        <v>Experienced</v>
      </c>
      <c r="AM714" s="1"/>
    </row>
    <row r="715" spans="1:39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  <c r="AJ715" t="str">
        <f t="shared" si="11"/>
        <v>Low</v>
      </c>
      <c r="AK715" t="str" cm="1">
        <f t="array" ref="AK715">_xlfn.IFS(S715&lt;4000,"Low",S715&lt;8000,"Medium",S715&gt;=8000,"High")</f>
        <v>Low</v>
      </c>
      <c r="AL715" t="str" cm="1">
        <f t="array" ref="AL715">_xlfn.IFS(AF715&lt;3,"new",AF715&lt;=7,"Experienced",AF715&gt;7,"High")</f>
        <v>Experienced</v>
      </c>
      <c r="AM715" s="1"/>
    </row>
    <row r="716" spans="1:39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  <c r="AJ716" t="str">
        <f t="shared" si="11"/>
        <v>High</v>
      </c>
      <c r="AK716" t="str" cm="1">
        <f t="array" ref="AK716">_xlfn.IFS(S716&lt;4000,"Low",S716&lt;8000,"Medium",S716&gt;=8000,"High")</f>
        <v>High</v>
      </c>
      <c r="AL716" t="str" cm="1">
        <f t="array" ref="AL716">_xlfn.IFS(AF716&lt;3,"new",AF716&lt;=7,"Experienced",AF716&gt;7,"High")</f>
        <v>Experienced</v>
      </c>
      <c r="AM716" s="1"/>
    </row>
    <row r="717" spans="1:39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  <c r="AJ717" t="str">
        <f t="shared" si="11"/>
        <v>Low</v>
      </c>
      <c r="AK717" t="str" cm="1">
        <f t="array" ref="AK717">_xlfn.IFS(S717&lt;4000,"Low",S717&lt;8000,"Medium",S717&gt;=8000,"High")</f>
        <v>Medium</v>
      </c>
      <c r="AL717" t="str" cm="1">
        <f t="array" ref="AL717">_xlfn.IFS(AF717&lt;3,"new",AF717&lt;=7,"Experienced",AF717&gt;7,"High")</f>
        <v>Experienced</v>
      </c>
      <c r="AM717" s="1"/>
    </row>
    <row r="718" spans="1:39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  <c r="AJ718" t="str">
        <f t="shared" si="11"/>
        <v>High</v>
      </c>
      <c r="AK718" t="str" cm="1">
        <f t="array" ref="AK718">_xlfn.IFS(S718&lt;4000,"Low",S718&lt;8000,"Medium",S718&gt;=8000,"High")</f>
        <v>High</v>
      </c>
      <c r="AL718" t="str" cm="1">
        <f t="array" ref="AL718">_xlfn.IFS(AF718&lt;3,"new",AF718&lt;=7,"Experienced",AF718&gt;7,"High")</f>
        <v>High</v>
      </c>
      <c r="AM718" s="1"/>
    </row>
    <row r="719" spans="1:39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  <c r="AJ719" t="str">
        <f t="shared" si="11"/>
        <v>Low</v>
      </c>
      <c r="AK719" t="str" cm="1">
        <f t="array" ref="AK719">_xlfn.IFS(S719&lt;4000,"Low",S719&lt;8000,"Medium",S719&gt;=8000,"High")</f>
        <v>Low</v>
      </c>
      <c r="AL719" t="str" cm="1">
        <f t="array" ref="AL719">_xlfn.IFS(AF719&lt;3,"new",AF719&lt;=7,"Experienced",AF719&gt;7,"High")</f>
        <v>new</v>
      </c>
      <c r="AM719" s="1"/>
    </row>
    <row r="720" spans="1:39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  <c r="AJ720" t="str">
        <f t="shared" si="11"/>
        <v>Low</v>
      </c>
      <c r="AK720" t="str" cm="1">
        <f t="array" ref="AK720">_xlfn.IFS(S720&lt;4000,"Low",S720&lt;8000,"Medium",S720&gt;=8000,"High")</f>
        <v>Low</v>
      </c>
      <c r="AL720" t="str" cm="1">
        <f t="array" ref="AL720">_xlfn.IFS(AF720&lt;3,"new",AF720&lt;=7,"Experienced",AF720&gt;7,"High")</f>
        <v>High</v>
      </c>
      <c r="AM720" s="1"/>
    </row>
    <row r="721" spans="1:39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  <c r="AJ721" t="str">
        <f t="shared" si="11"/>
        <v>Low</v>
      </c>
      <c r="AK721" t="str" cm="1">
        <f t="array" ref="AK721">_xlfn.IFS(S721&lt;4000,"Low",S721&lt;8000,"Medium",S721&gt;=8000,"High")</f>
        <v>Medium</v>
      </c>
      <c r="AL721" t="str" cm="1">
        <f t="array" ref="AL721">_xlfn.IFS(AF721&lt;3,"new",AF721&lt;=7,"Experienced",AF721&gt;7,"High")</f>
        <v>High</v>
      </c>
      <c r="AM721" s="1"/>
    </row>
    <row r="722" spans="1:39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  <c r="AJ722" t="str">
        <f t="shared" si="11"/>
        <v>Low</v>
      </c>
      <c r="AK722" t="str" cm="1">
        <f t="array" ref="AK722">_xlfn.IFS(S722&lt;4000,"Low",S722&lt;8000,"Medium",S722&gt;=8000,"High")</f>
        <v>Low</v>
      </c>
      <c r="AL722" t="str" cm="1">
        <f t="array" ref="AL722">_xlfn.IFS(AF722&lt;3,"new",AF722&lt;=7,"Experienced",AF722&gt;7,"High")</f>
        <v>Experienced</v>
      </c>
      <c r="AM722" s="1"/>
    </row>
    <row r="723" spans="1:39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  <c r="AJ723" t="str">
        <f t="shared" si="11"/>
        <v>High</v>
      </c>
      <c r="AK723" t="str" cm="1">
        <f t="array" ref="AK723">_xlfn.IFS(S723&lt;4000,"Low",S723&lt;8000,"Medium",S723&gt;=8000,"High")</f>
        <v>High</v>
      </c>
      <c r="AL723" t="str" cm="1">
        <f t="array" ref="AL723">_xlfn.IFS(AF723&lt;3,"new",AF723&lt;=7,"Experienced",AF723&gt;7,"High")</f>
        <v>High</v>
      </c>
      <c r="AM723" s="1"/>
    </row>
    <row r="724" spans="1:39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  <c r="AJ724" t="str">
        <f t="shared" si="11"/>
        <v>Low</v>
      </c>
      <c r="AK724" t="str" cm="1">
        <f t="array" ref="AK724">_xlfn.IFS(S724&lt;4000,"Low",S724&lt;8000,"Medium",S724&gt;=8000,"High")</f>
        <v>Low</v>
      </c>
      <c r="AL724" t="str" cm="1">
        <f t="array" ref="AL724">_xlfn.IFS(AF724&lt;3,"new",AF724&lt;=7,"Experienced",AF724&gt;7,"High")</f>
        <v>new</v>
      </c>
      <c r="AM724" s="1"/>
    </row>
    <row r="725" spans="1:39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  <c r="AJ725" t="str">
        <f t="shared" si="11"/>
        <v>High</v>
      </c>
      <c r="AK725" t="str" cm="1">
        <f t="array" ref="AK725">_xlfn.IFS(S725&lt;4000,"Low",S725&lt;8000,"Medium",S725&gt;=8000,"High")</f>
        <v>High</v>
      </c>
      <c r="AL725" t="str" cm="1">
        <f t="array" ref="AL725">_xlfn.IFS(AF725&lt;3,"new",AF725&lt;=7,"Experienced",AF725&gt;7,"High")</f>
        <v>High</v>
      </c>
      <c r="AM725" s="1"/>
    </row>
    <row r="726" spans="1:39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  <c r="AJ726" t="str">
        <f t="shared" si="11"/>
        <v>Low</v>
      </c>
      <c r="AK726" t="str" cm="1">
        <f t="array" ref="AK726">_xlfn.IFS(S726&lt;4000,"Low",S726&lt;8000,"Medium",S726&gt;=8000,"High")</f>
        <v>Medium</v>
      </c>
      <c r="AL726" t="str" cm="1">
        <f t="array" ref="AL726">_xlfn.IFS(AF726&lt;3,"new",AF726&lt;=7,"Experienced",AF726&gt;7,"High")</f>
        <v>Experienced</v>
      </c>
      <c r="AM726" s="1"/>
    </row>
    <row r="727" spans="1:39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  <c r="AJ727" t="str">
        <f t="shared" si="11"/>
        <v>Low</v>
      </c>
      <c r="AK727" t="str" cm="1">
        <f t="array" ref="AK727">_xlfn.IFS(S727&lt;4000,"Low",S727&lt;8000,"Medium",S727&gt;=8000,"High")</f>
        <v>Low</v>
      </c>
      <c r="AL727" t="str" cm="1">
        <f t="array" ref="AL727">_xlfn.IFS(AF727&lt;3,"new",AF727&lt;=7,"Experienced",AF727&gt;7,"High")</f>
        <v>Experienced</v>
      </c>
      <c r="AM727" s="1"/>
    </row>
    <row r="728" spans="1:39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  <c r="AJ728" t="str">
        <f t="shared" si="11"/>
        <v>Low</v>
      </c>
      <c r="AK728" t="str" cm="1">
        <f t="array" ref="AK728">_xlfn.IFS(S728&lt;4000,"Low",S728&lt;8000,"Medium",S728&gt;=8000,"High")</f>
        <v>Medium</v>
      </c>
      <c r="AL728" t="str" cm="1">
        <f t="array" ref="AL728">_xlfn.IFS(AF728&lt;3,"new",AF728&lt;=7,"Experienced",AF728&gt;7,"High")</f>
        <v>Experienced</v>
      </c>
      <c r="AM728" s="1"/>
    </row>
    <row r="729" spans="1:39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  <c r="AJ729" t="str">
        <f t="shared" si="11"/>
        <v>Low</v>
      </c>
      <c r="AK729" t="str" cm="1">
        <f t="array" ref="AK729">_xlfn.IFS(S729&lt;4000,"Low",S729&lt;8000,"Medium",S729&gt;=8000,"High")</f>
        <v>Low</v>
      </c>
      <c r="AL729" t="str" cm="1">
        <f t="array" ref="AL729">_xlfn.IFS(AF729&lt;3,"new",AF729&lt;=7,"Experienced",AF729&gt;7,"High")</f>
        <v>new</v>
      </c>
      <c r="AM729" s="1"/>
    </row>
    <row r="730" spans="1:39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  <c r="AJ730" t="str">
        <f t="shared" si="11"/>
        <v>High</v>
      </c>
      <c r="AK730" t="str" cm="1">
        <f t="array" ref="AK730">_xlfn.IFS(S730&lt;4000,"Low",S730&lt;8000,"Medium",S730&gt;=8000,"High")</f>
        <v>High</v>
      </c>
      <c r="AL730" t="str" cm="1">
        <f t="array" ref="AL730">_xlfn.IFS(AF730&lt;3,"new",AF730&lt;=7,"Experienced",AF730&gt;7,"High")</f>
        <v>High</v>
      </c>
      <c r="AM730" s="1"/>
    </row>
    <row r="731" spans="1:39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  <c r="AJ731" t="str">
        <f t="shared" si="11"/>
        <v>High</v>
      </c>
      <c r="AK731" t="str" cm="1">
        <f t="array" ref="AK731">_xlfn.IFS(S731&lt;4000,"Low",S731&lt;8000,"Medium",S731&gt;=8000,"High")</f>
        <v>High</v>
      </c>
      <c r="AL731" t="str" cm="1">
        <f t="array" ref="AL731">_xlfn.IFS(AF731&lt;3,"new",AF731&lt;=7,"Experienced",AF731&gt;7,"High")</f>
        <v>High</v>
      </c>
      <c r="AM731" s="1"/>
    </row>
    <row r="732" spans="1:39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  <c r="AJ732" t="str">
        <f t="shared" si="11"/>
        <v>High</v>
      </c>
      <c r="AK732" t="str" cm="1">
        <f t="array" ref="AK732">_xlfn.IFS(S732&lt;4000,"Low",S732&lt;8000,"Medium",S732&gt;=8000,"High")</f>
        <v>High</v>
      </c>
      <c r="AL732" t="str" cm="1">
        <f t="array" ref="AL732">_xlfn.IFS(AF732&lt;3,"new",AF732&lt;=7,"Experienced",AF732&gt;7,"High")</f>
        <v>High</v>
      </c>
      <c r="AM732" s="1"/>
    </row>
    <row r="733" spans="1:39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  <c r="AJ733" t="str">
        <f t="shared" si="11"/>
        <v>Low</v>
      </c>
      <c r="AK733" t="str" cm="1">
        <f t="array" ref="AK733">_xlfn.IFS(S733&lt;4000,"Low",S733&lt;8000,"Medium",S733&gt;=8000,"High")</f>
        <v>Low</v>
      </c>
      <c r="AL733" t="str" cm="1">
        <f t="array" ref="AL733">_xlfn.IFS(AF733&lt;3,"new",AF733&lt;=7,"Experienced",AF733&gt;7,"High")</f>
        <v>new</v>
      </c>
      <c r="AM733" s="1"/>
    </row>
    <row r="734" spans="1:39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  <c r="AJ734" t="str">
        <f t="shared" si="11"/>
        <v>Low</v>
      </c>
      <c r="AK734" t="str" cm="1">
        <f t="array" ref="AK734">_xlfn.IFS(S734&lt;4000,"Low",S734&lt;8000,"Medium",S734&gt;=8000,"High")</f>
        <v>Low</v>
      </c>
      <c r="AL734" t="str" cm="1">
        <f t="array" ref="AL734">_xlfn.IFS(AF734&lt;3,"new",AF734&lt;=7,"Experienced",AF734&gt;7,"High")</f>
        <v>Experienced</v>
      </c>
      <c r="AM734" s="1"/>
    </row>
    <row r="735" spans="1:39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  <c r="AJ735" t="str">
        <f t="shared" si="11"/>
        <v>Low</v>
      </c>
      <c r="AK735" t="str" cm="1">
        <f t="array" ref="AK735">_xlfn.IFS(S735&lt;4000,"Low",S735&lt;8000,"Medium",S735&gt;=8000,"High")</f>
        <v>Medium</v>
      </c>
      <c r="AL735" t="str" cm="1">
        <f t="array" ref="AL735">_xlfn.IFS(AF735&lt;3,"new",AF735&lt;=7,"Experienced",AF735&gt;7,"High")</f>
        <v>High</v>
      </c>
      <c r="AM735" s="1"/>
    </row>
    <row r="736" spans="1:39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  <c r="AJ736" t="str">
        <f t="shared" si="11"/>
        <v>Low</v>
      </c>
      <c r="AK736" t="str" cm="1">
        <f t="array" ref="AK736">_xlfn.IFS(S736&lt;4000,"Low",S736&lt;8000,"Medium",S736&gt;=8000,"High")</f>
        <v>Low</v>
      </c>
      <c r="AL736" t="str" cm="1">
        <f t="array" ref="AL736">_xlfn.IFS(AF736&lt;3,"new",AF736&lt;=7,"Experienced",AF736&gt;7,"High")</f>
        <v>Experienced</v>
      </c>
      <c r="AM736" s="1"/>
    </row>
    <row r="737" spans="1:39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  <c r="AJ737" t="str">
        <f t="shared" si="11"/>
        <v>Low</v>
      </c>
      <c r="AK737" t="str" cm="1">
        <f t="array" ref="AK737">_xlfn.IFS(S737&lt;4000,"Low",S737&lt;8000,"Medium",S737&gt;=8000,"High")</f>
        <v>Medium</v>
      </c>
      <c r="AL737" t="str" cm="1">
        <f t="array" ref="AL737">_xlfn.IFS(AF737&lt;3,"new",AF737&lt;=7,"Experienced",AF737&gt;7,"High")</f>
        <v>new</v>
      </c>
      <c r="AM737" s="1"/>
    </row>
    <row r="738" spans="1:39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  <c r="AJ738" t="str">
        <f t="shared" si="11"/>
        <v>High</v>
      </c>
      <c r="AK738" t="str" cm="1">
        <f t="array" ref="AK738">_xlfn.IFS(S738&lt;4000,"Low",S738&lt;8000,"Medium",S738&gt;=8000,"High")</f>
        <v>High</v>
      </c>
      <c r="AL738" t="str" cm="1">
        <f t="array" ref="AL738">_xlfn.IFS(AF738&lt;3,"new",AF738&lt;=7,"Experienced",AF738&gt;7,"High")</f>
        <v>High</v>
      </c>
      <c r="AM738" s="1"/>
    </row>
    <row r="739" spans="1:39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  <c r="AJ739" t="str">
        <f t="shared" si="11"/>
        <v>Low</v>
      </c>
      <c r="AK739" t="str" cm="1">
        <f t="array" ref="AK739">_xlfn.IFS(S739&lt;4000,"Low",S739&lt;8000,"Medium",S739&gt;=8000,"High")</f>
        <v>Medium</v>
      </c>
      <c r="AL739" t="str" cm="1">
        <f t="array" ref="AL739">_xlfn.IFS(AF739&lt;3,"new",AF739&lt;=7,"Experienced",AF739&gt;7,"High")</f>
        <v>new</v>
      </c>
      <c r="AM739" s="1"/>
    </row>
    <row r="740" spans="1:39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  <c r="AJ740" t="str">
        <f t="shared" si="11"/>
        <v>High</v>
      </c>
      <c r="AK740" t="str" cm="1">
        <f t="array" ref="AK740">_xlfn.IFS(S740&lt;4000,"Low",S740&lt;8000,"Medium",S740&gt;=8000,"High")</f>
        <v>High</v>
      </c>
      <c r="AL740" t="str" cm="1">
        <f t="array" ref="AL740">_xlfn.IFS(AF740&lt;3,"new",AF740&lt;=7,"Experienced",AF740&gt;7,"High")</f>
        <v>High</v>
      </c>
      <c r="AM740" s="1"/>
    </row>
    <row r="741" spans="1:39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  <c r="AJ741" t="str">
        <f t="shared" si="11"/>
        <v>Low</v>
      </c>
      <c r="AK741" t="str" cm="1">
        <f t="array" ref="AK741">_xlfn.IFS(S741&lt;4000,"Low",S741&lt;8000,"Medium",S741&gt;=8000,"High")</f>
        <v>Medium</v>
      </c>
      <c r="AL741" t="str" cm="1">
        <f t="array" ref="AL741">_xlfn.IFS(AF741&lt;3,"new",AF741&lt;=7,"Experienced",AF741&gt;7,"High")</f>
        <v>Experienced</v>
      </c>
      <c r="AM741" s="1"/>
    </row>
    <row r="742" spans="1:39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  <c r="AJ742" t="str">
        <f t="shared" si="11"/>
        <v>Low</v>
      </c>
      <c r="AK742" t="str" cm="1">
        <f t="array" ref="AK742">_xlfn.IFS(S742&lt;4000,"Low",S742&lt;8000,"Medium",S742&gt;=8000,"High")</f>
        <v>Low</v>
      </c>
      <c r="AL742" t="str" cm="1">
        <f t="array" ref="AL742">_xlfn.IFS(AF742&lt;3,"new",AF742&lt;=7,"Experienced",AF742&gt;7,"High")</f>
        <v>Experienced</v>
      </c>
      <c r="AM742" s="1"/>
    </row>
    <row r="743" spans="1:39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  <c r="AJ743" t="str">
        <f t="shared" si="11"/>
        <v>High</v>
      </c>
      <c r="AK743" t="str" cm="1">
        <f t="array" ref="AK743">_xlfn.IFS(S743&lt;4000,"Low",S743&lt;8000,"Medium",S743&gt;=8000,"High")</f>
        <v>High</v>
      </c>
      <c r="AL743" t="str" cm="1">
        <f t="array" ref="AL743">_xlfn.IFS(AF743&lt;3,"new",AF743&lt;=7,"Experienced",AF743&gt;7,"High")</f>
        <v>new</v>
      </c>
      <c r="AM743" s="1"/>
    </row>
    <row r="744" spans="1:39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  <c r="AJ744" t="str">
        <f t="shared" si="11"/>
        <v>Low</v>
      </c>
      <c r="AK744" t="str" cm="1">
        <f t="array" ref="AK744">_xlfn.IFS(S744&lt;4000,"Low",S744&lt;8000,"Medium",S744&gt;=8000,"High")</f>
        <v>Low</v>
      </c>
      <c r="AL744" t="str" cm="1">
        <f t="array" ref="AL744">_xlfn.IFS(AF744&lt;3,"new",AF744&lt;=7,"Experienced",AF744&gt;7,"High")</f>
        <v>new</v>
      </c>
      <c r="AM744" s="1"/>
    </row>
    <row r="745" spans="1:39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  <c r="AJ745" t="str">
        <f t="shared" si="11"/>
        <v>High</v>
      </c>
      <c r="AK745" t="str" cm="1">
        <f t="array" ref="AK745">_xlfn.IFS(S745&lt;4000,"Low",S745&lt;8000,"Medium",S745&gt;=8000,"High")</f>
        <v>High</v>
      </c>
      <c r="AL745" t="str" cm="1">
        <f t="array" ref="AL745">_xlfn.IFS(AF745&lt;3,"new",AF745&lt;=7,"Experienced",AF745&gt;7,"High")</f>
        <v>Experienced</v>
      </c>
      <c r="AM745" s="1"/>
    </row>
    <row r="746" spans="1:39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  <c r="AJ746" t="str">
        <f t="shared" si="11"/>
        <v>Low</v>
      </c>
      <c r="AK746" t="str" cm="1">
        <f t="array" ref="AK746">_xlfn.IFS(S746&lt;4000,"Low",S746&lt;8000,"Medium",S746&gt;=8000,"High")</f>
        <v>Medium</v>
      </c>
      <c r="AL746" t="str" cm="1">
        <f t="array" ref="AL746">_xlfn.IFS(AF746&lt;3,"new",AF746&lt;=7,"Experienced",AF746&gt;7,"High")</f>
        <v>new</v>
      </c>
      <c r="AM746" s="1"/>
    </row>
    <row r="747" spans="1:39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  <c r="AJ747" t="str">
        <f t="shared" si="11"/>
        <v>Low</v>
      </c>
      <c r="AK747" t="str" cm="1">
        <f t="array" ref="AK747">_xlfn.IFS(S747&lt;4000,"Low",S747&lt;8000,"Medium",S747&gt;=8000,"High")</f>
        <v>Medium</v>
      </c>
      <c r="AL747" t="str" cm="1">
        <f t="array" ref="AL747">_xlfn.IFS(AF747&lt;3,"new",AF747&lt;=7,"Experienced",AF747&gt;7,"High")</f>
        <v>High</v>
      </c>
      <c r="AM747" s="1"/>
    </row>
    <row r="748" spans="1:39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  <c r="AJ748" t="str">
        <f t="shared" si="11"/>
        <v>High</v>
      </c>
      <c r="AK748" t="str" cm="1">
        <f t="array" ref="AK748">_xlfn.IFS(S748&lt;4000,"Low",S748&lt;8000,"Medium",S748&gt;=8000,"High")</f>
        <v>High</v>
      </c>
      <c r="AL748" t="str" cm="1">
        <f t="array" ref="AL748">_xlfn.IFS(AF748&lt;3,"new",AF748&lt;=7,"Experienced",AF748&gt;7,"High")</f>
        <v>High</v>
      </c>
      <c r="AM748" s="1"/>
    </row>
    <row r="749" spans="1:39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  <c r="AJ749" t="str">
        <f t="shared" si="11"/>
        <v>High</v>
      </c>
      <c r="AK749" t="str" cm="1">
        <f t="array" ref="AK749">_xlfn.IFS(S749&lt;4000,"Low",S749&lt;8000,"Medium",S749&gt;=8000,"High")</f>
        <v>Medium</v>
      </c>
      <c r="AL749" t="str" cm="1">
        <f t="array" ref="AL749">_xlfn.IFS(AF749&lt;3,"new",AF749&lt;=7,"Experienced",AF749&gt;7,"High")</f>
        <v>new</v>
      </c>
      <c r="AM749" s="1"/>
    </row>
    <row r="750" spans="1:39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  <c r="AJ750" t="str">
        <f t="shared" si="11"/>
        <v>Low</v>
      </c>
      <c r="AK750" t="str" cm="1">
        <f t="array" ref="AK750">_xlfn.IFS(S750&lt;4000,"Low",S750&lt;8000,"Medium",S750&gt;=8000,"High")</f>
        <v>Medium</v>
      </c>
      <c r="AL750" t="str" cm="1">
        <f t="array" ref="AL750">_xlfn.IFS(AF750&lt;3,"new",AF750&lt;=7,"Experienced",AF750&gt;7,"High")</f>
        <v>new</v>
      </c>
      <c r="AM750" s="1"/>
    </row>
    <row r="751" spans="1:39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  <c r="AJ751" t="str">
        <f t="shared" si="11"/>
        <v>High</v>
      </c>
      <c r="AK751" t="str" cm="1">
        <f t="array" ref="AK751">_xlfn.IFS(S751&lt;4000,"Low",S751&lt;8000,"Medium",S751&gt;=8000,"High")</f>
        <v>High</v>
      </c>
      <c r="AL751" t="str" cm="1">
        <f t="array" ref="AL751">_xlfn.IFS(AF751&lt;3,"new",AF751&lt;=7,"Experienced",AF751&gt;7,"High")</f>
        <v>High</v>
      </c>
      <c r="AM751" s="1"/>
    </row>
    <row r="752" spans="1:39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  <c r="AJ752" t="str">
        <f t="shared" si="11"/>
        <v>High</v>
      </c>
      <c r="AK752" t="str" cm="1">
        <f t="array" ref="AK752">_xlfn.IFS(S752&lt;4000,"Low",S752&lt;8000,"Medium",S752&gt;=8000,"High")</f>
        <v>High</v>
      </c>
      <c r="AL752" t="str" cm="1">
        <f t="array" ref="AL752">_xlfn.IFS(AF752&lt;3,"new",AF752&lt;=7,"Experienced",AF752&gt;7,"High")</f>
        <v>High</v>
      </c>
      <c r="AM752" s="1"/>
    </row>
    <row r="753" spans="1:39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  <c r="AJ753" t="str">
        <f t="shared" si="11"/>
        <v>Low</v>
      </c>
      <c r="AK753" t="str" cm="1">
        <f t="array" ref="AK753">_xlfn.IFS(S753&lt;4000,"Low",S753&lt;8000,"Medium",S753&gt;=8000,"High")</f>
        <v>Medium</v>
      </c>
      <c r="AL753" t="str" cm="1">
        <f t="array" ref="AL753">_xlfn.IFS(AF753&lt;3,"new",AF753&lt;=7,"Experienced",AF753&gt;7,"High")</f>
        <v>High</v>
      </c>
      <c r="AM753" s="1"/>
    </row>
    <row r="754" spans="1:39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  <c r="AJ754" t="str">
        <f t="shared" si="11"/>
        <v>Low</v>
      </c>
      <c r="AK754" t="str" cm="1">
        <f t="array" ref="AK754">_xlfn.IFS(S754&lt;4000,"Low",S754&lt;8000,"Medium",S754&gt;=8000,"High")</f>
        <v>Low</v>
      </c>
      <c r="AL754" t="str" cm="1">
        <f t="array" ref="AL754">_xlfn.IFS(AF754&lt;3,"new",AF754&lt;=7,"Experienced",AF754&gt;7,"High")</f>
        <v>High</v>
      </c>
      <c r="AM754" s="1"/>
    </row>
    <row r="755" spans="1:39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  <c r="AJ755" t="str">
        <f t="shared" si="11"/>
        <v>High</v>
      </c>
      <c r="AK755" t="str" cm="1">
        <f t="array" ref="AK755">_xlfn.IFS(S755&lt;4000,"Low",S755&lt;8000,"Medium",S755&gt;=8000,"High")</f>
        <v>High</v>
      </c>
      <c r="AL755" t="str" cm="1">
        <f t="array" ref="AL755">_xlfn.IFS(AF755&lt;3,"new",AF755&lt;=7,"Experienced",AF755&gt;7,"High")</f>
        <v>High</v>
      </c>
      <c r="AM755" s="1"/>
    </row>
    <row r="756" spans="1:39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  <c r="AJ756" t="str">
        <f t="shared" si="11"/>
        <v>Low</v>
      </c>
      <c r="AK756" t="str" cm="1">
        <f t="array" ref="AK756">_xlfn.IFS(S756&lt;4000,"Low",S756&lt;8000,"Medium",S756&gt;=8000,"High")</f>
        <v>Low</v>
      </c>
      <c r="AL756" t="str" cm="1">
        <f t="array" ref="AL756">_xlfn.IFS(AF756&lt;3,"new",AF756&lt;=7,"Experienced",AF756&gt;7,"High")</f>
        <v>new</v>
      </c>
      <c r="AM756" s="1"/>
    </row>
    <row r="757" spans="1:39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  <c r="AJ757" t="str">
        <f t="shared" si="11"/>
        <v>High</v>
      </c>
      <c r="AK757" t="str" cm="1">
        <f t="array" ref="AK757">_xlfn.IFS(S757&lt;4000,"Low",S757&lt;8000,"Medium",S757&gt;=8000,"High")</f>
        <v>High</v>
      </c>
      <c r="AL757" t="str" cm="1">
        <f t="array" ref="AL757">_xlfn.IFS(AF757&lt;3,"new",AF757&lt;=7,"Experienced",AF757&gt;7,"High")</f>
        <v>High</v>
      </c>
      <c r="AM757" s="1"/>
    </row>
    <row r="758" spans="1:39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  <c r="AJ758" t="str">
        <f t="shared" si="11"/>
        <v>Low</v>
      </c>
      <c r="AK758" t="str" cm="1">
        <f t="array" ref="AK758">_xlfn.IFS(S758&lt;4000,"Low",S758&lt;8000,"Medium",S758&gt;=8000,"High")</f>
        <v>Medium</v>
      </c>
      <c r="AL758" t="str" cm="1">
        <f t="array" ref="AL758">_xlfn.IFS(AF758&lt;3,"new",AF758&lt;=7,"Experienced",AF758&gt;7,"High")</f>
        <v>High</v>
      </c>
      <c r="AM758" s="1"/>
    </row>
    <row r="759" spans="1:39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  <c r="AJ759" t="str">
        <f t="shared" si="11"/>
        <v>High</v>
      </c>
      <c r="AK759" t="str" cm="1">
        <f t="array" ref="AK759">_xlfn.IFS(S759&lt;4000,"Low",S759&lt;8000,"Medium",S759&gt;=8000,"High")</f>
        <v>High</v>
      </c>
      <c r="AL759" t="str" cm="1">
        <f t="array" ref="AL759">_xlfn.IFS(AF759&lt;3,"new",AF759&lt;=7,"Experienced",AF759&gt;7,"High")</f>
        <v>High</v>
      </c>
      <c r="AM759" s="1"/>
    </row>
    <row r="760" spans="1:39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  <c r="AJ760" t="str">
        <f t="shared" si="11"/>
        <v>High</v>
      </c>
      <c r="AK760" t="str" cm="1">
        <f t="array" ref="AK760">_xlfn.IFS(S760&lt;4000,"Low",S760&lt;8000,"Medium",S760&gt;=8000,"High")</f>
        <v>High</v>
      </c>
      <c r="AL760" t="str" cm="1">
        <f t="array" ref="AL760">_xlfn.IFS(AF760&lt;3,"new",AF760&lt;=7,"Experienced",AF760&gt;7,"High")</f>
        <v>Experienced</v>
      </c>
      <c r="AM760" s="1"/>
    </row>
    <row r="761" spans="1:39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  <c r="AJ761" t="str">
        <f t="shared" si="11"/>
        <v>Low</v>
      </c>
      <c r="AK761" t="str" cm="1">
        <f t="array" ref="AK761">_xlfn.IFS(S761&lt;4000,"Low",S761&lt;8000,"Medium",S761&gt;=8000,"High")</f>
        <v>Low</v>
      </c>
      <c r="AL761" t="str" cm="1">
        <f t="array" ref="AL761">_xlfn.IFS(AF761&lt;3,"new",AF761&lt;=7,"Experienced",AF761&gt;7,"High")</f>
        <v>Experienced</v>
      </c>
      <c r="AM761" s="1"/>
    </row>
    <row r="762" spans="1:39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  <c r="AJ762" t="str">
        <f t="shared" si="11"/>
        <v>High</v>
      </c>
      <c r="AK762" t="str" cm="1">
        <f t="array" ref="AK762">_xlfn.IFS(S762&lt;4000,"Low",S762&lt;8000,"Medium",S762&gt;=8000,"High")</f>
        <v>Medium</v>
      </c>
      <c r="AL762" t="str" cm="1">
        <f t="array" ref="AL762">_xlfn.IFS(AF762&lt;3,"new",AF762&lt;=7,"Experienced",AF762&gt;7,"High")</f>
        <v>High</v>
      </c>
      <c r="AM762" s="1"/>
    </row>
    <row r="763" spans="1:39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  <c r="AJ763" t="str">
        <f t="shared" si="11"/>
        <v>Low</v>
      </c>
      <c r="AK763" t="str" cm="1">
        <f t="array" ref="AK763">_xlfn.IFS(S763&lt;4000,"Low",S763&lt;8000,"Medium",S763&gt;=8000,"High")</f>
        <v>Medium</v>
      </c>
      <c r="AL763" t="str" cm="1">
        <f t="array" ref="AL763">_xlfn.IFS(AF763&lt;3,"new",AF763&lt;=7,"Experienced",AF763&gt;7,"High")</f>
        <v>new</v>
      </c>
      <c r="AM763" s="1"/>
    </row>
    <row r="764" spans="1:39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  <c r="AJ764" t="str">
        <f t="shared" si="11"/>
        <v>Low</v>
      </c>
      <c r="AK764" t="str" cm="1">
        <f t="array" ref="AK764">_xlfn.IFS(S764&lt;4000,"Low",S764&lt;8000,"Medium",S764&gt;=8000,"High")</f>
        <v>Low</v>
      </c>
      <c r="AL764" t="str" cm="1">
        <f t="array" ref="AL764">_xlfn.IFS(AF764&lt;3,"new",AF764&lt;=7,"Experienced",AF764&gt;7,"High")</f>
        <v>Experienced</v>
      </c>
      <c r="AM764" s="1"/>
    </row>
    <row r="765" spans="1:39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  <c r="AJ765" t="str">
        <f t="shared" si="11"/>
        <v>Low</v>
      </c>
      <c r="AK765" t="str" cm="1">
        <f t="array" ref="AK765">_xlfn.IFS(S765&lt;4000,"Low",S765&lt;8000,"Medium",S765&gt;=8000,"High")</f>
        <v>Low</v>
      </c>
      <c r="AL765" t="str" cm="1">
        <f t="array" ref="AL765">_xlfn.IFS(AF765&lt;3,"new",AF765&lt;=7,"Experienced",AF765&gt;7,"High")</f>
        <v>new</v>
      </c>
      <c r="AM765" s="1"/>
    </row>
    <row r="766" spans="1:39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  <c r="AJ766" t="str">
        <f t="shared" si="11"/>
        <v>Low</v>
      </c>
      <c r="AK766" t="str" cm="1">
        <f t="array" ref="AK766">_xlfn.IFS(S766&lt;4000,"Low",S766&lt;8000,"Medium",S766&gt;=8000,"High")</f>
        <v>Low</v>
      </c>
      <c r="AL766" t="str" cm="1">
        <f t="array" ref="AL766">_xlfn.IFS(AF766&lt;3,"new",AF766&lt;=7,"Experienced",AF766&gt;7,"High")</f>
        <v>new</v>
      </c>
      <c r="AM766" s="1"/>
    </row>
    <row r="767" spans="1:39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  <c r="AJ767" t="str">
        <f t="shared" si="11"/>
        <v>Low</v>
      </c>
      <c r="AK767" t="str" cm="1">
        <f t="array" ref="AK767">_xlfn.IFS(S767&lt;4000,"Low",S767&lt;8000,"Medium",S767&gt;=8000,"High")</f>
        <v>Low</v>
      </c>
      <c r="AL767" t="str" cm="1">
        <f t="array" ref="AL767">_xlfn.IFS(AF767&lt;3,"new",AF767&lt;=7,"Experienced",AF767&gt;7,"High")</f>
        <v>new</v>
      </c>
      <c r="AM767" s="1"/>
    </row>
    <row r="768" spans="1:39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  <c r="AJ768" t="str">
        <f t="shared" si="11"/>
        <v>High</v>
      </c>
      <c r="AK768" t="str" cm="1">
        <f t="array" ref="AK768">_xlfn.IFS(S768&lt;4000,"Low",S768&lt;8000,"Medium",S768&gt;=8000,"High")</f>
        <v>High</v>
      </c>
      <c r="AL768" t="str" cm="1">
        <f t="array" ref="AL768">_xlfn.IFS(AF768&lt;3,"new",AF768&lt;=7,"Experienced",AF768&gt;7,"High")</f>
        <v>High</v>
      </c>
      <c r="AM768" s="1"/>
    </row>
    <row r="769" spans="1:39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  <c r="AJ769" t="str">
        <f t="shared" si="11"/>
        <v>Low</v>
      </c>
      <c r="AK769" t="str" cm="1">
        <f t="array" ref="AK769">_xlfn.IFS(S769&lt;4000,"Low",S769&lt;8000,"Medium",S769&gt;=8000,"High")</f>
        <v>Medium</v>
      </c>
      <c r="AL769" t="str" cm="1">
        <f t="array" ref="AL769">_xlfn.IFS(AF769&lt;3,"new",AF769&lt;=7,"Experienced",AF769&gt;7,"High")</f>
        <v>Experienced</v>
      </c>
      <c r="AM769" s="1"/>
    </row>
    <row r="770" spans="1:39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  <c r="AJ770" t="str">
        <f t="shared" ref="AJ770:AJ833" si="12">IF(S770&gt;=6500,"High","Low")</f>
        <v>High</v>
      </c>
      <c r="AK770" t="str" cm="1">
        <f t="array" ref="AK770">_xlfn.IFS(S770&lt;4000,"Low",S770&lt;8000,"Medium",S770&gt;=8000,"High")</f>
        <v>High</v>
      </c>
      <c r="AL770" t="str" cm="1">
        <f t="array" ref="AL770">_xlfn.IFS(AF770&lt;3,"new",AF770&lt;=7,"Experienced",AF770&gt;7,"High")</f>
        <v>Experienced</v>
      </c>
      <c r="AM770" s="1"/>
    </row>
    <row r="771" spans="1:39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  <c r="AJ771" t="str">
        <f t="shared" si="12"/>
        <v>Low</v>
      </c>
      <c r="AK771" t="str" cm="1">
        <f t="array" ref="AK771">_xlfn.IFS(S771&lt;4000,"Low",S771&lt;8000,"Medium",S771&gt;=8000,"High")</f>
        <v>Low</v>
      </c>
      <c r="AL771" t="str" cm="1">
        <f t="array" ref="AL771">_xlfn.IFS(AF771&lt;3,"new",AF771&lt;=7,"Experienced",AF771&gt;7,"High")</f>
        <v>Experienced</v>
      </c>
      <c r="AM771" s="1"/>
    </row>
    <row r="772" spans="1:39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  <c r="AJ772" t="str">
        <f t="shared" si="12"/>
        <v>High</v>
      </c>
      <c r="AK772" t="str" cm="1">
        <f t="array" ref="AK772">_xlfn.IFS(S772&lt;4000,"Low",S772&lt;8000,"Medium",S772&gt;=8000,"High")</f>
        <v>High</v>
      </c>
      <c r="AL772" t="str" cm="1">
        <f t="array" ref="AL772">_xlfn.IFS(AF772&lt;3,"new",AF772&lt;=7,"Experienced",AF772&gt;7,"High")</f>
        <v>new</v>
      </c>
      <c r="AM772" s="1"/>
    </row>
    <row r="773" spans="1:39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  <c r="AJ773" t="str">
        <f t="shared" si="12"/>
        <v>High</v>
      </c>
      <c r="AK773" t="str" cm="1">
        <f t="array" ref="AK773">_xlfn.IFS(S773&lt;4000,"Low",S773&lt;8000,"Medium",S773&gt;=8000,"High")</f>
        <v>High</v>
      </c>
      <c r="AL773" t="str" cm="1">
        <f t="array" ref="AL773">_xlfn.IFS(AF773&lt;3,"new",AF773&lt;=7,"Experienced",AF773&gt;7,"High")</f>
        <v>High</v>
      </c>
      <c r="AM773" s="1"/>
    </row>
    <row r="774" spans="1:39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  <c r="AJ774" t="str">
        <f t="shared" si="12"/>
        <v>Low</v>
      </c>
      <c r="AK774" t="str" cm="1">
        <f t="array" ref="AK774">_xlfn.IFS(S774&lt;4000,"Low",S774&lt;8000,"Medium",S774&gt;=8000,"High")</f>
        <v>Low</v>
      </c>
      <c r="AL774" t="str" cm="1">
        <f t="array" ref="AL774">_xlfn.IFS(AF774&lt;3,"new",AF774&lt;=7,"Experienced",AF774&gt;7,"High")</f>
        <v>Experienced</v>
      </c>
      <c r="AM774" s="1"/>
    </row>
    <row r="775" spans="1:39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  <c r="AJ775" t="str">
        <f t="shared" si="12"/>
        <v>High</v>
      </c>
      <c r="AK775" t="str" cm="1">
        <f t="array" ref="AK775">_xlfn.IFS(S775&lt;4000,"Low",S775&lt;8000,"Medium",S775&gt;=8000,"High")</f>
        <v>High</v>
      </c>
      <c r="AL775" t="str" cm="1">
        <f t="array" ref="AL775">_xlfn.IFS(AF775&lt;3,"new",AF775&lt;=7,"Experienced",AF775&gt;7,"High")</f>
        <v>High</v>
      </c>
      <c r="AM775" s="1"/>
    </row>
    <row r="776" spans="1:39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  <c r="AJ776" t="str">
        <f t="shared" si="12"/>
        <v>High</v>
      </c>
      <c r="AK776" t="str" cm="1">
        <f t="array" ref="AK776">_xlfn.IFS(S776&lt;4000,"Low",S776&lt;8000,"Medium",S776&gt;=8000,"High")</f>
        <v>High</v>
      </c>
      <c r="AL776" t="str" cm="1">
        <f t="array" ref="AL776">_xlfn.IFS(AF776&lt;3,"new",AF776&lt;=7,"Experienced",AF776&gt;7,"High")</f>
        <v>High</v>
      </c>
      <c r="AM776" s="1"/>
    </row>
    <row r="777" spans="1:39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  <c r="AJ777" t="str">
        <f t="shared" si="12"/>
        <v>High</v>
      </c>
      <c r="AK777" t="str" cm="1">
        <f t="array" ref="AK777">_xlfn.IFS(S777&lt;4000,"Low",S777&lt;8000,"Medium",S777&gt;=8000,"High")</f>
        <v>High</v>
      </c>
      <c r="AL777" t="str" cm="1">
        <f t="array" ref="AL777">_xlfn.IFS(AF777&lt;3,"new",AF777&lt;=7,"Experienced",AF777&gt;7,"High")</f>
        <v>new</v>
      </c>
      <c r="AM777" s="1"/>
    </row>
    <row r="778" spans="1:39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  <c r="AJ778" t="str">
        <f t="shared" si="12"/>
        <v>Low</v>
      </c>
      <c r="AK778" t="str" cm="1">
        <f t="array" ref="AK778">_xlfn.IFS(S778&lt;4000,"Low",S778&lt;8000,"Medium",S778&gt;=8000,"High")</f>
        <v>Low</v>
      </c>
      <c r="AL778" t="str" cm="1">
        <f t="array" ref="AL778">_xlfn.IFS(AF778&lt;3,"new",AF778&lt;=7,"Experienced",AF778&gt;7,"High")</f>
        <v>new</v>
      </c>
      <c r="AM778" s="1"/>
    </row>
    <row r="779" spans="1:39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  <c r="AJ779" t="str">
        <f t="shared" si="12"/>
        <v>Low</v>
      </c>
      <c r="AK779" t="str" cm="1">
        <f t="array" ref="AK779">_xlfn.IFS(S779&lt;4000,"Low",S779&lt;8000,"Medium",S779&gt;=8000,"High")</f>
        <v>Low</v>
      </c>
      <c r="AL779" t="str" cm="1">
        <f t="array" ref="AL779">_xlfn.IFS(AF779&lt;3,"new",AF779&lt;=7,"Experienced",AF779&gt;7,"High")</f>
        <v>new</v>
      </c>
      <c r="AM779" s="1"/>
    </row>
    <row r="780" spans="1:39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  <c r="AJ780" t="str">
        <f t="shared" si="12"/>
        <v>Low</v>
      </c>
      <c r="AK780" t="str" cm="1">
        <f t="array" ref="AK780">_xlfn.IFS(S780&lt;4000,"Low",S780&lt;8000,"Medium",S780&gt;=8000,"High")</f>
        <v>Medium</v>
      </c>
      <c r="AL780" t="str" cm="1">
        <f t="array" ref="AL780">_xlfn.IFS(AF780&lt;3,"new",AF780&lt;=7,"Experienced",AF780&gt;7,"High")</f>
        <v>High</v>
      </c>
      <c r="AM780" s="1"/>
    </row>
    <row r="781" spans="1:39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  <c r="AJ781" t="str">
        <f t="shared" si="12"/>
        <v>Low</v>
      </c>
      <c r="AK781" t="str" cm="1">
        <f t="array" ref="AK781">_xlfn.IFS(S781&lt;4000,"Low",S781&lt;8000,"Medium",S781&gt;=8000,"High")</f>
        <v>Low</v>
      </c>
      <c r="AL781" t="str" cm="1">
        <f t="array" ref="AL781">_xlfn.IFS(AF781&lt;3,"new",AF781&lt;=7,"Experienced",AF781&gt;7,"High")</f>
        <v>High</v>
      </c>
      <c r="AM781" s="1"/>
    </row>
    <row r="782" spans="1:39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  <c r="AJ782" t="str">
        <f t="shared" si="12"/>
        <v>High</v>
      </c>
      <c r="AK782" t="str" cm="1">
        <f t="array" ref="AK782">_xlfn.IFS(S782&lt;4000,"Low",S782&lt;8000,"Medium",S782&gt;=8000,"High")</f>
        <v>High</v>
      </c>
      <c r="AL782" t="str" cm="1">
        <f t="array" ref="AL782">_xlfn.IFS(AF782&lt;3,"new",AF782&lt;=7,"Experienced",AF782&gt;7,"High")</f>
        <v>High</v>
      </c>
      <c r="AM782" s="1"/>
    </row>
    <row r="783" spans="1:39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  <c r="AJ783" t="str">
        <f t="shared" si="12"/>
        <v>Low</v>
      </c>
      <c r="AK783" t="str" cm="1">
        <f t="array" ref="AK783">_xlfn.IFS(S783&lt;4000,"Low",S783&lt;8000,"Medium",S783&gt;=8000,"High")</f>
        <v>Low</v>
      </c>
      <c r="AL783" t="str" cm="1">
        <f t="array" ref="AL783">_xlfn.IFS(AF783&lt;3,"new",AF783&lt;=7,"Experienced",AF783&gt;7,"High")</f>
        <v>Experienced</v>
      </c>
      <c r="AM783" s="1"/>
    </row>
    <row r="784" spans="1:39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  <c r="AJ784" t="str">
        <f t="shared" si="12"/>
        <v>High</v>
      </c>
      <c r="AK784" t="str" cm="1">
        <f t="array" ref="AK784">_xlfn.IFS(S784&lt;4000,"Low",S784&lt;8000,"Medium",S784&gt;=8000,"High")</f>
        <v>High</v>
      </c>
      <c r="AL784" t="str" cm="1">
        <f t="array" ref="AL784">_xlfn.IFS(AF784&lt;3,"new",AF784&lt;=7,"Experienced",AF784&gt;7,"High")</f>
        <v>Experienced</v>
      </c>
      <c r="AM784" s="1"/>
    </row>
    <row r="785" spans="1:39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  <c r="AJ785" t="str">
        <f t="shared" si="12"/>
        <v>Low</v>
      </c>
      <c r="AK785" t="str" cm="1">
        <f t="array" ref="AK785">_xlfn.IFS(S785&lt;4000,"Low",S785&lt;8000,"Medium",S785&gt;=8000,"High")</f>
        <v>Low</v>
      </c>
      <c r="AL785" t="str" cm="1">
        <f t="array" ref="AL785">_xlfn.IFS(AF785&lt;3,"new",AF785&lt;=7,"Experienced",AF785&gt;7,"High")</f>
        <v>High</v>
      </c>
      <c r="AM785" s="1"/>
    </row>
    <row r="786" spans="1:39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  <c r="AJ786" t="str">
        <f t="shared" si="12"/>
        <v>High</v>
      </c>
      <c r="AK786" t="str" cm="1">
        <f t="array" ref="AK786">_xlfn.IFS(S786&lt;4000,"Low",S786&lt;8000,"Medium",S786&gt;=8000,"High")</f>
        <v>High</v>
      </c>
      <c r="AL786" t="str" cm="1">
        <f t="array" ref="AL786">_xlfn.IFS(AF786&lt;3,"new",AF786&lt;=7,"Experienced",AF786&gt;7,"High")</f>
        <v>High</v>
      </c>
      <c r="AM786" s="1"/>
    </row>
    <row r="787" spans="1:39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  <c r="AJ787" t="str">
        <f t="shared" si="12"/>
        <v>High</v>
      </c>
      <c r="AK787" t="str" cm="1">
        <f t="array" ref="AK787">_xlfn.IFS(S787&lt;4000,"Low",S787&lt;8000,"Medium",S787&gt;=8000,"High")</f>
        <v>High</v>
      </c>
      <c r="AL787" t="str" cm="1">
        <f t="array" ref="AL787">_xlfn.IFS(AF787&lt;3,"new",AF787&lt;=7,"Experienced",AF787&gt;7,"High")</f>
        <v>High</v>
      </c>
      <c r="AM787" s="1"/>
    </row>
    <row r="788" spans="1:39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  <c r="AJ788" t="str">
        <f t="shared" si="12"/>
        <v>Low</v>
      </c>
      <c r="AK788" t="str" cm="1">
        <f t="array" ref="AK788">_xlfn.IFS(S788&lt;4000,"Low",S788&lt;8000,"Medium",S788&gt;=8000,"High")</f>
        <v>Medium</v>
      </c>
      <c r="AL788" t="str" cm="1">
        <f t="array" ref="AL788">_xlfn.IFS(AF788&lt;3,"new",AF788&lt;=7,"Experienced",AF788&gt;7,"High")</f>
        <v>Experienced</v>
      </c>
      <c r="AM788" s="1"/>
    </row>
    <row r="789" spans="1:39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  <c r="AJ789" t="str">
        <f t="shared" si="12"/>
        <v>High</v>
      </c>
      <c r="AK789" t="str" cm="1">
        <f t="array" ref="AK789">_xlfn.IFS(S789&lt;4000,"Low",S789&lt;8000,"Medium",S789&gt;=8000,"High")</f>
        <v>High</v>
      </c>
      <c r="AL789" t="str" cm="1">
        <f t="array" ref="AL789">_xlfn.IFS(AF789&lt;3,"new",AF789&lt;=7,"Experienced",AF789&gt;7,"High")</f>
        <v>Experienced</v>
      </c>
      <c r="AM789" s="1"/>
    </row>
    <row r="790" spans="1:39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  <c r="AJ790" t="str">
        <f t="shared" si="12"/>
        <v>Low</v>
      </c>
      <c r="AK790" t="str" cm="1">
        <f t="array" ref="AK790">_xlfn.IFS(S790&lt;4000,"Low",S790&lt;8000,"Medium",S790&gt;=8000,"High")</f>
        <v>Low</v>
      </c>
      <c r="AL790" t="str" cm="1">
        <f t="array" ref="AL790">_xlfn.IFS(AF790&lt;3,"new",AF790&lt;=7,"Experienced",AF790&gt;7,"High")</f>
        <v>High</v>
      </c>
      <c r="AM790" s="1"/>
    </row>
    <row r="791" spans="1:39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  <c r="AJ791" t="str">
        <f t="shared" si="12"/>
        <v>High</v>
      </c>
      <c r="AK791" t="str" cm="1">
        <f t="array" ref="AK791">_xlfn.IFS(S791&lt;4000,"Low",S791&lt;8000,"Medium",S791&gt;=8000,"High")</f>
        <v>High</v>
      </c>
      <c r="AL791" t="str" cm="1">
        <f t="array" ref="AL791">_xlfn.IFS(AF791&lt;3,"new",AF791&lt;=7,"Experienced",AF791&gt;7,"High")</f>
        <v>High</v>
      </c>
      <c r="AM791" s="1"/>
    </row>
    <row r="792" spans="1:39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  <c r="AJ792" t="str">
        <f t="shared" si="12"/>
        <v>High</v>
      </c>
      <c r="AK792" t="str" cm="1">
        <f t="array" ref="AK792">_xlfn.IFS(S792&lt;4000,"Low",S792&lt;8000,"Medium",S792&gt;=8000,"High")</f>
        <v>Medium</v>
      </c>
      <c r="AL792" t="str" cm="1">
        <f t="array" ref="AL792">_xlfn.IFS(AF792&lt;3,"new",AF792&lt;=7,"Experienced",AF792&gt;7,"High")</f>
        <v>Experienced</v>
      </c>
      <c r="AM792" s="1"/>
    </row>
    <row r="793" spans="1:39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  <c r="AJ793" t="str">
        <f t="shared" si="12"/>
        <v>High</v>
      </c>
      <c r="AK793" t="str" cm="1">
        <f t="array" ref="AK793">_xlfn.IFS(S793&lt;4000,"Low",S793&lt;8000,"Medium",S793&gt;=8000,"High")</f>
        <v>High</v>
      </c>
      <c r="AL793" t="str" cm="1">
        <f t="array" ref="AL793">_xlfn.IFS(AF793&lt;3,"new",AF793&lt;=7,"Experienced",AF793&gt;7,"High")</f>
        <v>High</v>
      </c>
      <c r="AM793" s="1"/>
    </row>
    <row r="794" spans="1:39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  <c r="AJ794" t="str">
        <f t="shared" si="12"/>
        <v>Low</v>
      </c>
      <c r="AK794" t="str" cm="1">
        <f t="array" ref="AK794">_xlfn.IFS(S794&lt;4000,"Low",S794&lt;8000,"Medium",S794&gt;=8000,"High")</f>
        <v>Medium</v>
      </c>
      <c r="AL794" t="str" cm="1">
        <f t="array" ref="AL794">_xlfn.IFS(AF794&lt;3,"new",AF794&lt;=7,"Experienced",AF794&gt;7,"High")</f>
        <v>High</v>
      </c>
      <c r="AM794" s="1"/>
    </row>
    <row r="795" spans="1:39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  <c r="AJ795" t="str">
        <f t="shared" si="12"/>
        <v>Low</v>
      </c>
      <c r="AK795" t="str" cm="1">
        <f t="array" ref="AK795">_xlfn.IFS(S795&lt;4000,"Low",S795&lt;8000,"Medium",S795&gt;=8000,"High")</f>
        <v>Low</v>
      </c>
      <c r="AL795" t="str" cm="1">
        <f t="array" ref="AL795">_xlfn.IFS(AF795&lt;3,"new",AF795&lt;=7,"Experienced",AF795&gt;7,"High")</f>
        <v>Experienced</v>
      </c>
      <c r="AM795" s="1"/>
    </row>
    <row r="796" spans="1:39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  <c r="AJ796" t="str">
        <f t="shared" si="12"/>
        <v>High</v>
      </c>
      <c r="AK796" t="str" cm="1">
        <f t="array" ref="AK796">_xlfn.IFS(S796&lt;4000,"Low",S796&lt;8000,"Medium",S796&gt;=8000,"High")</f>
        <v>Medium</v>
      </c>
      <c r="AL796" t="str" cm="1">
        <f t="array" ref="AL796">_xlfn.IFS(AF796&lt;3,"new",AF796&lt;=7,"Experienced",AF796&gt;7,"High")</f>
        <v>Experienced</v>
      </c>
      <c r="AM796" s="1"/>
    </row>
    <row r="797" spans="1:39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  <c r="AJ797" t="str">
        <f t="shared" si="12"/>
        <v>High</v>
      </c>
      <c r="AK797" t="str" cm="1">
        <f t="array" ref="AK797">_xlfn.IFS(S797&lt;4000,"Low",S797&lt;8000,"Medium",S797&gt;=8000,"High")</f>
        <v>Medium</v>
      </c>
      <c r="AL797" t="str" cm="1">
        <f t="array" ref="AL797">_xlfn.IFS(AF797&lt;3,"new",AF797&lt;=7,"Experienced",AF797&gt;7,"High")</f>
        <v>new</v>
      </c>
      <c r="AM797" s="1"/>
    </row>
    <row r="798" spans="1:39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  <c r="AJ798" t="str">
        <f t="shared" si="12"/>
        <v>Low</v>
      </c>
      <c r="AK798" t="str" cm="1">
        <f t="array" ref="AK798">_xlfn.IFS(S798&lt;4000,"Low",S798&lt;8000,"Medium",S798&gt;=8000,"High")</f>
        <v>Low</v>
      </c>
      <c r="AL798" t="str" cm="1">
        <f t="array" ref="AL798">_xlfn.IFS(AF798&lt;3,"new",AF798&lt;=7,"Experienced",AF798&gt;7,"High")</f>
        <v>Experienced</v>
      </c>
      <c r="AM798" s="1"/>
    </row>
    <row r="799" spans="1:39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  <c r="AJ799" t="str">
        <f t="shared" si="12"/>
        <v>Low</v>
      </c>
      <c r="AK799" t="str" cm="1">
        <f t="array" ref="AK799">_xlfn.IFS(S799&lt;4000,"Low",S799&lt;8000,"Medium",S799&gt;=8000,"High")</f>
        <v>Low</v>
      </c>
      <c r="AL799" t="str" cm="1">
        <f t="array" ref="AL799">_xlfn.IFS(AF799&lt;3,"new",AF799&lt;=7,"Experienced",AF799&gt;7,"High")</f>
        <v>new</v>
      </c>
      <c r="AM799" s="1"/>
    </row>
    <row r="800" spans="1:39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  <c r="AJ800" t="str">
        <f t="shared" si="12"/>
        <v>Low</v>
      </c>
      <c r="AK800" t="str" cm="1">
        <f t="array" ref="AK800">_xlfn.IFS(S800&lt;4000,"Low",S800&lt;8000,"Medium",S800&gt;=8000,"High")</f>
        <v>Low</v>
      </c>
      <c r="AL800" t="str" cm="1">
        <f t="array" ref="AL800">_xlfn.IFS(AF800&lt;3,"new",AF800&lt;=7,"Experienced",AF800&gt;7,"High")</f>
        <v>new</v>
      </c>
      <c r="AM800" s="1"/>
    </row>
    <row r="801" spans="1:39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  <c r="AJ801" t="str">
        <f t="shared" si="12"/>
        <v>High</v>
      </c>
      <c r="AK801" t="str" cm="1">
        <f t="array" ref="AK801">_xlfn.IFS(S801&lt;4000,"Low",S801&lt;8000,"Medium",S801&gt;=8000,"High")</f>
        <v>High</v>
      </c>
      <c r="AL801" t="str" cm="1">
        <f t="array" ref="AL801">_xlfn.IFS(AF801&lt;3,"new",AF801&lt;=7,"Experienced",AF801&gt;7,"High")</f>
        <v>High</v>
      </c>
      <c r="AM801" s="1"/>
    </row>
    <row r="802" spans="1:39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  <c r="AJ802" t="str">
        <f t="shared" si="12"/>
        <v>Low</v>
      </c>
      <c r="AK802" t="str" cm="1">
        <f t="array" ref="AK802">_xlfn.IFS(S802&lt;4000,"Low",S802&lt;8000,"Medium",S802&gt;=8000,"High")</f>
        <v>Low</v>
      </c>
      <c r="AL802" t="str" cm="1">
        <f t="array" ref="AL802">_xlfn.IFS(AF802&lt;3,"new",AF802&lt;=7,"Experienced",AF802&gt;7,"High")</f>
        <v>new</v>
      </c>
      <c r="AM802" s="1"/>
    </row>
    <row r="803" spans="1:39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  <c r="AJ803" t="str">
        <f t="shared" si="12"/>
        <v>Low</v>
      </c>
      <c r="AK803" t="str" cm="1">
        <f t="array" ref="AK803">_xlfn.IFS(S803&lt;4000,"Low",S803&lt;8000,"Medium",S803&gt;=8000,"High")</f>
        <v>Medium</v>
      </c>
      <c r="AL803" t="str" cm="1">
        <f t="array" ref="AL803">_xlfn.IFS(AF803&lt;3,"new",AF803&lt;=7,"Experienced",AF803&gt;7,"High")</f>
        <v>new</v>
      </c>
      <c r="AM803" s="1"/>
    </row>
    <row r="804" spans="1:39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  <c r="AJ804" t="str">
        <f t="shared" si="12"/>
        <v>Low</v>
      </c>
      <c r="AK804" t="str" cm="1">
        <f t="array" ref="AK804">_xlfn.IFS(S804&lt;4000,"Low",S804&lt;8000,"Medium",S804&gt;=8000,"High")</f>
        <v>Medium</v>
      </c>
      <c r="AL804" t="str" cm="1">
        <f t="array" ref="AL804">_xlfn.IFS(AF804&lt;3,"new",AF804&lt;=7,"Experienced",AF804&gt;7,"High")</f>
        <v>Experienced</v>
      </c>
      <c r="AM804" s="1"/>
    </row>
    <row r="805" spans="1:39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  <c r="AJ805" t="str">
        <f t="shared" si="12"/>
        <v>Low</v>
      </c>
      <c r="AK805" t="str" cm="1">
        <f t="array" ref="AK805">_xlfn.IFS(S805&lt;4000,"Low",S805&lt;8000,"Medium",S805&gt;=8000,"High")</f>
        <v>Low</v>
      </c>
      <c r="AL805" t="str" cm="1">
        <f t="array" ref="AL805">_xlfn.IFS(AF805&lt;3,"new",AF805&lt;=7,"Experienced",AF805&gt;7,"High")</f>
        <v>new</v>
      </c>
      <c r="AM805" s="1"/>
    </row>
    <row r="806" spans="1:39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  <c r="AJ806" t="str">
        <f t="shared" si="12"/>
        <v>High</v>
      </c>
      <c r="AK806" t="str" cm="1">
        <f t="array" ref="AK806">_xlfn.IFS(S806&lt;4000,"Low",S806&lt;8000,"Medium",S806&gt;=8000,"High")</f>
        <v>High</v>
      </c>
      <c r="AL806" t="str" cm="1">
        <f t="array" ref="AL806">_xlfn.IFS(AF806&lt;3,"new",AF806&lt;=7,"Experienced",AF806&gt;7,"High")</f>
        <v>Experienced</v>
      </c>
      <c r="AM806" s="1"/>
    </row>
    <row r="807" spans="1:39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  <c r="AJ807" t="str">
        <f t="shared" si="12"/>
        <v>Low</v>
      </c>
      <c r="AK807" t="str" cm="1">
        <f t="array" ref="AK807">_xlfn.IFS(S807&lt;4000,"Low",S807&lt;8000,"Medium",S807&gt;=8000,"High")</f>
        <v>Medium</v>
      </c>
      <c r="AL807" t="str" cm="1">
        <f t="array" ref="AL807">_xlfn.IFS(AF807&lt;3,"new",AF807&lt;=7,"Experienced",AF807&gt;7,"High")</f>
        <v>High</v>
      </c>
      <c r="AM807" s="1"/>
    </row>
    <row r="808" spans="1:39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  <c r="AJ808" t="str">
        <f t="shared" si="12"/>
        <v>High</v>
      </c>
      <c r="AK808" t="str" cm="1">
        <f t="array" ref="AK808">_xlfn.IFS(S808&lt;4000,"Low",S808&lt;8000,"Medium",S808&gt;=8000,"High")</f>
        <v>High</v>
      </c>
      <c r="AL808" t="str" cm="1">
        <f t="array" ref="AL808">_xlfn.IFS(AF808&lt;3,"new",AF808&lt;=7,"Experienced",AF808&gt;7,"High")</f>
        <v>High</v>
      </c>
      <c r="AM808" s="1"/>
    </row>
    <row r="809" spans="1:39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  <c r="AJ809" t="str">
        <f t="shared" si="12"/>
        <v>High</v>
      </c>
      <c r="AK809" t="str" cm="1">
        <f t="array" ref="AK809">_xlfn.IFS(S809&lt;4000,"Low",S809&lt;8000,"Medium",S809&gt;=8000,"High")</f>
        <v>High</v>
      </c>
      <c r="AL809" t="str" cm="1">
        <f t="array" ref="AL809">_xlfn.IFS(AF809&lt;3,"new",AF809&lt;=7,"Experienced",AF809&gt;7,"High")</f>
        <v>High</v>
      </c>
      <c r="AM809" s="1"/>
    </row>
    <row r="810" spans="1:39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  <c r="AJ810" t="str">
        <f t="shared" si="12"/>
        <v>Low</v>
      </c>
      <c r="AK810" t="str" cm="1">
        <f t="array" ref="AK810">_xlfn.IFS(S810&lt;4000,"Low",S810&lt;8000,"Medium",S810&gt;=8000,"High")</f>
        <v>Low</v>
      </c>
      <c r="AL810" t="str" cm="1">
        <f t="array" ref="AL810">_xlfn.IFS(AF810&lt;3,"new",AF810&lt;=7,"Experienced",AF810&gt;7,"High")</f>
        <v>Experienced</v>
      </c>
      <c r="AM810" s="1"/>
    </row>
    <row r="811" spans="1:39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  <c r="AJ811" t="str">
        <f t="shared" si="12"/>
        <v>High</v>
      </c>
      <c r="AK811" t="str" cm="1">
        <f t="array" ref="AK811">_xlfn.IFS(S811&lt;4000,"Low",S811&lt;8000,"Medium",S811&gt;=8000,"High")</f>
        <v>Medium</v>
      </c>
      <c r="AL811" t="str" cm="1">
        <f t="array" ref="AL811">_xlfn.IFS(AF811&lt;3,"new",AF811&lt;=7,"Experienced",AF811&gt;7,"High")</f>
        <v>High</v>
      </c>
      <c r="AM811" s="1"/>
    </row>
    <row r="812" spans="1:39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  <c r="AJ812" t="str">
        <f t="shared" si="12"/>
        <v>High</v>
      </c>
      <c r="AK812" t="str" cm="1">
        <f t="array" ref="AK812">_xlfn.IFS(S812&lt;4000,"Low",S812&lt;8000,"Medium",S812&gt;=8000,"High")</f>
        <v>High</v>
      </c>
      <c r="AL812" t="str" cm="1">
        <f t="array" ref="AL812">_xlfn.IFS(AF812&lt;3,"new",AF812&lt;=7,"Experienced",AF812&gt;7,"High")</f>
        <v>High</v>
      </c>
      <c r="AM812" s="1"/>
    </row>
    <row r="813" spans="1:39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  <c r="AJ813" t="str">
        <f t="shared" si="12"/>
        <v>High</v>
      </c>
      <c r="AK813" t="str" cm="1">
        <f t="array" ref="AK813">_xlfn.IFS(S813&lt;4000,"Low",S813&lt;8000,"Medium",S813&gt;=8000,"High")</f>
        <v>Medium</v>
      </c>
      <c r="AL813" t="str" cm="1">
        <f t="array" ref="AL813">_xlfn.IFS(AF813&lt;3,"new",AF813&lt;=7,"Experienced",AF813&gt;7,"High")</f>
        <v>new</v>
      </c>
      <c r="AM813" s="1"/>
    </row>
    <row r="814" spans="1:39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  <c r="AJ814" t="str">
        <f t="shared" si="12"/>
        <v>High</v>
      </c>
      <c r="AK814" t="str" cm="1">
        <f t="array" ref="AK814">_xlfn.IFS(S814&lt;4000,"Low",S814&lt;8000,"Medium",S814&gt;=8000,"High")</f>
        <v>High</v>
      </c>
      <c r="AL814" t="str" cm="1">
        <f t="array" ref="AL814">_xlfn.IFS(AF814&lt;3,"new",AF814&lt;=7,"Experienced",AF814&gt;7,"High")</f>
        <v>High</v>
      </c>
      <c r="AM814" s="1"/>
    </row>
    <row r="815" spans="1:39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  <c r="AJ815" t="str">
        <f t="shared" si="12"/>
        <v>High</v>
      </c>
      <c r="AK815" t="str" cm="1">
        <f t="array" ref="AK815">_xlfn.IFS(S815&lt;4000,"Low",S815&lt;8000,"Medium",S815&gt;=8000,"High")</f>
        <v>High</v>
      </c>
      <c r="AL815" t="str" cm="1">
        <f t="array" ref="AL815">_xlfn.IFS(AF815&lt;3,"new",AF815&lt;=7,"Experienced",AF815&gt;7,"High")</f>
        <v>High</v>
      </c>
      <c r="AM815" s="1"/>
    </row>
    <row r="816" spans="1:39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  <c r="AJ816" t="str">
        <f t="shared" si="12"/>
        <v>High</v>
      </c>
      <c r="AK816" t="str" cm="1">
        <f t="array" ref="AK816">_xlfn.IFS(S816&lt;4000,"Low",S816&lt;8000,"Medium",S816&gt;=8000,"High")</f>
        <v>High</v>
      </c>
      <c r="AL816" t="str" cm="1">
        <f t="array" ref="AL816">_xlfn.IFS(AF816&lt;3,"new",AF816&lt;=7,"Experienced",AF816&gt;7,"High")</f>
        <v>High</v>
      </c>
      <c r="AM816" s="1"/>
    </row>
    <row r="817" spans="1:39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  <c r="AJ817" t="str">
        <f t="shared" si="12"/>
        <v>Low</v>
      </c>
      <c r="AK817" t="str" cm="1">
        <f t="array" ref="AK817">_xlfn.IFS(S817&lt;4000,"Low",S817&lt;8000,"Medium",S817&gt;=8000,"High")</f>
        <v>Low</v>
      </c>
      <c r="AL817" t="str" cm="1">
        <f t="array" ref="AL817">_xlfn.IFS(AF817&lt;3,"new",AF817&lt;=7,"Experienced",AF817&gt;7,"High")</f>
        <v>new</v>
      </c>
      <c r="AM817" s="1"/>
    </row>
    <row r="818" spans="1:39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  <c r="AJ818" t="str">
        <f t="shared" si="12"/>
        <v>High</v>
      </c>
      <c r="AK818" t="str" cm="1">
        <f t="array" ref="AK818">_xlfn.IFS(S818&lt;4000,"Low",S818&lt;8000,"Medium",S818&gt;=8000,"High")</f>
        <v>Medium</v>
      </c>
      <c r="AL818" t="str" cm="1">
        <f t="array" ref="AL818">_xlfn.IFS(AF818&lt;3,"new",AF818&lt;=7,"Experienced",AF818&gt;7,"High")</f>
        <v>Experienced</v>
      </c>
      <c r="AM818" s="1"/>
    </row>
    <row r="819" spans="1:39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  <c r="AJ819" t="str">
        <f t="shared" si="12"/>
        <v>High</v>
      </c>
      <c r="AK819" t="str" cm="1">
        <f t="array" ref="AK819">_xlfn.IFS(S819&lt;4000,"Low",S819&lt;8000,"Medium",S819&gt;=8000,"High")</f>
        <v>Medium</v>
      </c>
      <c r="AL819" t="str" cm="1">
        <f t="array" ref="AL819">_xlfn.IFS(AF819&lt;3,"new",AF819&lt;=7,"Experienced",AF819&gt;7,"High")</f>
        <v>High</v>
      </c>
      <c r="AM819" s="1"/>
    </row>
    <row r="820" spans="1:39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  <c r="AJ820" t="str">
        <f t="shared" si="12"/>
        <v>Low</v>
      </c>
      <c r="AK820" t="str" cm="1">
        <f t="array" ref="AK820">_xlfn.IFS(S820&lt;4000,"Low",S820&lt;8000,"Medium",S820&gt;=8000,"High")</f>
        <v>Low</v>
      </c>
      <c r="AL820" t="str" cm="1">
        <f t="array" ref="AL820">_xlfn.IFS(AF820&lt;3,"new",AF820&lt;=7,"Experienced",AF820&gt;7,"High")</f>
        <v>new</v>
      </c>
      <c r="AM820" s="1"/>
    </row>
    <row r="821" spans="1:39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  <c r="AJ821" t="str">
        <f t="shared" si="12"/>
        <v>Low</v>
      </c>
      <c r="AK821" t="str" cm="1">
        <f t="array" ref="AK821">_xlfn.IFS(S821&lt;4000,"Low",S821&lt;8000,"Medium",S821&gt;=8000,"High")</f>
        <v>Low</v>
      </c>
      <c r="AL821" t="str" cm="1">
        <f t="array" ref="AL821">_xlfn.IFS(AF821&lt;3,"new",AF821&lt;=7,"Experienced",AF821&gt;7,"High")</f>
        <v>Experienced</v>
      </c>
      <c r="AM821" s="1"/>
    </row>
    <row r="822" spans="1:39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  <c r="AJ822" t="str">
        <f t="shared" si="12"/>
        <v>Low</v>
      </c>
      <c r="AK822" t="str" cm="1">
        <f t="array" ref="AK822">_xlfn.IFS(S822&lt;4000,"Low",S822&lt;8000,"Medium",S822&gt;=8000,"High")</f>
        <v>Medium</v>
      </c>
      <c r="AL822" t="str" cm="1">
        <f t="array" ref="AL822">_xlfn.IFS(AF822&lt;3,"new",AF822&lt;=7,"Experienced",AF822&gt;7,"High")</f>
        <v>Experienced</v>
      </c>
      <c r="AM822" s="1"/>
    </row>
    <row r="823" spans="1:39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  <c r="AJ823" t="str">
        <f t="shared" si="12"/>
        <v>High</v>
      </c>
      <c r="AK823" t="str" cm="1">
        <f t="array" ref="AK823">_xlfn.IFS(S823&lt;4000,"Low",S823&lt;8000,"Medium",S823&gt;=8000,"High")</f>
        <v>High</v>
      </c>
      <c r="AL823" t="str" cm="1">
        <f t="array" ref="AL823">_xlfn.IFS(AF823&lt;3,"new",AF823&lt;=7,"Experienced",AF823&gt;7,"High")</f>
        <v>High</v>
      </c>
      <c r="AM823" s="1"/>
    </row>
    <row r="824" spans="1:39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  <c r="AJ824" t="str">
        <f t="shared" si="12"/>
        <v>Low</v>
      </c>
      <c r="AK824" t="str" cm="1">
        <f t="array" ref="AK824">_xlfn.IFS(S824&lt;4000,"Low",S824&lt;8000,"Medium",S824&gt;=8000,"High")</f>
        <v>Medium</v>
      </c>
      <c r="AL824" t="str" cm="1">
        <f t="array" ref="AL824">_xlfn.IFS(AF824&lt;3,"new",AF824&lt;=7,"Experienced",AF824&gt;7,"High")</f>
        <v>Experienced</v>
      </c>
      <c r="AM824" s="1"/>
    </row>
    <row r="825" spans="1:39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  <c r="AJ825" t="str">
        <f t="shared" si="12"/>
        <v>Low</v>
      </c>
      <c r="AK825" t="str" cm="1">
        <f t="array" ref="AK825">_xlfn.IFS(S825&lt;4000,"Low",S825&lt;8000,"Medium",S825&gt;=8000,"High")</f>
        <v>Low</v>
      </c>
      <c r="AL825" t="str" cm="1">
        <f t="array" ref="AL825">_xlfn.IFS(AF825&lt;3,"new",AF825&lt;=7,"Experienced",AF825&gt;7,"High")</f>
        <v>Experienced</v>
      </c>
      <c r="AM825" s="1"/>
    </row>
    <row r="826" spans="1:39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  <c r="AJ826" t="str">
        <f t="shared" si="12"/>
        <v>Low</v>
      </c>
      <c r="AK826" t="str" cm="1">
        <f t="array" ref="AK826">_xlfn.IFS(S826&lt;4000,"Low",S826&lt;8000,"Medium",S826&gt;=8000,"High")</f>
        <v>Medium</v>
      </c>
      <c r="AL826" t="str" cm="1">
        <f t="array" ref="AL826">_xlfn.IFS(AF826&lt;3,"new",AF826&lt;=7,"Experienced",AF826&gt;7,"High")</f>
        <v>new</v>
      </c>
      <c r="AM826" s="1"/>
    </row>
    <row r="827" spans="1:39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  <c r="AJ827" t="str">
        <f t="shared" si="12"/>
        <v>Low</v>
      </c>
      <c r="AK827" t="str" cm="1">
        <f t="array" ref="AK827">_xlfn.IFS(S827&lt;4000,"Low",S827&lt;8000,"Medium",S827&gt;=8000,"High")</f>
        <v>Medium</v>
      </c>
      <c r="AL827" t="str" cm="1">
        <f t="array" ref="AL827">_xlfn.IFS(AF827&lt;3,"new",AF827&lt;=7,"Experienced",AF827&gt;7,"High")</f>
        <v>High</v>
      </c>
      <c r="AM827" s="1"/>
    </row>
    <row r="828" spans="1:39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  <c r="AJ828" t="str">
        <f t="shared" si="12"/>
        <v>Low</v>
      </c>
      <c r="AK828" t="str" cm="1">
        <f t="array" ref="AK828">_xlfn.IFS(S828&lt;4000,"Low",S828&lt;8000,"Medium",S828&gt;=8000,"High")</f>
        <v>Low</v>
      </c>
      <c r="AL828" t="str" cm="1">
        <f t="array" ref="AL828">_xlfn.IFS(AF828&lt;3,"new",AF828&lt;=7,"Experienced",AF828&gt;7,"High")</f>
        <v>Experienced</v>
      </c>
      <c r="AM828" s="1"/>
    </row>
    <row r="829" spans="1:39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  <c r="AJ829" t="str">
        <f t="shared" si="12"/>
        <v>Low</v>
      </c>
      <c r="AK829" t="str" cm="1">
        <f t="array" ref="AK829">_xlfn.IFS(S829&lt;4000,"Low",S829&lt;8000,"Medium",S829&gt;=8000,"High")</f>
        <v>Low</v>
      </c>
      <c r="AL829" t="str" cm="1">
        <f t="array" ref="AL829">_xlfn.IFS(AF829&lt;3,"new",AF829&lt;=7,"Experienced",AF829&gt;7,"High")</f>
        <v>Experienced</v>
      </c>
      <c r="AM829" s="1"/>
    </row>
    <row r="830" spans="1:39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  <c r="AJ830" t="str">
        <f t="shared" si="12"/>
        <v>Low</v>
      </c>
      <c r="AK830" t="str" cm="1">
        <f t="array" ref="AK830">_xlfn.IFS(S830&lt;4000,"Low",S830&lt;8000,"Medium",S830&gt;=8000,"High")</f>
        <v>Low</v>
      </c>
      <c r="AL830" t="str" cm="1">
        <f t="array" ref="AL830">_xlfn.IFS(AF830&lt;3,"new",AF830&lt;=7,"Experienced",AF830&gt;7,"High")</f>
        <v>new</v>
      </c>
      <c r="AM830" s="1"/>
    </row>
    <row r="831" spans="1:39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  <c r="AJ831" t="str">
        <f t="shared" si="12"/>
        <v>High</v>
      </c>
      <c r="AK831" t="str" cm="1">
        <f t="array" ref="AK831">_xlfn.IFS(S831&lt;4000,"Low",S831&lt;8000,"Medium",S831&gt;=8000,"High")</f>
        <v>High</v>
      </c>
      <c r="AL831" t="str" cm="1">
        <f t="array" ref="AL831">_xlfn.IFS(AF831&lt;3,"new",AF831&lt;=7,"Experienced",AF831&gt;7,"High")</f>
        <v>Experienced</v>
      </c>
      <c r="AM831" s="1"/>
    </row>
    <row r="832" spans="1:39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  <c r="AJ832" t="str">
        <f t="shared" si="12"/>
        <v>Low</v>
      </c>
      <c r="AK832" t="str" cm="1">
        <f t="array" ref="AK832">_xlfn.IFS(S832&lt;4000,"Low",S832&lt;8000,"Medium",S832&gt;=8000,"High")</f>
        <v>Medium</v>
      </c>
      <c r="AL832" t="str" cm="1">
        <f t="array" ref="AL832">_xlfn.IFS(AF832&lt;3,"new",AF832&lt;=7,"Experienced",AF832&gt;7,"High")</f>
        <v>new</v>
      </c>
      <c r="AM832" s="1"/>
    </row>
    <row r="833" spans="1:39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  <c r="AJ833" t="str">
        <f t="shared" si="12"/>
        <v>Low</v>
      </c>
      <c r="AK833" t="str" cm="1">
        <f t="array" ref="AK833">_xlfn.IFS(S833&lt;4000,"Low",S833&lt;8000,"Medium",S833&gt;=8000,"High")</f>
        <v>Low</v>
      </c>
      <c r="AL833" t="str" cm="1">
        <f t="array" ref="AL833">_xlfn.IFS(AF833&lt;3,"new",AF833&lt;=7,"Experienced",AF833&gt;7,"High")</f>
        <v>new</v>
      </c>
      <c r="AM833" s="1"/>
    </row>
    <row r="834" spans="1:39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  <c r="AJ834" t="str">
        <f t="shared" ref="AJ834:AJ897" si="13">IF(S834&gt;=6500,"High","Low")</f>
        <v>Low</v>
      </c>
      <c r="AK834" t="str" cm="1">
        <f t="array" ref="AK834">_xlfn.IFS(S834&lt;4000,"Low",S834&lt;8000,"Medium",S834&gt;=8000,"High")</f>
        <v>Medium</v>
      </c>
      <c r="AL834" t="str" cm="1">
        <f t="array" ref="AL834">_xlfn.IFS(AF834&lt;3,"new",AF834&lt;=7,"Experienced",AF834&gt;7,"High")</f>
        <v>Experienced</v>
      </c>
      <c r="AM834" s="1"/>
    </row>
    <row r="835" spans="1:39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  <c r="AJ835" t="str">
        <f t="shared" si="13"/>
        <v>Low</v>
      </c>
      <c r="AK835" t="str" cm="1">
        <f t="array" ref="AK835">_xlfn.IFS(S835&lt;4000,"Low",S835&lt;8000,"Medium",S835&gt;=8000,"High")</f>
        <v>Low</v>
      </c>
      <c r="AL835" t="str" cm="1">
        <f t="array" ref="AL835">_xlfn.IFS(AF835&lt;3,"new",AF835&lt;=7,"Experienced",AF835&gt;7,"High")</f>
        <v>Experienced</v>
      </c>
      <c r="AM835" s="1"/>
    </row>
    <row r="836" spans="1:39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  <c r="AJ836" t="str">
        <f t="shared" si="13"/>
        <v>Low</v>
      </c>
      <c r="AK836" t="str" cm="1">
        <f t="array" ref="AK836">_xlfn.IFS(S836&lt;4000,"Low",S836&lt;8000,"Medium",S836&gt;=8000,"High")</f>
        <v>Medium</v>
      </c>
      <c r="AL836" t="str" cm="1">
        <f t="array" ref="AL836">_xlfn.IFS(AF836&lt;3,"new",AF836&lt;=7,"Experienced",AF836&gt;7,"High")</f>
        <v>Experienced</v>
      </c>
      <c r="AM836" s="1"/>
    </row>
    <row r="837" spans="1:39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  <c r="AJ837" t="str">
        <f t="shared" si="13"/>
        <v>Low</v>
      </c>
      <c r="AK837" t="str" cm="1">
        <f t="array" ref="AK837">_xlfn.IFS(S837&lt;4000,"Low",S837&lt;8000,"Medium",S837&gt;=8000,"High")</f>
        <v>Medium</v>
      </c>
      <c r="AL837" t="str" cm="1">
        <f t="array" ref="AL837">_xlfn.IFS(AF837&lt;3,"new",AF837&lt;=7,"Experienced",AF837&gt;7,"High")</f>
        <v>Experienced</v>
      </c>
      <c r="AM837" s="1"/>
    </row>
    <row r="838" spans="1:39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  <c r="AJ838" t="str">
        <f t="shared" si="13"/>
        <v>High</v>
      </c>
      <c r="AK838" t="str" cm="1">
        <f t="array" ref="AK838">_xlfn.IFS(S838&lt;4000,"Low",S838&lt;8000,"Medium",S838&gt;=8000,"High")</f>
        <v>Medium</v>
      </c>
      <c r="AL838" t="str" cm="1">
        <f t="array" ref="AL838">_xlfn.IFS(AF838&lt;3,"new",AF838&lt;=7,"Experienced",AF838&gt;7,"High")</f>
        <v>High</v>
      </c>
      <c r="AM838" s="1"/>
    </row>
    <row r="839" spans="1:39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  <c r="AJ839" t="str">
        <f t="shared" si="13"/>
        <v>High</v>
      </c>
      <c r="AK839" t="str" cm="1">
        <f t="array" ref="AK839">_xlfn.IFS(S839&lt;4000,"Low",S839&lt;8000,"Medium",S839&gt;=8000,"High")</f>
        <v>High</v>
      </c>
      <c r="AL839" t="str" cm="1">
        <f t="array" ref="AL839">_xlfn.IFS(AF839&lt;3,"new",AF839&lt;=7,"Experienced",AF839&gt;7,"High")</f>
        <v>High</v>
      </c>
      <c r="AM839" s="1"/>
    </row>
    <row r="840" spans="1:39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  <c r="AJ840" t="str">
        <f t="shared" si="13"/>
        <v>High</v>
      </c>
      <c r="AK840" t="str" cm="1">
        <f t="array" ref="AK840">_xlfn.IFS(S840&lt;4000,"Low",S840&lt;8000,"Medium",S840&gt;=8000,"High")</f>
        <v>High</v>
      </c>
      <c r="AL840" t="str" cm="1">
        <f t="array" ref="AL840">_xlfn.IFS(AF840&lt;3,"new",AF840&lt;=7,"Experienced",AF840&gt;7,"High")</f>
        <v>High</v>
      </c>
      <c r="AM840" s="1"/>
    </row>
    <row r="841" spans="1:39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  <c r="AJ841" t="str">
        <f t="shared" si="13"/>
        <v>Low</v>
      </c>
      <c r="AK841" t="str" cm="1">
        <f t="array" ref="AK841">_xlfn.IFS(S841&lt;4000,"Low",S841&lt;8000,"Medium",S841&gt;=8000,"High")</f>
        <v>Medium</v>
      </c>
      <c r="AL841" t="str" cm="1">
        <f t="array" ref="AL841">_xlfn.IFS(AF841&lt;3,"new",AF841&lt;=7,"Experienced",AF841&gt;7,"High")</f>
        <v>Experienced</v>
      </c>
      <c r="AM841" s="1"/>
    </row>
    <row r="842" spans="1:39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  <c r="AJ842" t="str">
        <f t="shared" si="13"/>
        <v>Low</v>
      </c>
      <c r="AK842" t="str" cm="1">
        <f t="array" ref="AK842">_xlfn.IFS(S842&lt;4000,"Low",S842&lt;8000,"Medium",S842&gt;=8000,"High")</f>
        <v>Low</v>
      </c>
      <c r="AL842" t="str" cm="1">
        <f t="array" ref="AL842">_xlfn.IFS(AF842&lt;3,"new",AF842&lt;=7,"Experienced",AF842&gt;7,"High")</f>
        <v>High</v>
      </c>
      <c r="AM842" s="1"/>
    </row>
    <row r="843" spans="1:39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  <c r="AJ843" t="str">
        <f t="shared" si="13"/>
        <v>Low</v>
      </c>
      <c r="AK843" t="str" cm="1">
        <f t="array" ref="AK843">_xlfn.IFS(S843&lt;4000,"Low",S843&lt;8000,"Medium",S843&gt;=8000,"High")</f>
        <v>Low</v>
      </c>
      <c r="AL843" t="str" cm="1">
        <f t="array" ref="AL843">_xlfn.IFS(AF843&lt;3,"new",AF843&lt;=7,"Experienced",AF843&gt;7,"High")</f>
        <v>Experienced</v>
      </c>
      <c r="AM843" s="1"/>
    </row>
    <row r="844" spans="1:39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  <c r="AJ844" t="str">
        <f t="shared" si="13"/>
        <v>Low</v>
      </c>
      <c r="AK844" t="str" cm="1">
        <f t="array" ref="AK844">_xlfn.IFS(S844&lt;4000,"Low",S844&lt;8000,"Medium",S844&gt;=8000,"High")</f>
        <v>Low</v>
      </c>
      <c r="AL844" t="str" cm="1">
        <f t="array" ref="AL844">_xlfn.IFS(AF844&lt;3,"new",AF844&lt;=7,"Experienced",AF844&gt;7,"High")</f>
        <v>new</v>
      </c>
      <c r="AM844" s="1"/>
    </row>
    <row r="845" spans="1:39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  <c r="AJ845" t="str">
        <f t="shared" si="13"/>
        <v>Low</v>
      </c>
      <c r="AK845" t="str" cm="1">
        <f t="array" ref="AK845">_xlfn.IFS(S845&lt;4000,"Low",S845&lt;8000,"Medium",S845&gt;=8000,"High")</f>
        <v>Medium</v>
      </c>
      <c r="AL845" t="str" cm="1">
        <f t="array" ref="AL845">_xlfn.IFS(AF845&lt;3,"new",AF845&lt;=7,"Experienced",AF845&gt;7,"High")</f>
        <v>High</v>
      </c>
      <c r="AM845" s="1"/>
    </row>
    <row r="846" spans="1:39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  <c r="AJ846" t="str">
        <f t="shared" si="13"/>
        <v>High</v>
      </c>
      <c r="AK846" t="str" cm="1">
        <f t="array" ref="AK846">_xlfn.IFS(S846&lt;4000,"Low",S846&lt;8000,"Medium",S846&gt;=8000,"High")</f>
        <v>Medium</v>
      </c>
      <c r="AL846" t="str" cm="1">
        <f t="array" ref="AL846">_xlfn.IFS(AF846&lt;3,"new",AF846&lt;=7,"Experienced",AF846&gt;7,"High")</f>
        <v>High</v>
      </c>
      <c r="AM846" s="1"/>
    </row>
    <row r="847" spans="1:39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  <c r="AJ847" t="str">
        <f t="shared" si="13"/>
        <v>Low</v>
      </c>
      <c r="AK847" t="str" cm="1">
        <f t="array" ref="AK847">_xlfn.IFS(S847&lt;4000,"Low",S847&lt;8000,"Medium",S847&gt;=8000,"High")</f>
        <v>Medium</v>
      </c>
      <c r="AL847" t="str" cm="1">
        <f t="array" ref="AL847">_xlfn.IFS(AF847&lt;3,"new",AF847&lt;=7,"Experienced",AF847&gt;7,"High")</f>
        <v>new</v>
      </c>
      <c r="AM847" s="1"/>
    </row>
    <row r="848" spans="1:39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  <c r="AJ848" t="str">
        <f t="shared" si="13"/>
        <v>High</v>
      </c>
      <c r="AK848" t="str" cm="1">
        <f t="array" ref="AK848">_xlfn.IFS(S848&lt;4000,"Low",S848&lt;8000,"Medium",S848&gt;=8000,"High")</f>
        <v>High</v>
      </c>
      <c r="AL848" t="str" cm="1">
        <f t="array" ref="AL848">_xlfn.IFS(AF848&lt;3,"new",AF848&lt;=7,"Experienced",AF848&gt;7,"High")</f>
        <v>Experienced</v>
      </c>
      <c r="AM848" s="1"/>
    </row>
    <row r="849" spans="1:39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  <c r="AJ849" t="str">
        <f t="shared" si="13"/>
        <v>Low</v>
      </c>
      <c r="AK849" t="str" cm="1">
        <f t="array" ref="AK849">_xlfn.IFS(S849&lt;4000,"Low",S849&lt;8000,"Medium",S849&gt;=8000,"High")</f>
        <v>Medium</v>
      </c>
      <c r="AL849" t="str" cm="1">
        <f t="array" ref="AL849">_xlfn.IFS(AF849&lt;3,"new",AF849&lt;=7,"Experienced",AF849&gt;7,"High")</f>
        <v>High</v>
      </c>
      <c r="AM849" s="1"/>
    </row>
    <row r="850" spans="1:39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  <c r="AJ850" t="str">
        <f t="shared" si="13"/>
        <v>Low</v>
      </c>
      <c r="AK850" t="str" cm="1">
        <f t="array" ref="AK850">_xlfn.IFS(S850&lt;4000,"Low",S850&lt;8000,"Medium",S850&gt;=8000,"High")</f>
        <v>Low</v>
      </c>
      <c r="AL850" t="str" cm="1">
        <f t="array" ref="AL850">_xlfn.IFS(AF850&lt;3,"new",AF850&lt;=7,"Experienced",AF850&gt;7,"High")</f>
        <v>new</v>
      </c>
      <c r="AM850" s="1"/>
    </row>
    <row r="851" spans="1:39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  <c r="AJ851" t="str">
        <f t="shared" si="13"/>
        <v>Low</v>
      </c>
      <c r="AK851" t="str" cm="1">
        <f t="array" ref="AK851">_xlfn.IFS(S851&lt;4000,"Low",S851&lt;8000,"Medium",S851&gt;=8000,"High")</f>
        <v>Medium</v>
      </c>
      <c r="AL851" t="str" cm="1">
        <f t="array" ref="AL851">_xlfn.IFS(AF851&lt;3,"new",AF851&lt;=7,"Experienced",AF851&gt;7,"High")</f>
        <v>Experienced</v>
      </c>
      <c r="AM851" s="1"/>
    </row>
    <row r="852" spans="1:39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  <c r="AJ852" t="str">
        <f t="shared" si="13"/>
        <v>Low</v>
      </c>
      <c r="AK852" t="str" cm="1">
        <f t="array" ref="AK852">_xlfn.IFS(S852&lt;4000,"Low",S852&lt;8000,"Medium",S852&gt;=8000,"High")</f>
        <v>Low</v>
      </c>
      <c r="AL852" t="str" cm="1">
        <f t="array" ref="AL852">_xlfn.IFS(AF852&lt;3,"new",AF852&lt;=7,"Experienced",AF852&gt;7,"High")</f>
        <v>new</v>
      </c>
      <c r="AM852" s="1"/>
    </row>
    <row r="853" spans="1:39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  <c r="AJ853" t="str">
        <f t="shared" si="13"/>
        <v>High</v>
      </c>
      <c r="AK853" t="str" cm="1">
        <f t="array" ref="AK853">_xlfn.IFS(S853&lt;4000,"Low",S853&lt;8000,"Medium",S853&gt;=8000,"High")</f>
        <v>High</v>
      </c>
      <c r="AL853" t="str" cm="1">
        <f t="array" ref="AL853">_xlfn.IFS(AF853&lt;3,"new",AF853&lt;=7,"Experienced",AF853&gt;7,"High")</f>
        <v>Experienced</v>
      </c>
      <c r="AM853" s="1"/>
    </row>
    <row r="854" spans="1:39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  <c r="AJ854" t="str">
        <f t="shared" si="13"/>
        <v>Low</v>
      </c>
      <c r="AK854" t="str" cm="1">
        <f t="array" ref="AK854">_xlfn.IFS(S854&lt;4000,"Low",S854&lt;8000,"Medium",S854&gt;=8000,"High")</f>
        <v>Low</v>
      </c>
      <c r="AL854" t="str" cm="1">
        <f t="array" ref="AL854">_xlfn.IFS(AF854&lt;3,"new",AF854&lt;=7,"Experienced",AF854&gt;7,"High")</f>
        <v>High</v>
      </c>
      <c r="AM854" s="1"/>
    </row>
    <row r="855" spans="1:39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  <c r="AJ855" t="str">
        <f t="shared" si="13"/>
        <v>Low</v>
      </c>
      <c r="AK855" t="str" cm="1">
        <f t="array" ref="AK855">_xlfn.IFS(S855&lt;4000,"Low",S855&lt;8000,"Medium",S855&gt;=8000,"High")</f>
        <v>Low</v>
      </c>
      <c r="AL855" t="str" cm="1">
        <f t="array" ref="AL855">_xlfn.IFS(AF855&lt;3,"new",AF855&lt;=7,"Experienced",AF855&gt;7,"High")</f>
        <v>new</v>
      </c>
      <c r="AM855" s="1"/>
    </row>
    <row r="856" spans="1:39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  <c r="AJ856" t="str">
        <f t="shared" si="13"/>
        <v>Low</v>
      </c>
      <c r="AK856" t="str" cm="1">
        <f t="array" ref="AK856">_xlfn.IFS(S856&lt;4000,"Low",S856&lt;8000,"Medium",S856&gt;=8000,"High")</f>
        <v>Medium</v>
      </c>
      <c r="AL856" t="str" cm="1">
        <f t="array" ref="AL856">_xlfn.IFS(AF856&lt;3,"new",AF856&lt;=7,"Experienced",AF856&gt;7,"High")</f>
        <v>Experienced</v>
      </c>
      <c r="AM856" s="1"/>
    </row>
    <row r="857" spans="1:39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  <c r="AJ857" t="str">
        <f t="shared" si="13"/>
        <v>Low</v>
      </c>
      <c r="AK857" t="str" cm="1">
        <f t="array" ref="AK857">_xlfn.IFS(S857&lt;4000,"Low",S857&lt;8000,"Medium",S857&gt;=8000,"High")</f>
        <v>Medium</v>
      </c>
      <c r="AL857" t="str" cm="1">
        <f t="array" ref="AL857">_xlfn.IFS(AF857&lt;3,"new",AF857&lt;=7,"Experienced",AF857&gt;7,"High")</f>
        <v>High</v>
      </c>
      <c r="AM857" s="1"/>
    </row>
    <row r="858" spans="1:39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  <c r="AJ858" t="str">
        <f t="shared" si="13"/>
        <v>Low</v>
      </c>
      <c r="AK858" t="str" cm="1">
        <f t="array" ref="AK858">_xlfn.IFS(S858&lt;4000,"Low",S858&lt;8000,"Medium",S858&gt;=8000,"High")</f>
        <v>Low</v>
      </c>
      <c r="AL858" t="str" cm="1">
        <f t="array" ref="AL858">_xlfn.IFS(AF858&lt;3,"new",AF858&lt;=7,"Experienced",AF858&gt;7,"High")</f>
        <v>new</v>
      </c>
      <c r="AM858" s="1"/>
    </row>
    <row r="859" spans="1:39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  <c r="AJ859" t="str">
        <f t="shared" si="13"/>
        <v>Low</v>
      </c>
      <c r="AK859" t="str" cm="1">
        <f t="array" ref="AK859">_xlfn.IFS(S859&lt;4000,"Low",S859&lt;8000,"Medium",S859&gt;=8000,"High")</f>
        <v>Low</v>
      </c>
      <c r="AL859" t="str" cm="1">
        <f t="array" ref="AL859">_xlfn.IFS(AF859&lt;3,"new",AF859&lt;=7,"Experienced",AF859&gt;7,"High")</f>
        <v>Experienced</v>
      </c>
      <c r="AM859" s="1"/>
    </row>
    <row r="860" spans="1:39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  <c r="AJ860" t="str">
        <f t="shared" si="13"/>
        <v>High</v>
      </c>
      <c r="AK860" t="str" cm="1">
        <f t="array" ref="AK860">_xlfn.IFS(S860&lt;4000,"Low",S860&lt;8000,"Medium",S860&gt;=8000,"High")</f>
        <v>High</v>
      </c>
      <c r="AL860" t="str" cm="1">
        <f t="array" ref="AL860">_xlfn.IFS(AF860&lt;3,"new",AF860&lt;=7,"Experienced",AF860&gt;7,"High")</f>
        <v>Experienced</v>
      </c>
      <c r="AM860" s="1"/>
    </row>
    <row r="861" spans="1:39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  <c r="AJ861" t="str">
        <f t="shared" si="13"/>
        <v>Low</v>
      </c>
      <c r="AK861" t="str" cm="1">
        <f t="array" ref="AK861">_xlfn.IFS(S861&lt;4000,"Low",S861&lt;8000,"Medium",S861&gt;=8000,"High")</f>
        <v>Low</v>
      </c>
      <c r="AL861" t="str" cm="1">
        <f t="array" ref="AL861">_xlfn.IFS(AF861&lt;3,"new",AF861&lt;=7,"Experienced",AF861&gt;7,"High")</f>
        <v>Experienced</v>
      </c>
      <c r="AM861" s="1"/>
    </row>
    <row r="862" spans="1:39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  <c r="AJ862" t="str">
        <f t="shared" si="13"/>
        <v>Low</v>
      </c>
      <c r="AK862" t="str" cm="1">
        <f t="array" ref="AK862">_xlfn.IFS(S862&lt;4000,"Low",S862&lt;8000,"Medium",S862&gt;=8000,"High")</f>
        <v>Low</v>
      </c>
      <c r="AL862" t="str" cm="1">
        <f t="array" ref="AL862">_xlfn.IFS(AF862&lt;3,"new",AF862&lt;=7,"Experienced",AF862&gt;7,"High")</f>
        <v>new</v>
      </c>
      <c r="AM862" s="1"/>
    </row>
    <row r="863" spans="1:39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  <c r="AJ863" t="str">
        <f t="shared" si="13"/>
        <v>High</v>
      </c>
      <c r="AK863" t="str" cm="1">
        <f t="array" ref="AK863">_xlfn.IFS(S863&lt;4000,"Low",S863&lt;8000,"Medium",S863&gt;=8000,"High")</f>
        <v>High</v>
      </c>
      <c r="AL863" t="str" cm="1">
        <f t="array" ref="AL863">_xlfn.IFS(AF863&lt;3,"new",AF863&lt;=7,"Experienced",AF863&gt;7,"High")</f>
        <v>High</v>
      </c>
      <c r="AM863" s="1"/>
    </row>
    <row r="864" spans="1:39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  <c r="AJ864" t="str">
        <f t="shared" si="13"/>
        <v>Low</v>
      </c>
      <c r="AK864" t="str" cm="1">
        <f t="array" ref="AK864">_xlfn.IFS(S864&lt;4000,"Low",S864&lt;8000,"Medium",S864&gt;=8000,"High")</f>
        <v>Low</v>
      </c>
      <c r="AL864" t="str" cm="1">
        <f t="array" ref="AL864">_xlfn.IFS(AF864&lt;3,"new",AF864&lt;=7,"Experienced",AF864&gt;7,"High")</f>
        <v>new</v>
      </c>
      <c r="AM864" s="1"/>
    </row>
    <row r="865" spans="1:39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  <c r="AJ865" t="str">
        <f t="shared" si="13"/>
        <v>Low</v>
      </c>
      <c r="AK865" t="str" cm="1">
        <f t="array" ref="AK865">_xlfn.IFS(S865&lt;4000,"Low",S865&lt;8000,"Medium",S865&gt;=8000,"High")</f>
        <v>Low</v>
      </c>
      <c r="AL865" t="str" cm="1">
        <f t="array" ref="AL865">_xlfn.IFS(AF865&lt;3,"new",AF865&lt;=7,"Experienced",AF865&gt;7,"High")</f>
        <v>Experienced</v>
      </c>
      <c r="AM865" s="1"/>
    </row>
    <row r="866" spans="1:39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  <c r="AJ866" t="str">
        <f t="shared" si="13"/>
        <v>Low</v>
      </c>
      <c r="AK866" t="str" cm="1">
        <f t="array" ref="AK866">_xlfn.IFS(S866&lt;4000,"Low",S866&lt;8000,"Medium",S866&gt;=8000,"High")</f>
        <v>Low</v>
      </c>
      <c r="AL866" t="str" cm="1">
        <f t="array" ref="AL866">_xlfn.IFS(AF866&lt;3,"new",AF866&lt;=7,"Experienced",AF866&gt;7,"High")</f>
        <v>new</v>
      </c>
      <c r="AM866" s="1"/>
    </row>
    <row r="867" spans="1:39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  <c r="AJ867" t="str">
        <f t="shared" si="13"/>
        <v>Low</v>
      </c>
      <c r="AK867" t="str" cm="1">
        <f t="array" ref="AK867">_xlfn.IFS(S867&lt;4000,"Low",S867&lt;8000,"Medium",S867&gt;=8000,"High")</f>
        <v>Medium</v>
      </c>
      <c r="AL867" t="str" cm="1">
        <f t="array" ref="AL867">_xlfn.IFS(AF867&lt;3,"new",AF867&lt;=7,"Experienced",AF867&gt;7,"High")</f>
        <v>Experienced</v>
      </c>
      <c r="AM867" s="1"/>
    </row>
    <row r="868" spans="1:39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  <c r="AJ868" t="str">
        <f t="shared" si="13"/>
        <v>Low</v>
      </c>
      <c r="AK868" t="str" cm="1">
        <f t="array" ref="AK868">_xlfn.IFS(S868&lt;4000,"Low",S868&lt;8000,"Medium",S868&gt;=8000,"High")</f>
        <v>Medium</v>
      </c>
      <c r="AL868" t="str" cm="1">
        <f t="array" ref="AL868">_xlfn.IFS(AF868&lt;3,"new",AF868&lt;=7,"Experienced",AF868&gt;7,"High")</f>
        <v>new</v>
      </c>
      <c r="AM868" s="1"/>
    </row>
    <row r="869" spans="1:39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  <c r="AJ869" t="str">
        <f t="shared" si="13"/>
        <v>High</v>
      </c>
      <c r="AK869" t="str" cm="1">
        <f t="array" ref="AK869">_xlfn.IFS(S869&lt;4000,"Low",S869&lt;8000,"Medium",S869&gt;=8000,"High")</f>
        <v>High</v>
      </c>
      <c r="AL869" t="str" cm="1">
        <f t="array" ref="AL869">_xlfn.IFS(AF869&lt;3,"new",AF869&lt;=7,"Experienced",AF869&gt;7,"High")</f>
        <v>new</v>
      </c>
      <c r="AM869" s="1"/>
    </row>
    <row r="870" spans="1:39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  <c r="AJ870" t="str">
        <f t="shared" si="13"/>
        <v>Low</v>
      </c>
      <c r="AK870" t="str" cm="1">
        <f t="array" ref="AK870">_xlfn.IFS(S870&lt;4000,"Low",S870&lt;8000,"Medium",S870&gt;=8000,"High")</f>
        <v>Low</v>
      </c>
      <c r="AL870" t="str" cm="1">
        <f t="array" ref="AL870">_xlfn.IFS(AF870&lt;3,"new",AF870&lt;=7,"Experienced",AF870&gt;7,"High")</f>
        <v>Experienced</v>
      </c>
      <c r="AM870" s="1"/>
    </row>
    <row r="871" spans="1:39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  <c r="AJ871" t="str">
        <f t="shared" si="13"/>
        <v>High</v>
      </c>
      <c r="AK871" t="str" cm="1">
        <f t="array" ref="AK871">_xlfn.IFS(S871&lt;4000,"Low",S871&lt;8000,"Medium",S871&gt;=8000,"High")</f>
        <v>High</v>
      </c>
      <c r="AL871" t="str" cm="1">
        <f t="array" ref="AL871">_xlfn.IFS(AF871&lt;3,"new",AF871&lt;=7,"Experienced",AF871&gt;7,"High")</f>
        <v>Experienced</v>
      </c>
      <c r="AM871" s="1"/>
    </row>
    <row r="872" spans="1:39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  <c r="AJ872" t="str">
        <f t="shared" si="13"/>
        <v>High</v>
      </c>
      <c r="AK872" t="str" cm="1">
        <f t="array" ref="AK872">_xlfn.IFS(S872&lt;4000,"Low",S872&lt;8000,"Medium",S872&gt;=8000,"High")</f>
        <v>High</v>
      </c>
      <c r="AL872" t="str" cm="1">
        <f t="array" ref="AL872">_xlfn.IFS(AF872&lt;3,"new",AF872&lt;=7,"Experienced",AF872&gt;7,"High")</f>
        <v>Experienced</v>
      </c>
      <c r="AM872" s="1"/>
    </row>
    <row r="873" spans="1:39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  <c r="AJ873" t="str">
        <f t="shared" si="13"/>
        <v>Low</v>
      </c>
      <c r="AK873" t="str" cm="1">
        <f t="array" ref="AK873">_xlfn.IFS(S873&lt;4000,"Low",S873&lt;8000,"Medium",S873&gt;=8000,"High")</f>
        <v>Low</v>
      </c>
      <c r="AL873" t="str" cm="1">
        <f t="array" ref="AL873">_xlfn.IFS(AF873&lt;3,"new",AF873&lt;=7,"Experienced",AF873&gt;7,"High")</f>
        <v>new</v>
      </c>
      <c r="AM873" s="1"/>
    </row>
    <row r="874" spans="1:39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  <c r="AJ874" t="str">
        <f t="shared" si="13"/>
        <v>Low</v>
      </c>
      <c r="AK874" t="str" cm="1">
        <f t="array" ref="AK874">_xlfn.IFS(S874&lt;4000,"Low",S874&lt;8000,"Medium",S874&gt;=8000,"High")</f>
        <v>Medium</v>
      </c>
      <c r="AL874" t="str" cm="1">
        <f t="array" ref="AL874">_xlfn.IFS(AF874&lt;3,"new",AF874&lt;=7,"Experienced",AF874&gt;7,"High")</f>
        <v>High</v>
      </c>
      <c r="AM874" s="1"/>
    </row>
    <row r="875" spans="1:39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  <c r="AJ875" t="str">
        <f t="shared" si="13"/>
        <v>Low</v>
      </c>
      <c r="AK875" t="str" cm="1">
        <f t="array" ref="AK875">_xlfn.IFS(S875&lt;4000,"Low",S875&lt;8000,"Medium",S875&gt;=8000,"High")</f>
        <v>Low</v>
      </c>
      <c r="AL875" t="str" cm="1">
        <f t="array" ref="AL875">_xlfn.IFS(AF875&lt;3,"new",AF875&lt;=7,"Experienced",AF875&gt;7,"High")</f>
        <v>Experienced</v>
      </c>
      <c r="AM875" s="1"/>
    </row>
    <row r="876" spans="1:39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  <c r="AJ876" t="str">
        <f t="shared" si="13"/>
        <v>Low</v>
      </c>
      <c r="AK876" t="str" cm="1">
        <f t="array" ref="AK876">_xlfn.IFS(S876&lt;4000,"Low",S876&lt;8000,"Medium",S876&gt;=8000,"High")</f>
        <v>Low</v>
      </c>
      <c r="AL876" t="str" cm="1">
        <f t="array" ref="AL876">_xlfn.IFS(AF876&lt;3,"new",AF876&lt;=7,"Experienced",AF876&gt;7,"High")</f>
        <v>High</v>
      </c>
      <c r="AM876" s="1"/>
    </row>
    <row r="877" spans="1:39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  <c r="AJ877" t="str">
        <f t="shared" si="13"/>
        <v>Low</v>
      </c>
      <c r="AK877" t="str" cm="1">
        <f t="array" ref="AK877">_xlfn.IFS(S877&lt;4000,"Low",S877&lt;8000,"Medium",S877&gt;=8000,"High")</f>
        <v>Medium</v>
      </c>
      <c r="AL877" t="str" cm="1">
        <f t="array" ref="AL877">_xlfn.IFS(AF877&lt;3,"new",AF877&lt;=7,"Experienced",AF877&gt;7,"High")</f>
        <v>High</v>
      </c>
      <c r="AM877" s="1"/>
    </row>
    <row r="878" spans="1:39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  <c r="AJ878" t="str">
        <f t="shared" si="13"/>
        <v>Low</v>
      </c>
      <c r="AK878" t="str" cm="1">
        <f t="array" ref="AK878">_xlfn.IFS(S878&lt;4000,"Low",S878&lt;8000,"Medium",S878&gt;=8000,"High")</f>
        <v>Low</v>
      </c>
      <c r="AL878" t="str" cm="1">
        <f t="array" ref="AL878">_xlfn.IFS(AF878&lt;3,"new",AF878&lt;=7,"Experienced",AF878&gt;7,"High")</f>
        <v>new</v>
      </c>
      <c r="AM878" s="1"/>
    </row>
    <row r="879" spans="1:39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  <c r="AJ879" t="str">
        <f t="shared" si="13"/>
        <v>High</v>
      </c>
      <c r="AK879" t="str" cm="1">
        <f t="array" ref="AK879">_xlfn.IFS(S879&lt;4000,"Low",S879&lt;8000,"Medium",S879&gt;=8000,"High")</f>
        <v>Medium</v>
      </c>
      <c r="AL879" t="str" cm="1">
        <f t="array" ref="AL879">_xlfn.IFS(AF879&lt;3,"new",AF879&lt;=7,"Experienced",AF879&gt;7,"High")</f>
        <v>Experienced</v>
      </c>
      <c r="AM879" s="1"/>
    </row>
    <row r="880" spans="1:39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  <c r="AJ880" t="str">
        <f t="shared" si="13"/>
        <v>Low</v>
      </c>
      <c r="AK880" t="str" cm="1">
        <f t="array" ref="AK880">_xlfn.IFS(S880&lt;4000,"Low",S880&lt;8000,"Medium",S880&gt;=8000,"High")</f>
        <v>Medium</v>
      </c>
      <c r="AL880" t="str" cm="1">
        <f t="array" ref="AL880">_xlfn.IFS(AF880&lt;3,"new",AF880&lt;=7,"Experienced",AF880&gt;7,"High")</f>
        <v>Experienced</v>
      </c>
      <c r="AM880" s="1"/>
    </row>
    <row r="881" spans="1:39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  <c r="AJ881" t="str">
        <f t="shared" si="13"/>
        <v>Low</v>
      </c>
      <c r="AK881" t="str" cm="1">
        <f t="array" ref="AK881">_xlfn.IFS(S881&lt;4000,"Low",S881&lt;8000,"Medium",S881&gt;=8000,"High")</f>
        <v>Medium</v>
      </c>
      <c r="AL881" t="str" cm="1">
        <f t="array" ref="AL881">_xlfn.IFS(AF881&lt;3,"new",AF881&lt;=7,"Experienced",AF881&gt;7,"High")</f>
        <v>High</v>
      </c>
      <c r="AM881" s="1"/>
    </row>
    <row r="882" spans="1:39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  <c r="AJ882" t="str">
        <f t="shared" si="13"/>
        <v>Low</v>
      </c>
      <c r="AK882" t="str" cm="1">
        <f t="array" ref="AK882">_xlfn.IFS(S882&lt;4000,"Low",S882&lt;8000,"Medium",S882&gt;=8000,"High")</f>
        <v>Low</v>
      </c>
      <c r="AL882" t="str" cm="1">
        <f t="array" ref="AL882">_xlfn.IFS(AF882&lt;3,"new",AF882&lt;=7,"Experienced",AF882&gt;7,"High")</f>
        <v>new</v>
      </c>
      <c r="AM882" s="1"/>
    </row>
    <row r="883" spans="1:39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  <c r="AJ883" t="str">
        <f t="shared" si="13"/>
        <v>Low</v>
      </c>
      <c r="AK883" t="str" cm="1">
        <f t="array" ref="AK883">_xlfn.IFS(S883&lt;4000,"Low",S883&lt;8000,"Medium",S883&gt;=8000,"High")</f>
        <v>Medium</v>
      </c>
      <c r="AL883" t="str" cm="1">
        <f t="array" ref="AL883">_xlfn.IFS(AF883&lt;3,"new",AF883&lt;=7,"Experienced",AF883&gt;7,"High")</f>
        <v>High</v>
      </c>
      <c r="AM883" s="1"/>
    </row>
    <row r="884" spans="1:39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  <c r="AJ884" t="str">
        <f t="shared" si="13"/>
        <v>High</v>
      </c>
      <c r="AK884" t="str" cm="1">
        <f t="array" ref="AK884">_xlfn.IFS(S884&lt;4000,"Low",S884&lt;8000,"Medium",S884&gt;=8000,"High")</f>
        <v>High</v>
      </c>
      <c r="AL884" t="str" cm="1">
        <f t="array" ref="AL884">_xlfn.IFS(AF884&lt;3,"new",AF884&lt;=7,"Experienced",AF884&gt;7,"High")</f>
        <v>Experienced</v>
      </c>
      <c r="AM884" s="1"/>
    </row>
    <row r="885" spans="1:39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  <c r="AJ885" t="str">
        <f t="shared" si="13"/>
        <v>Low</v>
      </c>
      <c r="AK885" t="str" cm="1">
        <f t="array" ref="AK885">_xlfn.IFS(S885&lt;4000,"Low",S885&lt;8000,"Medium",S885&gt;=8000,"High")</f>
        <v>Low</v>
      </c>
      <c r="AL885" t="str" cm="1">
        <f t="array" ref="AL885">_xlfn.IFS(AF885&lt;3,"new",AF885&lt;=7,"Experienced",AF885&gt;7,"High")</f>
        <v>High</v>
      </c>
      <c r="AM885" s="1"/>
    </row>
    <row r="886" spans="1:39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  <c r="AJ886" t="str">
        <f t="shared" si="13"/>
        <v>High</v>
      </c>
      <c r="AK886" t="str" cm="1">
        <f t="array" ref="AK886">_xlfn.IFS(S886&lt;4000,"Low",S886&lt;8000,"Medium",S886&gt;=8000,"High")</f>
        <v>Medium</v>
      </c>
      <c r="AL886" t="str" cm="1">
        <f t="array" ref="AL886">_xlfn.IFS(AF886&lt;3,"new",AF886&lt;=7,"Experienced",AF886&gt;7,"High")</f>
        <v>Experienced</v>
      </c>
      <c r="AM886" s="1"/>
    </row>
    <row r="887" spans="1:39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  <c r="AJ887" t="str">
        <f t="shared" si="13"/>
        <v>Low</v>
      </c>
      <c r="AK887" t="str" cm="1">
        <f t="array" ref="AK887">_xlfn.IFS(S887&lt;4000,"Low",S887&lt;8000,"Medium",S887&gt;=8000,"High")</f>
        <v>Medium</v>
      </c>
      <c r="AL887" t="str" cm="1">
        <f t="array" ref="AL887">_xlfn.IFS(AF887&lt;3,"new",AF887&lt;=7,"Experienced",AF887&gt;7,"High")</f>
        <v>Experienced</v>
      </c>
      <c r="AM887" s="1"/>
    </row>
    <row r="888" spans="1:39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  <c r="AJ888" t="str">
        <f t="shared" si="13"/>
        <v>Low</v>
      </c>
      <c r="AK888" t="str" cm="1">
        <f t="array" ref="AK888">_xlfn.IFS(S888&lt;4000,"Low",S888&lt;8000,"Medium",S888&gt;=8000,"High")</f>
        <v>Low</v>
      </c>
      <c r="AL888" t="str" cm="1">
        <f t="array" ref="AL888">_xlfn.IFS(AF888&lt;3,"new",AF888&lt;=7,"Experienced",AF888&gt;7,"High")</f>
        <v>High</v>
      </c>
      <c r="AM888" s="1"/>
    </row>
    <row r="889" spans="1:39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  <c r="AJ889" t="str">
        <f t="shared" si="13"/>
        <v>High</v>
      </c>
      <c r="AK889" t="str" cm="1">
        <f t="array" ref="AK889">_xlfn.IFS(S889&lt;4000,"Low",S889&lt;8000,"Medium",S889&gt;=8000,"High")</f>
        <v>High</v>
      </c>
      <c r="AL889" t="str" cm="1">
        <f t="array" ref="AL889">_xlfn.IFS(AF889&lt;3,"new",AF889&lt;=7,"Experienced",AF889&gt;7,"High")</f>
        <v>new</v>
      </c>
      <c r="AM889" s="1"/>
    </row>
    <row r="890" spans="1:39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  <c r="AJ890" t="str">
        <f t="shared" si="13"/>
        <v>High</v>
      </c>
      <c r="AK890" t="str" cm="1">
        <f t="array" ref="AK890">_xlfn.IFS(S890&lt;4000,"Low",S890&lt;8000,"Medium",S890&gt;=8000,"High")</f>
        <v>High</v>
      </c>
      <c r="AL890" t="str" cm="1">
        <f t="array" ref="AL890">_xlfn.IFS(AF890&lt;3,"new",AF890&lt;=7,"Experienced",AF890&gt;7,"High")</f>
        <v>High</v>
      </c>
      <c r="AM890" s="1"/>
    </row>
    <row r="891" spans="1:39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  <c r="AJ891" t="str">
        <f t="shared" si="13"/>
        <v>Low</v>
      </c>
      <c r="AK891" t="str" cm="1">
        <f t="array" ref="AK891">_xlfn.IFS(S891&lt;4000,"Low",S891&lt;8000,"Medium",S891&gt;=8000,"High")</f>
        <v>Low</v>
      </c>
      <c r="AL891" t="str" cm="1">
        <f t="array" ref="AL891">_xlfn.IFS(AF891&lt;3,"new",AF891&lt;=7,"Experienced",AF891&gt;7,"High")</f>
        <v>High</v>
      </c>
      <c r="AM891" s="1"/>
    </row>
    <row r="892" spans="1:39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  <c r="AJ892" t="str">
        <f t="shared" si="13"/>
        <v>High</v>
      </c>
      <c r="AK892" t="str" cm="1">
        <f t="array" ref="AK892">_xlfn.IFS(S892&lt;4000,"Low",S892&lt;8000,"Medium",S892&gt;=8000,"High")</f>
        <v>High</v>
      </c>
      <c r="AL892" t="str" cm="1">
        <f t="array" ref="AL892">_xlfn.IFS(AF892&lt;3,"new",AF892&lt;=7,"Experienced",AF892&gt;7,"High")</f>
        <v>Experienced</v>
      </c>
      <c r="AM892" s="1"/>
    </row>
    <row r="893" spans="1:39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  <c r="AJ893" t="str">
        <f t="shared" si="13"/>
        <v>Low</v>
      </c>
      <c r="AK893" t="str" cm="1">
        <f t="array" ref="AK893">_xlfn.IFS(S893&lt;4000,"Low",S893&lt;8000,"Medium",S893&gt;=8000,"High")</f>
        <v>Low</v>
      </c>
      <c r="AL893" t="str" cm="1">
        <f t="array" ref="AL893">_xlfn.IFS(AF893&lt;3,"new",AF893&lt;=7,"Experienced",AF893&gt;7,"High")</f>
        <v>High</v>
      </c>
      <c r="AM893" s="1"/>
    </row>
    <row r="894" spans="1:39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  <c r="AJ894" t="str">
        <f t="shared" si="13"/>
        <v>Low</v>
      </c>
      <c r="AK894" t="str" cm="1">
        <f t="array" ref="AK894">_xlfn.IFS(S894&lt;4000,"Low",S894&lt;8000,"Medium",S894&gt;=8000,"High")</f>
        <v>Low</v>
      </c>
      <c r="AL894" t="str" cm="1">
        <f t="array" ref="AL894">_xlfn.IFS(AF894&lt;3,"new",AF894&lt;=7,"Experienced",AF894&gt;7,"High")</f>
        <v>new</v>
      </c>
      <c r="AM894" s="1"/>
    </row>
    <row r="895" spans="1:39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  <c r="AJ895" t="str">
        <f t="shared" si="13"/>
        <v>Low</v>
      </c>
      <c r="AK895" t="str" cm="1">
        <f t="array" ref="AK895">_xlfn.IFS(S895&lt;4000,"Low",S895&lt;8000,"Medium",S895&gt;=8000,"High")</f>
        <v>Low</v>
      </c>
      <c r="AL895" t="str" cm="1">
        <f t="array" ref="AL895">_xlfn.IFS(AF895&lt;3,"new",AF895&lt;=7,"Experienced",AF895&gt;7,"High")</f>
        <v>Experienced</v>
      </c>
      <c r="AM895" s="1"/>
    </row>
    <row r="896" spans="1:39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  <c r="AJ896" t="str">
        <f t="shared" si="13"/>
        <v>High</v>
      </c>
      <c r="AK896" t="str" cm="1">
        <f t="array" ref="AK896">_xlfn.IFS(S896&lt;4000,"Low",S896&lt;8000,"Medium",S896&gt;=8000,"High")</f>
        <v>High</v>
      </c>
      <c r="AL896" t="str" cm="1">
        <f t="array" ref="AL896">_xlfn.IFS(AF896&lt;3,"new",AF896&lt;=7,"Experienced",AF896&gt;7,"High")</f>
        <v>High</v>
      </c>
      <c r="AM896" s="1"/>
    </row>
    <row r="897" spans="1:39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  <c r="AJ897" t="str">
        <f t="shared" si="13"/>
        <v>High</v>
      </c>
      <c r="AK897" t="str" cm="1">
        <f t="array" ref="AK897">_xlfn.IFS(S897&lt;4000,"Low",S897&lt;8000,"Medium",S897&gt;=8000,"High")</f>
        <v>Medium</v>
      </c>
      <c r="AL897" t="str" cm="1">
        <f t="array" ref="AL897">_xlfn.IFS(AF897&lt;3,"new",AF897&lt;=7,"Experienced",AF897&gt;7,"High")</f>
        <v>Experienced</v>
      </c>
      <c r="AM897" s="1"/>
    </row>
    <row r="898" spans="1:39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  <c r="AJ898" t="str">
        <f t="shared" ref="AJ898:AJ961" si="14">IF(S898&gt;=6500,"High","Low")</f>
        <v>High</v>
      </c>
      <c r="AK898" t="str" cm="1">
        <f t="array" ref="AK898">_xlfn.IFS(S898&lt;4000,"Low",S898&lt;8000,"Medium",S898&gt;=8000,"High")</f>
        <v>Medium</v>
      </c>
      <c r="AL898" t="str" cm="1">
        <f t="array" ref="AL898">_xlfn.IFS(AF898&lt;3,"new",AF898&lt;=7,"Experienced",AF898&gt;7,"High")</f>
        <v>High</v>
      </c>
      <c r="AM898" s="1"/>
    </row>
    <row r="899" spans="1:39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  <c r="AJ899" t="str">
        <f t="shared" si="14"/>
        <v>Low</v>
      </c>
      <c r="AK899" t="str" cm="1">
        <f t="array" ref="AK899">_xlfn.IFS(S899&lt;4000,"Low",S899&lt;8000,"Medium",S899&gt;=8000,"High")</f>
        <v>Medium</v>
      </c>
      <c r="AL899" t="str" cm="1">
        <f t="array" ref="AL899">_xlfn.IFS(AF899&lt;3,"new",AF899&lt;=7,"Experienced",AF899&gt;7,"High")</f>
        <v>Experienced</v>
      </c>
      <c r="AM899" s="1"/>
    </row>
    <row r="900" spans="1:39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  <c r="AJ900" t="str">
        <f t="shared" si="14"/>
        <v>High</v>
      </c>
      <c r="AK900" t="str" cm="1">
        <f t="array" ref="AK900">_xlfn.IFS(S900&lt;4000,"Low",S900&lt;8000,"Medium",S900&gt;=8000,"High")</f>
        <v>High</v>
      </c>
      <c r="AL900" t="str" cm="1">
        <f t="array" ref="AL900">_xlfn.IFS(AF900&lt;3,"new",AF900&lt;=7,"Experienced",AF900&gt;7,"High")</f>
        <v>High</v>
      </c>
      <c r="AM900" s="1"/>
    </row>
    <row r="901" spans="1:39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  <c r="AJ901" t="str">
        <f t="shared" si="14"/>
        <v>High</v>
      </c>
      <c r="AK901" t="str" cm="1">
        <f t="array" ref="AK901">_xlfn.IFS(S901&lt;4000,"Low",S901&lt;8000,"Medium",S901&gt;=8000,"High")</f>
        <v>High</v>
      </c>
      <c r="AL901" t="str" cm="1">
        <f t="array" ref="AL901">_xlfn.IFS(AF901&lt;3,"new",AF901&lt;=7,"Experienced",AF901&gt;7,"High")</f>
        <v>new</v>
      </c>
      <c r="AM901" s="1"/>
    </row>
    <row r="902" spans="1:39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  <c r="AJ902" t="str">
        <f t="shared" si="14"/>
        <v>Low</v>
      </c>
      <c r="AK902" t="str" cm="1">
        <f t="array" ref="AK902">_xlfn.IFS(S902&lt;4000,"Low",S902&lt;8000,"Medium",S902&gt;=8000,"High")</f>
        <v>Low</v>
      </c>
      <c r="AL902" t="str" cm="1">
        <f t="array" ref="AL902">_xlfn.IFS(AF902&lt;3,"new",AF902&lt;=7,"Experienced",AF902&gt;7,"High")</f>
        <v>High</v>
      </c>
      <c r="AM902" s="1"/>
    </row>
    <row r="903" spans="1:39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  <c r="AJ903" t="str">
        <f t="shared" si="14"/>
        <v>Low</v>
      </c>
      <c r="AK903" t="str" cm="1">
        <f t="array" ref="AK903">_xlfn.IFS(S903&lt;4000,"Low",S903&lt;8000,"Medium",S903&gt;=8000,"High")</f>
        <v>Low</v>
      </c>
      <c r="AL903" t="str" cm="1">
        <f t="array" ref="AL903">_xlfn.IFS(AF903&lt;3,"new",AF903&lt;=7,"Experienced",AF903&gt;7,"High")</f>
        <v>new</v>
      </c>
      <c r="AM903" s="1"/>
    </row>
    <row r="904" spans="1:39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  <c r="AJ904" t="str">
        <f t="shared" si="14"/>
        <v>Low</v>
      </c>
      <c r="AK904" t="str" cm="1">
        <f t="array" ref="AK904">_xlfn.IFS(S904&lt;4000,"Low",S904&lt;8000,"Medium",S904&gt;=8000,"High")</f>
        <v>Low</v>
      </c>
      <c r="AL904" t="str" cm="1">
        <f t="array" ref="AL904">_xlfn.IFS(AF904&lt;3,"new",AF904&lt;=7,"Experienced",AF904&gt;7,"High")</f>
        <v>Experienced</v>
      </c>
      <c r="AM904" s="1"/>
    </row>
    <row r="905" spans="1:39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  <c r="AJ905" t="str">
        <f t="shared" si="14"/>
        <v>High</v>
      </c>
      <c r="AK905" t="str" cm="1">
        <f t="array" ref="AK905">_xlfn.IFS(S905&lt;4000,"Low",S905&lt;8000,"Medium",S905&gt;=8000,"High")</f>
        <v>Medium</v>
      </c>
      <c r="AL905" t="str" cm="1">
        <f t="array" ref="AL905">_xlfn.IFS(AF905&lt;3,"new",AF905&lt;=7,"Experienced",AF905&gt;7,"High")</f>
        <v>Experienced</v>
      </c>
      <c r="AM905" s="1"/>
    </row>
    <row r="906" spans="1:39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  <c r="AJ906" t="str">
        <f t="shared" si="14"/>
        <v>High</v>
      </c>
      <c r="AK906" t="str" cm="1">
        <f t="array" ref="AK906">_xlfn.IFS(S906&lt;4000,"Low",S906&lt;8000,"Medium",S906&gt;=8000,"High")</f>
        <v>High</v>
      </c>
      <c r="AL906" t="str" cm="1">
        <f t="array" ref="AL906">_xlfn.IFS(AF906&lt;3,"new",AF906&lt;=7,"Experienced",AF906&gt;7,"High")</f>
        <v>new</v>
      </c>
      <c r="AM906" s="1"/>
    </row>
    <row r="907" spans="1:39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  <c r="AJ907" t="str">
        <f t="shared" si="14"/>
        <v>High</v>
      </c>
      <c r="AK907" t="str" cm="1">
        <f t="array" ref="AK907">_xlfn.IFS(S907&lt;4000,"Low",S907&lt;8000,"Medium",S907&gt;=8000,"High")</f>
        <v>High</v>
      </c>
      <c r="AL907" t="str" cm="1">
        <f t="array" ref="AL907">_xlfn.IFS(AF907&lt;3,"new",AF907&lt;=7,"Experienced",AF907&gt;7,"High")</f>
        <v>Experienced</v>
      </c>
      <c r="AM907" s="1"/>
    </row>
    <row r="908" spans="1:39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  <c r="AJ908" t="str">
        <f t="shared" si="14"/>
        <v>Low</v>
      </c>
      <c r="AK908" t="str" cm="1">
        <f t="array" ref="AK908">_xlfn.IFS(S908&lt;4000,"Low",S908&lt;8000,"Medium",S908&gt;=8000,"High")</f>
        <v>Low</v>
      </c>
      <c r="AL908" t="str" cm="1">
        <f t="array" ref="AL908">_xlfn.IFS(AF908&lt;3,"new",AF908&lt;=7,"Experienced",AF908&gt;7,"High")</f>
        <v>new</v>
      </c>
      <c r="AM908" s="1"/>
    </row>
    <row r="909" spans="1:39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  <c r="AJ909" t="str">
        <f t="shared" si="14"/>
        <v>High</v>
      </c>
      <c r="AK909" t="str" cm="1">
        <f t="array" ref="AK909">_xlfn.IFS(S909&lt;4000,"Low",S909&lt;8000,"Medium",S909&gt;=8000,"High")</f>
        <v>High</v>
      </c>
      <c r="AL909" t="str" cm="1">
        <f t="array" ref="AL909">_xlfn.IFS(AF909&lt;3,"new",AF909&lt;=7,"Experienced",AF909&gt;7,"High")</f>
        <v>High</v>
      </c>
      <c r="AM909" s="1"/>
    </row>
    <row r="910" spans="1:39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  <c r="AJ910" t="str">
        <f t="shared" si="14"/>
        <v>High</v>
      </c>
      <c r="AK910" t="str" cm="1">
        <f t="array" ref="AK910">_xlfn.IFS(S910&lt;4000,"Low",S910&lt;8000,"Medium",S910&gt;=8000,"High")</f>
        <v>High</v>
      </c>
      <c r="AL910" t="str" cm="1">
        <f t="array" ref="AL910">_xlfn.IFS(AF910&lt;3,"new",AF910&lt;=7,"Experienced",AF910&gt;7,"High")</f>
        <v>High</v>
      </c>
      <c r="AM910" s="1"/>
    </row>
    <row r="911" spans="1:39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  <c r="AJ911" t="str">
        <f t="shared" si="14"/>
        <v>Low</v>
      </c>
      <c r="AK911" t="str" cm="1">
        <f t="array" ref="AK911">_xlfn.IFS(S911&lt;4000,"Low",S911&lt;8000,"Medium",S911&gt;=8000,"High")</f>
        <v>Low</v>
      </c>
      <c r="AL911" t="str" cm="1">
        <f t="array" ref="AL911">_xlfn.IFS(AF911&lt;3,"new",AF911&lt;=7,"Experienced",AF911&gt;7,"High")</f>
        <v>new</v>
      </c>
      <c r="AM911" s="1"/>
    </row>
    <row r="912" spans="1:39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  <c r="AJ912" t="str">
        <f t="shared" si="14"/>
        <v>Low</v>
      </c>
      <c r="AK912" t="str" cm="1">
        <f t="array" ref="AK912">_xlfn.IFS(S912&lt;4000,"Low",S912&lt;8000,"Medium",S912&gt;=8000,"High")</f>
        <v>Low</v>
      </c>
      <c r="AL912" t="str" cm="1">
        <f t="array" ref="AL912">_xlfn.IFS(AF912&lt;3,"new",AF912&lt;=7,"Experienced",AF912&gt;7,"High")</f>
        <v>new</v>
      </c>
      <c r="AM912" s="1"/>
    </row>
    <row r="913" spans="1:39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  <c r="AJ913" t="str">
        <f t="shared" si="14"/>
        <v>Low</v>
      </c>
      <c r="AK913" t="str" cm="1">
        <f t="array" ref="AK913">_xlfn.IFS(S913&lt;4000,"Low",S913&lt;8000,"Medium",S913&gt;=8000,"High")</f>
        <v>Low</v>
      </c>
      <c r="AL913" t="str" cm="1">
        <f t="array" ref="AL913">_xlfn.IFS(AF913&lt;3,"new",AF913&lt;=7,"Experienced",AF913&gt;7,"High")</f>
        <v>new</v>
      </c>
      <c r="AM913" s="1"/>
    </row>
    <row r="914" spans="1:39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  <c r="AJ914" t="str">
        <f t="shared" si="14"/>
        <v>Low</v>
      </c>
      <c r="AK914" t="str" cm="1">
        <f t="array" ref="AK914">_xlfn.IFS(S914&lt;4000,"Low",S914&lt;8000,"Medium",S914&gt;=8000,"High")</f>
        <v>Low</v>
      </c>
      <c r="AL914" t="str" cm="1">
        <f t="array" ref="AL914">_xlfn.IFS(AF914&lt;3,"new",AF914&lt;=7,"Experienced",AF914&gt;7,"High")</f>
        <v>High</v>
      </c>
      <c r="AM914" s="1"/>
    </row>
    <row r="915" spans="1:39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  <c r="AJ915" t="str">
        <f t="shared" si="14"/>
        <v>High</v>
      </c>
      <c r="AK915" t="str" cm="1">
        <f t="array" ref="AK915">_xlfn.IFS(S915&lt;4000,"Low",S915&lt;8000,"Medium",S915&gt;=8000,"High")</f>
        <v>High</v>
      </c>
      <c r="AL915" t="str" cm="1">
        <f t="array" ref="AL915">_xlfn.IFS(AF915&lt;3,"new",AF915&lt;=7,"Experienced",AF915&gt;7,"High")</f>
        <v>High</v>
      </c>
      <c r="AM915" s="1"/>
    </row>
    <row r="916" spans="1:39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  <c r="AJ916" t="str">
        <f t="shared" si="14"/>
        <v>High</v>
      </c>
      <c r="AK916" t="str" cm="1">
        <f t="array" ref="AK916">_xlfn.IFS(S916&lt;4000,"Low",S916&lt;8000,"Medium",S916&gt;=8000,"High")</f>
        <v>High</v>
      </c>
      <c r="AL916" t="str" cm="1">
        <f t="array" ref="AL916">_xlfn.IFS(AF916&lt;3,"new",AF916&lt;=7,"Experienced",AF916&gt;7,"High")</f>
        <v>High</v>
      </c>
      <c r="AM916" s="1"/>
    </row>
    <row r="917" spans="1:39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  <c r="AJ917" t="str">
        <f t="shared" si="14"/>
        <v>Low</v>
      </c>
      <c r="AK917" t="str" cm="1">
        <f t="array" ref="AK917">_xlfn.IFS(S917&lt;4000,"Low",S917&lt;8000,"Medium",S917&gt;=8000,"High")</f>
        <v>Low</v>
      </c>
      <c r="AL917" t="str" cm="1">
        <f t="array" ref="AL917">_xlfn.IFS(AF917&lt;3,"new",AF917&lt;=7,"Experienced",AF917&gt;7,"High")</f>
        <v>new</v>
      </c>
      <c r="AM917" s="1"/>
    </row>
    <row r="918" spans="1:39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  <c r="AJ918" t="str">
        <f t="shared" si="14"/>
        <v>High</v>
      </c>
      <c r="AK918" t="str" cm="1">
        <f t="array" ref="AK918">_xlfn.IFS(S918&lt;4000,"Low",S918&lt;8000,"Medium",S918&gt;=8000,"High")</f>
        <v>High</v>
      </c>
      <c r="AL918" t="str" cm="1">
        <f t="array" ref="AL918">_xlfn.IFS(AF918&lt;3,"new",AF918&lt;=7,"Experienced",AF918&gt;7,"High")</f>
        <v>High</v>
      </c>
      <c r="AM918" s="1"/>
    </row>
    <row r="919" spans="1:39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  <c r="AJ919" t="str">
        <f t="shared" si="14"/>
        <v>Low</v>
      </c>
      <c r="AK919" t="str" cm="1">
        <f t="array" ref="AK919">_xlfn.IFS(S919&lt;4000,"Low",S919&lt;8000,"Medium",S919&gt;=8000,"High")</f>
        <v>Medium</v>
      </c>
      <c r="AL919" t="str" cm="1">
        <f t="array" ref="AL919">_xlfn.IFS(AF919&lt;3,"new",AF919&lt;=7,"Experienced",AF919&gt;7,"High")</f>
        <v>Experienced</v>
      </c>
      <c r="AM919" s="1"/>
    </row>
    <row r="920" spans="1:39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  <c r="AJ920" t="str">
        <f t="shared" si="14"/>
        <v>High</v>
      </c>
      <c r="AK920" t="str" cm="1">
        <f t="array" ref="AK920">_xlfn.IFS(S920&lt;4000,"Low",S920&lt;8000,"Medium",S920&gt;=8000,"High")</f>
        <v>High</v>
      </c>
      <c r="AL920" t="str" cm="1">
        <f t="array" ref="AL920">_xlfn.IFS(AF920&lt;3,"new",AF920&lt;=7,"Experienced",AF920&gt;7,"High")</f>
        <v>High</v>
      </c>
      <c r="AM920" s="1"/>
    </row>
    <row r="921" spans="1:39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  <c r="AJ921" t="str">
        <f t="shared" si="14"/>
        <v>High</v>
      </c>
      <c r="AK921" t="str" cm="1">
        <f t="array" ref="AK921">_xlfn.IFS(S921&lt;4000,"Low",S921&lt;8000,"Medium",S921&gt;=8000,"High")</f>
        <v>High</v>
      </c>
      <c r="AL921" t="str" cm="1">
        <f t="array" ref="AL921">_xlfn.IFS(AF921&lt;3,"new",AF921&lt;=7,"Experienced",AF921&gt;7,"High")</f>
        <v>High</v>
      </c>
      <c r="AM921" s="1"/>
    </row>
    <row r="922" spans="1:39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  <c r="AJ922" t="str">
        <f t="shared" si="14"/>
        <v>Low</v>
      </c>
      <c r="AK922" t="str" cm="1">
        <f t="array" ref="AK922">_xlfn.IFS(S922&lt;4000,"Low",S922&lt;8000,"Medium",S922&gt;=8000,"High")</f>
        <v>Medium</v>
      </c>
      <c r="AL922" t="str" cm="1">
        <f t="array" ref="AL922">_xlfn.IFS(AF922&lt;3,"new",AF922&lt;=7,"Experienced",AF922&gt;7,"High")</f>
        <v>High</v>
      </c>
      <c r="AM922" s="1"/>
    </row>
    <row r="923" spans="1:39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  <c r="AJ923" t="str">
        <f t="shared" si="14"/>
        <v>Low</v>
      </c>
      <c r="AK923" t="str" cm="1">
        <f t="array" ref="AK923">_xlfn.IFS(S923&lt;4000,"Low",S923&lt;8000,"Medium",S923&gt;=8000,"High")</f>
        <v>Low</v>
      </c>
      <c r="AL923" t="str" cm="1">
        <f t="array" ref="AL923">_xlfn.IFS(AF923&lt;3,"new",AF923&lt;=7,"Experienced",AF923&gt;7,"High")</f>
        <v>Experienced</v>
      </c>
      <c r="AM923" s="1"/>
    </row>
    <row r="924" spans="1:39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  <c r="AJ924" t="str">
        <f t="shared" si="14"/>
        <v>High</v>
      </c>
      <c r="AK924" t="str" cm="1">
        <f t="array" ref="AK924">_xlfn.IFS(S924&lt;4000,"Low",S924&lt;8000,"Medium",S924&gt;=8000,"High")</f>
        <v>High</v>
      </c>
      <c r="AL924" t="str" cm="1">
        <f t="array" ref="AL924">_xlfn.IFS(AF924&lt;3,"new",AF924&lt;=7,"Experienced",AF924&gt;7,"High")</f>
        <v>High</v>
      </c>
      <c r="AM924" s="1"/>
    </row>
    <row r="925" spans="1:39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  <c r="AJ925" t="str">
        <f t="shared" si="14"/>
        <v>Low</v>
      </c>
      <c r="AK925" t="str" cm="1">
        <f t="array" ref="AK925">_xlfn.IFS(S925&lt;4000,"Low",S925&lt;8000,"Medium",S925&gt;=8000,"High")</f>
        <v>Medium</v>
      </c>
      <c r="AL925" t="str" cm="1">
        <f t="array" ref="AL925">_xlfn.IFS(AF925&lt;3,"new",AF925&lt;=7,"Experienced",AF925&gt;7,"High")</f>
        <v>High</v>
      </c>
      <c r="AM925" s="1"/>
    </row>
    <row r="926" spans="1:39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  <c r="AJ926" t="str">
        <f t="shared" si="14"/>
        <v>Low</v>
      </c>
      <c r="AK926" t="str" cm="1">
        <f t="array" ref="AK926">_xlfn.IFS(S926&lt;4000,"Low",S926&lt;8000,"Medium",S926&gt;=8000,"High")</f>
        <v>Low</v>
      </c>
      <c r="AL926" t="str" cm="1">
        <f t="array" ref="AL926">_xlfn.IFS(AF926&lt;3,"new",AF926&lt;=7,"Experienced",AF926&gt;7,"High")</f>
        <v>Experienced</v>
      </c>
      <c r="AM926" s="1"/>
    </row>
    <row r="927" spans="1:39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  <c r="AJ927" t="str">
        <f t="shared" si="14"/>
        <v>Low</v>
      </c>
      <c r="AK927" t="str" cm="1">
        <f t="array" ref="AK927">_xlfn.IFS(S927&lt;4000,"Low",S927&lt;8000,"Medium",S927&gt;=8000,"High")</f>
        <v>Low</v>
      </c>
      <c r="AL927" t="str" cm="1">
        <f t="array" ref="AL927">_xlfn.IFS(AF927&lt;3,"new",AF927&lt;=7,"Experienced",AF927&gt;7,"High")</f>
        <v>new</v>
      </c>
      <c r="AM927" s="1"/>
    </row>
    <row r="928" spans="1:39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  <c r="AJ928" t="str">
        <f t="shared" si="14"/>
        <v>High</v>
      </c>
      <c r="AK928" t="str" cm="1">
        <f t="array" ref="AK928">_xlfn.IFS(S928&lt;4000,"Low",S928&lt;8000,"Medium",S928&gt;=8000,"High")</f>
        <v>High</v>
      </c>
      <c r="AL928" t="str" cm="1">
        <f t="array" ref="AL928">_xlfn.IFS(AF928&lt;3,"new",AF928&lt;=7,"Experienced",AF928&gt;7,"High")</f>
        <v>High</v>
      </c>
      <c r="AM928" s="1"/>
    </row>
    <row r="929" spans="1:39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  <c r="AJ929" t="str">
        <f t="shared" si="14"/>
        <v>Low</v>
      </c>
      <c r="AK929" t="str" cm="1">
        <f t="array" ref="AK929">_xlfn.IFS(S929&lt;4000,"Low",S929&lt;8000,"Medium",S929&gt;=8000,"High")</f>
        <v>Medium</v>
      </c>
      <c r="AL929" t="str" cm="1">
        <f t="array" ref="AL929">_xlfn.IFS(AF929&lt;3,"new",AF929&lt;=7,"Experienced",AF929&gt;7,"High")</f>
        <v>High</v>
      </c>
      <c r="AM929" s="1"/>
    </row>
    <row r="930" spans="1:39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  <c r="AJ930" t="str">
        <f t="shared" si="14"/>
        <v>High</v>
      </c>
      <c r="AK930" t="str" cm="1">
        <f t="array" ref="AK930">_xlfn.IFS(S930&lt;4000,"Low",S930&lt;8000,"Medium",S930&gt;=8000,"High")</f>
        <v>Medium</v>
      </c>
      <c r="AL930" t="str" cm="1">
        <f t="array" ref="AL930">_xlfn.IFS(AF930&lt;3,"new",AF930&lt;=7,"Experienced",AF930&gt;7,"High")</f>
        <v>High</v>
      </c>
      <c r="AM930" s="1"/>
    </row>
    <row r="931" spans="1:39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  <c r="AJ931" t="str">
        <f t="shared" si="14"/>
        <v>Low</v>
      </c>
      <c r="AK931" t="str" cm="1">
        <f t="array" ref="AK931">_xlfn.IFS(S931&lt;4000,"Low",S931&lt;8000,"Medium",S931&gt;=8000,"High")</f>
        <v>Low</v>
      </c>
      <c r="AL931" t="str" cm="1">
        <f t="array" ref="AL931">_xlfn.IFS(AF931&lt;3,"new",AF931&lt;=7,"Experienced",AF931&gt;7,"High")</f>
        <v>new</v>
      </c>
      <c r="AM931" s="1"/>
    </row>
    <row r="932" spans="1:39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  <c r="AJ932" t="str">
        <f t="shared" si="14"/>
        <v>Low</v>
      </c>
      <c r="AK932" t="str" cm="1">
        <f t="array" ref="AK932">_xlfn.IFS(S932&lt;4000,"Low",S932&lt;8000,"Medium",S932&gt;=8000,"High")</f>
        <v>Low</v>
      </c>
      <c r="AL932" t="str" cm="1">
        <f t="array" ref="AL932">_xlfn.IFS(AF932&lt;3,"new",AF932&lt;=7,"Experienced",AF932&gt;7,"High")</f>
        <v>Experienced</v>
      </c>
      <c r="AM932" s="1"/>
    </row>
    <row r="933" spans="1:39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  <c r="AJ933" t="str">
        <f t="shared" si="14"/>
        <v>Low</v>
      </c>
      <c r="AK933" t="str" cm="1">
        <f t="array" ref="AK933">_xlfn.IFS(S933&lt;4000,"Low",S933&lt;8000,"Medium",S933&gt;=8000,"High")</f>
        <v>Medium</v>
      </c>
      <c r="AL933" t="str" cm="1">
        <f t="array" ref="AL933">_xlfn.IFS(AF933&lt;3,"new",AF933&lt;=7,"Experienced",AF933&gt;7,"High")</f>
        <v>High</v>
      </c>
      <c r="AM933" s="1"/>
    </row>
    <row r="934" spans="1:39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  <c r="AJ934" t="str">
        <f t="shared" si="14"/>
        <v>Low</v>
      </c>
      <c r="AK934" t="str" cm="1">
        <f t="array" ref="AK934">_xlfn.IFS(S934&lt;4000,"Low",S934&lt;8000,"Medium",S934&gt;=8000,"High")</f>
        <v>Low</v>
      </c>
      <c r="AL934" t="str" cm="1">
        <f t="array" ref="AL934">_xlfn.IFS(AF934&lt;3,"new",AF934&lt;=7,"Experienced",AF934&gt;7,"High")</f>
        <v>Experienced</v>
      </c>
      <c r="AM934" s="1"/>
    </row>
    <row r="935" spans="1:39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  <c r="AJ935" t="str">
        <f t="shared" si="14"/>
        <v>Low</v>
      </c>
      <c r="AK935" t="str" cm="1">
        <f t="array" ref="AK935">_xlfn.IFS(S935&lt;4000,"Low",S935&lt;8000,"Medium",S935&gt;=8000,"High")</f>
        <v>Low</v>
      </c>
      <c r="AL935" t="str" cm="1">
        <f t="array" ref="AL935">_xlfn.IFS(AF935&lt;3,"new",AF935&lt;=7,"Experienced",AF935&gt;7,"High")</f>
        <v>Experienced</v>
      </c>
      <c r="AM935" s="1"/>
    </row>
    <row r="936" spans="1:39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  <c r="AJ936" t="str">
        <f t="shared" si="14"/>
        <v>Low</v>
      </c>
      <c r="AK936" t="str" cm="1">
        <f t="array" ref="AK936">_xlfn.IFS(S936&lt;4000,"Low",S936&lt;8000,"Medium",S936&gt;=8000,"High")</f>
        <v>Low</v>
      </c>
      <c r="AL936" t="str" cm="1">
        <f t="array" ref="AL936">_xlfn.IFS(AF936&lt;3,"new",AF936&lt;=7,"Experienced",AF936&gt;7,"High")</f>
        <v>new</v>
      </c>
      <c r="AM936" s="1"/>
    </row>
    <row r="937" spans="1:39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  <c r="AJ937" t="str">
        <f t="shared" si="14"/>
        <v>Low</v>
      </c>
      <c r="AK937" t="str" cm="1">
        <f t="array" ref="AK937">_xlfn.IFS(S937&lt;4000,"Low",S937&lt;8000,"Medium",S937&gt;=8000,"High")</f>
        <v>Medium</v>
      </c>
      <c r="AL937" t="str" cm="1">
        <f t="array" ref="AL937">_xlfn.IFS(AF937&lt;3,"new",AF937&lt;=7,"Experienced",AF937&gt;7,"High")</f>
        <v>High</v>
      </c>
      <c r="AM937" s="1"/>
    </row>
    <row r="938" spans="1:39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  <c r="AJ938" t="str">
        <f t="shared" si="14"/>
        <v>High</v>
      </c>
      <c r="AK938" t="str" cm="1">
        <f t="array" ref="AK938">_xlfn.IFS(S938&lt;4000,"Low",S938&lt;8000,"Medium",S938&gt;=8000,"High")</f>
        <v>High</v>
      </c>
      <c r="AL938" t="str" cm="1">
        <f t="array" ref="AL938">_xlfn.IFS(AF938&lt;3,"new",AF938&lt;=7,"Experienced",AF938&gt;7,"High")</f>
        <v>new</v>
      </c>
      <c r="AM938" s="1"/>
    </row>
    <row r="939" spans="1:39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  <c r="AJ939" t="str">
        <f t="shared" si="14"/>
        <v>High</v>
      </c>
      <c r="AK939" t="str" cm="1">
        <f t="array" ref="AK939">_xlfn.IFS(S939&lt;4000,"Low",S939&lt;8000,"Medium",S939&gt;=8000,"High")</f>
        <v>High</v>
      </c>
      <c r="AL939" t="str" cm="1">
        <f t="array" ref="AL939">_xlfn.IFS(AF939&lt;3,"new",AF939&lt;=7,"Experienced",AF939&gt;7,"High")</f>
        <v>High</v>
      </c>
      <c r="AM939" s="1"/>
    </row>
    <row r="940" spans="1:39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  <c r="AJ940" t="str">
        <f t="shared" si="14"/>
        <v>Low</v>
      </c>
      <c r="AK940" t="str" cm="1">
        <f t="array" ref="AK940">_xlfn.IFS(S940&lt;4000,"Low",S940&lt;8000,"Medium",S940&gt;=8000,"High")</f>
        <v>Low</v>
      </c>
      <c r="AL940" t="str" cm="1">
        <f t="array" ref="AL940">_xlfn.IFS(AF940&lt;3,"new",AF940&lt;=7,"Experienced",AF940&gt;7,"High")</f>
        <v>new</v>
      </c>
      <c r="AM940" s="1"/>
    </row>
    <row r="941" spans="1:39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  <c r="AJ941" t="str">
        <f t="shared" si="14"/>
        <v>Low</v>
      </c>
      <c r="AK941" t="str" cm="1">
        <f t="array" ref="AK941">_xlfn.IFS(S941&lt;4000,"Low",S941&lt;8000,"Medium",S941&gt;=8000,"High")</f>
        <v>Medium</v>
      </c>
      <c r="AL941" t="str" cm="1">
        <f t="array" ref="AL941">_xlfn.IFS(AF941&lt;3,"new",AF941&lt;=7,"Experienced",AF941&gt;7,"High")</f>
        <v>High</v>
      </c>
      <c r="AM941" s="1"/>
    </row>
    <row r="942" spans="1:39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  <c r="AJ942" t="str">
        <f t="shared" si="14"/>
        <v>Low</v>
      </c>
      <c r="AK942" t="str" cm="1">
        <f t="array" ref="AK942">_xlfn.IFS(S942&lt;4000,"Low",S942&lt;8000,"Medium",S942&gt;=8000,"High")</f>
        <v>Low</v>
      </c>
      <c r="AL942" t="str" cm="1">
        <f t="array" ref="AL942">_xlfn.IFS(AF942&lt;3,"new",AF942&lt;=7,"Experienced",AF942&gt;7,"High")</f>
        <v>Experienced</v>
      </c>
      <c r="AM942" s="1"/>
    </row>
    <row r="943" spans="1:39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  <c r="AJ943" t="str">
        <f t="shared" si="14"/>
        <v>Low</v>
      </c>
      <c r="AK943" t="str" cm="1">
        <f t="array" ref="AK943">_xlfn.IFS(S943&lt;4000,"Low",S943&lt;8000,"Medium",S943&gt;=8000,"High")</f>
        <v>Medium</v>
      </c>
      <c r="AL943" t="str" cm="1">
        <f t="array" ref="AL943">_xlfn.IFS(AF943&lt;3,"new",AF943&lt;=7,"Experienced",AF943&gt;7,"High")</f>
        <v>High</v>
      </c>
      <c r="AM943" s="1"/>
    </row>
    <row r="944" spans="1:39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  <c r="AJ944" t="str">
        <f t="shared" si="14"/>
        <v>High</v>
      </c>
      <c r="AK944" t="str" cm="1">
        <f t="array" ref="AK944">_xlfn.IFS(S944&lt;4000,"Low",S944&lt;8000,"Medium",S944&gt;=8000,"High")</f>
        <v>Medium</v>
      </c>
      <c r="AL944" t="str" cm="1">
        <f t="array" ref="AL944">_xlfn.IFS(AF944&lt;3,"new",AF944&lt;=7,"Experienced",AF944&gt;7,"High")</f>
        <v>Experienced</v>
      </c>
      <c r="AM944" s="1"/>
    </row>
    <row r="945" spans="1:39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  <c r="AJ945" t="str">
        <f t="shared" si="14"/>
        <v>Low</v>
      </c>
      <c r="AK945" t="str" cm="1">
        <f t="array" ref="AK945">_xlfn.IFS(S945&lt;4000,"Low",S945&lt;8000,"Medium",S945&gt;=8000,"High")</f>
        <v>Low</v>
      </c>
      <c r="AL945" t="str" cm="1">
        <f t="array" ref="AL945">_xlfn.IFS(AF945&lt;3,"new",AF945&lt;=7,"Experienced",AF945&gt;7,"High")</f>
        <v>Experienced</v>
      </c>
      <c r="AM945" s="1"/>
    </row>
    <row r="946" spans="1:39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  <c r="AJ946" t="str">
        <f t="shared" si="14"/>
        <v>High</v>
      </c>
      <c r="AK946" t="str" cm="1">
        <f t="array" ref="AK946">_xlfn.IFS(S946&lt;4000,"Low",S946&lt;8000,"Medium",S946&gt;=8000,"High")</f>
        <v>Medium</v>
      </c>
      <c r="AL946" t="str" cm="1">
        <f t="array" ref="AL946">_xlfn.IFS(AF946&lt;3,"new",AF946&lt;=7,"Experienced",AF946&gt;7,"High")</f>
        <v>High</v>
      </c>
      <c r="AM946" s="1"/>
    </row>
    <row r="947" spans="1:39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  <c r="AJ947" t="str">
        <f t="shared" si="14"/>
        <v>High</v>
      </c>
      <c r="AK947" t="str" cm="1">
        <f t="array" ref="AK947">_xlfn.IFS(S947&lt;4000,"Low",S947&lt;8000,"Medium",S947&gt;=8000,"High")</f>
        <v>High</v>
      </c>
      <c r="AL947" t="str" cm="1">
        <f t="array" ref="AL947">_xlfn.IFS(AF947&lt;3,"new",AF947&lt;=7,"Experienced",AF947&gt;7,"High")</f>
        <v>Experienced</v>
      </c>
      <c r="AM947" s="1"/>
    </row>
    <row r="948" spans="1:39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  <c r="AJ948" t="str">
        <f t="shared" si="14"/>
        <v>High</v>
      </c>
      <c r="AK948" t="str" cm="1">
        <f t="array" ref="AK948">_xlfn.IFS(S948&lt;4000,"Low",S948&lt;8000,"Medium",S948&gt;=8000,"High")</f>
        <v>High</v>
      </c>
      <c r="AL948" t="str" cm="1">
        <f t="array" ref="AL948">_xlfn.IFS(AF948&lt;3,"new",AF948&lt;=7,"Experienced",AF948&gt;7,"High")</f>
        <v>Experienced</v>
      </c>
      <c r="AM948" s="1"/>
    </row>
    <row r="949" spans="1:39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  <c r="AJ949" t="str">
        <f t="shared" si="14"/>
        <v>High</v>
      </c>
      <c r="AK949" t="str" cm="1">
        <f t="array" ref="AK949">_xlfn.IFS(S949&lt;4000,"Low",S949&lt;8000,"Medium",S949&gt;=8000,"High")</f>
        <v>High</v>
      </c>
      <c r="AL949" t="str" cm="1">
        <f t="array" ref="AL949">_xlfn.IFS(AF949&lt;3,"new",AF949&lt;=7,"Experienced",AF949&gt;7,"High")</f>
        <v>High</v>
      </c>
      <c r="AM949" s="1"/>
    </row>
    <row r="950" spans="1:39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  <c r="AJ950" t="str">
        <f t="shared" si="14"/>
        <v>High</v>
      </c>
      <c r="AK950" t="str" cm="1">
        <f t="array" ref="AK950">_xlfn.IFS(S950&lt;4000,"Low",S950&lt;8000,"Medium",S950&gt;=8000,"High")</f>
        <v>High</v>
      </c>
      <c r="AL950" t="str" cm="1">
        <f t="array" ref="AL950">_xlfn.IFS(AF950&lt;3,"new",AF950&lt;=7,"Experienced",AF950&gt;7,"High")</f>
        <v>High</v>
      </c>
      <c r="AM950" s="1"/>
    </row>
    <row r="951" spans="1:39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  <c r="AJ951" t="str">
        <f t="shared" si="14"/>
        <v>Low</v>
      </c>
      <c r="AK951" t="str" cm="1">
        <f t="array" ref="AK951">_xlfn.IFS(S951&lt;4000,"Low",S951&lt;8000,"Medium",S951&gt;=8000,"High")</f>
        <v>Medium</v>
      </c>
      <c r="AL951" t="str" cm="1">
        <f t="array" ref="AL951">_xlfn.IFS(AF951&lt;3,"new",AF951&lt;=7,"Experienced",AF951&gt;7,"High")</f>
        <v>High</v>
      </c>
      <c r="AM951" s="1"/>
    </row>
    <row r="952" spans="1:39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  <c r="AJ952" t="str">
        <f t="shared" si="14"/>
        <v>High</v>
      </c>
      <c r="AK952" t="str" cm="1">
        <f t="array" ref="AK952">_xlfn.IFS(S952&lt;4000,"Low",S952&lt;8000,"Medium",S952&gt;=8000,"High")</f>
        <v>High</v>
      </c>
      <c r="AL952" t="str" cm="1">
        <f t="array" ref="AL952">_xlfn.IFS(AF952&lt;3,"new",AF952&lt;=7,"Experienced",AF952&gt;7,"High")</f>
        <v>High</v>
      </c>
      <c r="AM952" s="1"/>
    </row>
    <row r="953" spans="1:39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  <c r="AJ953" t="str">
        <f t="shared" si="14"/>
        <v>Low</v>
      </c>
      <c r="AK953" t="str" cm="1">
        <f t="array" ref="AK953">_xlfn.IFS(S953&lt;4000,"Low",S953&lt;8000,"Medium",S953&gt;=8000,"High")</f>
        <v>Medium</v>
      </c>
      <c r="AL953" t="str" cm="1">
        <f t="array" ref="AL953">_xlfn.IFS(AF953&lt;3,"new",AF953&lt;=7,"Experienced",AF953&gt;7,"High")</f>
        <v>High</v>
      </c>
      <c r="AM953" s="1"/>
    </row>
    <row r="954" spans="1:39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  <c r="AJ954" t="str">
        <f t="shared" si="14"/>
        <v>Low</v>
      </c>
      <c r="AK954" t="str" cm="1">
        <f t="array" ref="AK954">_xlfn.IFS(S954&lt;4000,"Low",S954&lt;8000,"Medium",S954&gt;=8000,"High")</f>
        <v>Low</v>
      </c>
      <c r="AL954" t="str" cm="1">
        <f t="array" ref="AL954">_xlfn.IFS(AF954&lt;3,"new",AF954&lt;=7,"Experienced",AF954&gt;7,"High")</f>
        <v>Experienced</v>
      </c>
      <c r="AM954" s="1"/>
    </row>
    <row r="955" spans="1:39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  <c r="AJ955" t="str">
        <f t="shared" si="14"/>
        <v>Low</v>
      </c>
      <c r="AK955" t="str" cm="1">
        <f t="array" ref="AK955">_xlfn.IFS(S955&lt;4000,"Low",S955&lt;8000,"Medium",S955&gt;=8000,"High")</f>
        <v>Low</v>
      </c>
      <c r="AL955" t="str" cm="1">
        <f t="array" ref="AL955">_xlfn.IFS(AF955&lt;3,"new",AF955&lt;=7,"Experienced",AF955&gt;7,"High")</f>
        <v>Experienced</v>
      </c>
      <c r="AM955" s="1"/>
    </row>
    <row r="956" spans="1:39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  <c r="AJ956" t="str">
        <f t="shared" si="14"/>
        <v>High</v>
      </c>
      <c r="AK956" t="str" cm="1">
        <f t="array" ref="AK956">_xlfn.IFS(S956&lt;4000,"Low",S956&lt;8000,"Medium",S956&gt;=8000,"High")</f>
        <v>High</v>
      </c>
      <c r="AL956" t="str" cm="1">
        <f t="array" ref="AL956">_xlfn.IFS(AF956&lt;3,"new",AF956&lt;=7,"Experienced",AF956&gt;7,"High")</f>
        <v>High</v>
      </c>
      <c r="AM956" s="1"/>
    </row>
    <row r="957" spans="1:39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  <c r="AJ957" t="str">
        <f t="shared" si="14"/>
        <v>High</v>
      </c>
      <c r="AK957" t="str" cm="1">
        <f t="array" ref="AK957">_xlfn.IFS(S957&lt;4000,"Low",S957&lt;8000,"Medium",S957&gt;=8000,"High")</f>
        <v>High</v>
      </c>
      <c r="AL957" t="str" cm="1">
        <f t="array" ref="AL957">_xlfn.IFS(AF957&lt;3,"new",AF957&lt;=7,"Experienced",AF957&gt;7,"High")</f>
        <v>High</v>
      </c>
      <c r="AM957" s="1"/>
    </row>
    <row r="958" spans="1:39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  <c r="AJ958" t="str">
        <f t="shared" si="14"/>
        <v>High</v>
      </c>
      <c r="AK958" t="str" cm="1">
        <f t="array" ref="AK958">_xlfn.IFS(S958&lt;4000,"Low",S958&lt;8000,"Medium",S958&gt;=8000,"High")</f>
        <v>High</v>
      </c>
      <c r="AL958" t="str" cm="1">
        <f t="array" ref="AL958">_xlfn.IFS(AF958&lt;3,"new",AF958&lt;=7,"Experienced",AF958&gt;7,"High")</f>
        <v>Experienced</v>
      </c>
      <c r="AM958" s="1"/>
    </row>
    <row r="959" spans="1:39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  <c r="AJ959" t="str">
        <f t="shared" si="14"/>
        <v>Low</v>
      </c>
      <c r="AK959" t="str" cm="1">
        <f t="array" ref="AK959">_xlfn.IFS(S959&lt;4000,"Low",S959&lt;8000,"Medium",S959&gt;=8000,"High")</f>
        <v>Low</v>
      </c>
      <c r="AL959" t="str" cm="1">
        <f t="array" ref="AL959">_xlfn.IFS(AF959&lt;3,"new",AF959&lt;=7,"Experienced",AF959&gt;7,"High")</f>
        <v>Experienced</v>
      </c>
      <c r="AM959" s="1"/>
    </row>
    <row r="960" spans="1:39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  <c r="AJ960" t="str">
        <f t="shared" si="14"/>
        <v>High</v>
      </c>
      <c r="AK960" t="str" cm="1">
        <f t="array" ref="AK960">_xlfn.IFS(S960&lt;4000,"Low",S960&lt;8000,"Medium",S960&gt;=8000,"High")</f>
        <v>High</v>
      </c>
      <c r="AL960" t="str" cm="1">
        <f t="array" ref="AL960">_xlfn.IFS(AF960&lt;3,"new",AF960&lt;=7,"Experienced",AF960&gt;7,"High")</f>
        <v>High</v>
      </c>
      <c r="AM960" s="1"/>
    </row>
    <row r="961" spans="1:39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  <c r="AJ961" t="str">
        <f t="shared" si="14"/>
        <v>Low</v>
      </c>
      <c r="AK961" t="str" cm="1">
        <f t="array" ref="AK961">_xlfn.IFS(S961&lt;4000,"Low",S961&lt;8000,"Medium",S961&gt;=8000,"High")</f>
        <v>Medium</v>
      </c>
      <c r="AL961" t="str" cm="1">
        <f t="array" ref="AL961">_xlfn.IFS(AF961&lt;3,"new",AF961&lt;=7,"Experienced",AF961&gt;7,"High")</f>
        <v>High</v>
      </c>
      <c r="AM961" s="1"/>
    </row>
    <row r="962" spans="1:39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  <c r="AJ962" t="str">
        <f t="shared" ref="AJ962:AJ1025" si="15">IF(S962&gt;=6500,"High","Low")</f>
        <v>Low</v>
      </c>
      <c r="AK962" t="str" cm="1">
        <f t="array" ref="AK962">_xlfn.IFS(S962&lt;4000,"Low",S962&lt;8000,"Medium",S962&gt;=8000,"High")</f>
        <v>Medium</v>
      </c>
      <c r="AL962" t="str" cm="1">
        <f t="array" ref="AL962">_xlfn.IFS(AF962&lt;3,"new",AF962&lt;=7,"Experienced",AF962&gt;7,"High")</f>
        <v>High</v>
      </c>
      <c r="AM962" s="1"/>
    </row>
    <row r="963" spans="1:39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  <c r="AJ963" t="str">
        <f t="shared" si="15"/>
        <v>Low</v>
      </c>
      <c r="AK963" t="str" cm="1">
        <f t="array" ref="AK963">_xlfn.IFS(S963&lt;4000,"Low",S963&lt;8000,"Medium",S963&gt;=8000,"High")</f>
        <v>Medium</v>
      </c>
      <c r="AL963" t="str" cm="1">
        <f t="array" ref="AL963">_xlfn.IFS(AF963&lt;3,"new",AF963&lt;=7,"Experienced",AF963&gt;7,"High")</f>
        <v>High</v>
      </c>
      <c r="AM963" s="1"/>
    </row>
    <row r="964" spans="1:39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  <c r="AJ964" t="str">
        <f t="shared" si="15"/>
        <v>High</v>
      </c>
      <c r="AK964" t="str" cm="1">
        <f t="array" ref="AK964">_xlfn.IFS(S964&lt;4000,"Low",S964&lt;8000,"Medium",S964&gt;=8000,"High")</f>
        <v>High</v>
      </c>
      <c r="AL964" t="str" cm="1">
        <f t="array" ref="AL964">_xlfn.IFS(AF964&lt;3,"new",AF964&lt;=7,"Experienced",AF964&gt;7,"High")</f>
        <v>High</v>
      </c>
      <c r="AM964" s="1"/>
    </row>
    <row r="965" spans="1:39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  <c r="AJ965" t="str">
        <f t="shared" si="15"/>
        <v>High</v>
      </c>
      <c r="AK965" t="str" cm="1">
        <f t="array" ref="AK965">_xlfn.IFS(S965&lt;4000,"Low",S965&lt;8000,"Medium",S965&gt;=8000,"High")</f>
        <v>Medium</v>
      </c>
      <c r="AL965" t="str" cm="1">
        <f t="array" ref="AL965">_xlfn.IFS(AF965&lt;3,"new",AF965&lt;=7,"Experienced",AF965&gt;7,"High")</f>
        <v>Experienced</v>
      </c>
      <c r="AM965" s="1"/>
    </row>
    <row r="966" spans="1:39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  <c r="AJ966" t="str">
        <f t="shared" si="15"/>
        <v>Low</v>
      </c>
      <c r="AK966" t="str" cm="1">
        <f t="array" ref="AK966">_xlfn.IFS(S966&lt;4000,"Low",S966&lt;8000,"Medium",S966&gt;=8000,"High")</f>
        <v>Medium</v>
      </c>
      <c r="AL966" t="str" cm="1">
        <f t="array" ref="AL966">_xlfn.IFS(AF966&lt;3,"new",AF966&lt;=7,"Experienced",AF966&gt;7,"High")</f>
        <v>High</v>
      </c>
      <c r="AM966" s="1"/>
    </row>
    <row r="967" spans="1:39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  <c r="AJ967" t="str">
        <f t="shared" si="15"/>
        <v>Low</v>
      </c>
      <c r="AK967" t="str" cm="1">
        <f t="array" ref="AK967">_xlfn.IFS(S967&lt;4000,"Low",S967&lt;8000,"Medium",S967&gt;=8000,"High")</f>
        <v>Low</v>
      </c>
      <c r="AL967" t="str" cm="1">
        <f t="array" ref="AL967">_xlfn.IFS(AF967&lt;3,"new",AF967&lt;=7,"Experienced",AF967&gt;7,"High")</f>
        <v>Experienced</v>
      </c>
      <c r="AM967" s="1"/>
    </row>
    <row r="968" spans="1:39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  <c r="AJ968" t="str">
        <f t="shared" si="15"/>
        <v>High</v>
      </c>
      <c r="AK968" t="str" cm="1">
        <f t="array" ref="AK968">_xlfn.IFS(S968&lt;4000,"Low",S968&lt;8000,"Medium",S968&gt;=8000,"High")</f>
        <v>High</v>
      </c>
      <c r="AL968" t="str" cm="1">
        <f t="array" ref="AL968">_xlfn.IFS(AF968&lt;3,"new",AF968&lt;=7,"Experienced",AF968&gt;7,"High")</f>
        <v>High</v>
      </c>
      <c r="AM968" s="1"/>
    </row>
    <row r="969" spans="1:39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  <c r="AJ969" t="str">
        <f t="shared" si="15"/>
        <v>Low</v>
      </c>
      <c r="AK969" t="str" cm="1">
        <f t="array" ref="AK969">_xlfn.IFS(S969&lt;4000,"Low",S969&lt;8000,"Medium",S969&gt;=8000,"High")</f>
        <v>Low</v>
      </c>
      <c r="AL969" t="str" cm="1">
        <f t="array" ref="AL969">_xlfn.IFS(AF969&lt;3,"new",AF969&lt;=7,"Experienced",AF969&gt;7,"High")</f>
        <v>Experienced</v>
      </c>
      <c r="AM969" s="1"/>
    </row>
    <row r="970" spans="1:39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  <c r="AJ970" t="str">
        <f t="shared" si="15"/>
        <v>Low</v>
      </c>
      <c r="AK970" t="str" cm="1">
        <f t="array" ref="AK970">_xlfn.IFS(S970&lt;4000,"Low",S970&lt;8000,"Medium",S970&gt;=8000,"High")</f>
        <v>Medium</v>
      </c>
      <c r="AL970" t="str" cm="1">
        <f t="array" ref="AL970">_xlfn.IFS(AF970&lt;3,"new",AF970&lt;=7,"Experienced",AF970&gt;7,"High")</f>
        <v>High</v>
      </c>
      <c r="AM970" s="1"/>
    </row>
    <row r="971" spans="1:39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  <c r="AJ971" t="str">
        <f t="shared" si="15"/>
        <v>High</v>
      </c>
      <c r="AK971" t="str" cm="1">
        <f t="array" ref="AK971">_xlfn.IFS(S971&lt;4000,"Low",S971&lt;8000,"Medium",S971&gt;=8000,"High")</f>
        <v>Medium</v>
      </c>
      <c r="AL971" t="str" cm="1">
        <f t="array" ref="AL971">_xlfn.IFS(AF971&lt;3,"new",AF971&lt;=7,"Experienced",AF971&gt;7,"High")</f>
        <v>High</v>
      </c>
      <c r="AM971" s="1"/>
    </row>
    <row r="972" spans="1:39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  <c r="AJ972" t="str">
        <f t="shared" si="15"/>
        <v>Low</v>
      </c>
      <c r="AK972" t="str" cm="1">
        <f t="array" ref="AK972">_xlfn.IFS(S972&lt;4000,"Low",S972&lt;8000,"Medium",S972&gt;=8000,"High")</f>
        <v>Low</v>
      </c>
      <c r="AL972" t="str" cm="1">
        <f t="array" ref="AL972">_xlfn.IFS(AF972&lt;3,"new",AF972&lt;=7,"Experienced",AF972&gt;7,"High")</f>
        <v>new</v>
      </c>
      <c r="AM972" s="1"/>
    </row>
    <row r="973" spans="1:39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  <c r="AJ973" t="str">
        <f t="shared" si="15"/>
        <v>High</v>
      </c>
      <c r="AK973" t="str" cm="1">
        <f t="array" ref="AK973">_xlfn.IFS(S973&lt;4000,"Low",S973&lt;8000,"Medium",S973&gt;=8000,"High")</f>
        <v>High</v>
      </c>
      <c r="AL973" t="str" cm="1">
        <f t="array" ref="AL973">_xlfn.IFS(AF973&lt;3,"new",AF973&lt;=7,"Experienced",AF973&gt;7,"High")</f>
        <v>Experienced</v>
      </c>
      <c r="AM973" s="1"/>
    </row>
    <row r="974" spans="1:39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  <c r="AJ974" t="str">
        <f t="shared" si="15"/>
        <v>Low</v>
      </c>
      <c r="AK974" t="str" cm="1">
        <f t="array" ref="AK974">_xlfn.IFS(S974&lt;4000,"Low",S974&lt;8000,"Medium",S974&gt;=8000,"High")</f>
        <v>Low</v>
      </c>
      <c r="AL974" t="str" cm="1">
        <f t="array" ref="AL974">_xlfn.IFS(AF974&lt;3,"new",AF974&lt;=7,"Experienced",AF974&gt;7,"High")</f>
        <v>new</v>
      </c>
      <c r="AM974" s="1"/>
    </row>
    <row r="975" spans="1:39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  <c r="AJ975" t="str">
        <f t="shared" si="15"/>
        <v>Low</v>
      </c>
      <c r="AK975" t="str" cm="1">
        <f t="array" ref="AK975">_xlfn.IFS(S975&lt;4000,"Low",S975&lt;8000,"Medium",S975&gt;=8000,"High")</f>
        <v>Medium</v>
      </c>
      <c r="AL975" t="str" cm="1">
        <f t="array" ref="AL975">_xlfn.IFS(AF975&lt;3,"new",AF975&lt;=7,"Experienced",AF975&gt;7,"High")</f>
        <v>High</v>
      </c>
      <c r="AM975" s="1"/>
    </row>
    <row r="976" spans="1:39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  <c r="AJ976" t="str">
        <f t="shared" si="15"/>
        <v>Low</v>
      </c>
      <c r="AK976" t="str" cm="1">
        <f t="array" ref="AK976">_xlfn.IFS(S976&lt;4000,"Low",S976&lt;8000,"Medium",S976&gt;=8000,"High")</f>
        <v>Medium</v>
      </c>
      <c r="AL976" t="str" cm="1">
        <f t="array" ref="AL976">_xlfn.IFS(AF976&lt;3,"new",AF976&lt;=7,"Experienced",AF976&gt;7,"High")</f>
        <v>Experienced</v>
      </c>
      <c r="AM976" s="1"/>
    </row>
    <row r="977" spans="1:39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  <c r="AJ977" t="str">
        <f t="shared" si="15"/>
        <v>High</v>
      </c>
      <c r="AK977" t="str" cm="1">
        <f t="array" ref="AK977">_xlfn.IFS(S977&lt;4000,"Low",S977&lt;8000,"Medium",S977&gt;=8000,"High")</f>
        <v>High</v>
      </c>
      <c r="AL977" t="str" cm="1">
        <f t="array" ref="AL977">_xlfn.IFS(AF977&lt;3,"new",AF977&lt;=7,"Experienced",AF977&gt;7,"High")</f>
        <v>High</v>
      </c>
      <c r="AM977" s="1"/>
    </row>
    <row r="978" spans="1:39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  <c r="AJ978" t="str">
        <f t="shared" si="15"/>
        <v>High</v>
      </c>
      <c r="AK978" t="str" cm="1">
        <f t="array" ref="AK978">_xlfn.IFS(S978&lt;4000,"Low",S978&lt;8000,"Medium",S978&gt;=8000,"High")</f>
        <v>High</v>
      </c>
      <c r="AL978" t="str" cm="1">
        <f t="array" ref="AL978">_xlfn.IFS(AF978&lt;3,"new",AF978&lt;=7,"Experienced",AF978&gt;7,"High")</f>
        <v>High</v>
      </c>
      <c r="AM978" s="1"/>
    </row>
    <row r="979" spans="1:39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  <c r="AJ979" t="str">
        <f t="shared" si="15"/>
        <v>Low</v>
      </c>
      <c r="AK979" t="str" cm="1">
        <f t="array" ref="AK979">_xlfn.IFS(S979&lt;4000,"Low",S979&lt;8000,"Medium",S979&gt;=8000,"High")</f>
        <v>Low</v>
      </c>
      <c r="AL979" t="str" cm="1">
        <f t="array" ref="AL979">_xlfn.IFS(AF979&lt;3,"new",AF979&lt;=7,"Experienced",AF979&gt;7,"High")</f>
        <v>Experienced</v>
      </c>
      <c r="AM979" s="1"/>
    </row>
    <row r="980" spans="1:39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  <c r="AJ980" t="str">
        <f t="shared" si="15"/>
        <v>Low</v>
      </c>
      <c r="AK980" t="str" cm="1">
        <f t="array" ref="AK980">_xlfn.IFS(S980&lt;4000,"Low",S980&lt;8000,"Medium",S980&gt;=8000,"High")</f>
        <v>Medium</v>
      </c>
      <c r="AL980" t="str" cm="1">
        <f t="array" ref="AL980">_xlfn.IFS(AF980&lt;3,"new",AF980&lt;=7,"Experienced",AF980&gt;7,"High")</f>
        <v>High</v>
      </c>
      <c r="AM980" s="1"/>
    </row>
    <row r="981" spans="1:39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  <c r="AJ981" t="str">
        <f t="shared" si="15"/>
        <v>Low</v>
      </c>
      <c r="AK981" t="str" cm="1">
        <f t="array" ref="AK981">_xlfn.IFS(S981&lt;4000,"Low",S981&lt;8000,"Medium",S981&gt;=8000,"High")</f>
        <v>Medium</v>
      </c>
      <c r="AL981" t="str" cm="1">
        <f t="array" ref="AL981">_xlfn.IFS(AF981&lt;3,"new",AF981&lt;=7,"Experienced",AF981&gt;7,"High")</f>
        <v>High</v>
      </c>
      <c r="AM981" s="1"/>
    </row>
    <row r="982" spans="1:39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  <c r="AJ982" t="str">
        <f t="shared" si="15"/>
        <v>Low</v>
      </c>
      <c r="AK982" t="str" cm="1">
        <f t="array" ref="AK982">_xlfn.IFS(S982&lt;4000,"Low",S982&lt;8000,"Medium",S982&gt;=8000,"High")</f>
        <v>Low</v>
      </c>
      <c r="AL982" t="str" cm="1">
        <f t="array" ref="AL982">_xlfn.IFS(AF982&lt;3,"new",AF982&lt;=7,"Experienced",AF982&gt;7,"High")</f>
        <v>new</v>
      </c>
      <c r="AM982" s="1"/>
    </row>
    <row r="983" spans="1:39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  <c r="AJ983" t="str">
        <f t="shared" si="15"/>
        <v>Low</v>
      </c>
      <c r="AK983" t="str" cm="1">
        <f t="array" ref="AK983">_xlfn.IFS(S983&lt;4000,"Low",S983&lt;8000,"Medium",S983&gt;=8000,"High")</f>
        <v>Medium</v>
      </c>
      <c r="AL983" t="str" cm="1">
        <f t="array" ref="AL983">_xlfn.IFS(AF983&lt;3,"new",AF983&lt;=7,"Experienced",AF983&gt;7,"High")</f>
        <v>Experienced</v>
      </c>
      <c r="AM983" s="1"/>
    </row>
    <row r="984" spans="1:39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  <c r="AJ984" t="str">
        <f t="shared" si="15"/>
        <v>Low</v>
      </c>
      <c r="AK984" t="str" cm="1">
        <f t="array" ref="AK984">_xlfn.IFS(S984&lt;4000,"Low",S984&lt;8000,"Medium",S984&gt;=8000,"High")</f>
        <v>Low</v>
      </c>
      <c r="AL984" t="str" cm="1">
        <f t="array" ref="AL984">_xlfn.IFS(AF984&lt;3,"new",AF984&lt;=7,"Experienced",AF984&gt;7,"High")</f>
        <v>Experienced</v>
      </c>
      <c r="AM984" s="1"/>
    </row>
    <row r="985" spans="1:39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  <c r="AJ985" t="str">
        <f t="shared" si="15"/>
        <v>High</v>
      </c>
      <c r="AK985" t="str" cm="1">
        <f t="array" ref="AK985">_xlfn.IFS(S985&lt;4000,"Low",S985&lt;8000,"Medium",S985&gt;=8000,"High")</f>
        <v>Medium</v>
      </c>
      <c r="AL985" t="str" cm="1">
        <f t="array" ref="AL985">_xlfn.IFS(AF985&lt;3,"new",AF985&lt;=7,"Experienced",AF985&gt;7,"High")</f>
        <v>High</v>
      </c>
      <c r="AM985" s="1"/>
    </row>
    <row r="986" spans="1:39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  <c r="AJ986" t="str">
        <f t="shared" si="15"/>
        <v>Low</v>
      </c>
      <c r="AK986" t="str" cm="1">
        <f t="array" ref="AK986">_xlfn.IFS(S986&lt;4000,"Low",S986&lt;8000,"Medium",S986&gt;=8000,"High")</f>
        <v>Medium</v>
      </c>
      <c r="AL986" t="str" cm="1">
        <f t="array" ref="AL986">_xlfn.IFS(AF986&lt;3,"new",AF986&lt;=7,"Experienced",AF986&gt;7,"High")</f>
        <v>Experienced</v>
      </c>
      <c r="AM986" s="1"/>
    </row>
    <row r="987" spans="1:39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  <c r="AJ987" t="str">
        <f t="shared" si="15"/>
        <v>Low</v>
      </c>
      <c r="AK987" t="str" cm="1">
        <f t="array" ref="AK987">_xlfn.IFS(S987&lt;4000,"Low",S987&lt;8000,"Medium",S987&gt;=8000,"High")</f>
        <v>Medium</v>
      </c>
      <c r="AL987" t="str" cm="1">
        <f t="array" ref="AL987">_xlfn.IFS(AF987&lt;3,"new",AF987&lt;=7,"Experienced",AF987&gt;7,"High")</f>
        <v>High</v>
      </c>
      <c r="AM987" s="1"/>
    </row>
    <row r="988" spans="1:39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  <c r="AJ988" t="str">
        <f t="shared" si="15"/>
        <v>Low</v>
      </c>
      <c r="AK988" t="str" cm="1">
        <f t="array" ref="AK988">_xlfn.IFS(S988&lt;4000,"Low",S988&lt;8000,"Medium",S988&gt;=8000,"High")</f>
        <v>Medium</v>
      </c>
      <c r="AL988" t="str" cm="1">
        <f t="array" ref="AL988">_xlfn.IFS(AF988&lt;3,"new",AF988&lt;=7,"Experienced",AF988&gt;7,"High")</f>
        <v>Experienced</v>
      </c>
      <c r="AM988" s="1"/>
    </row>
    <row r="989" spans="1:39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  <c r="AJ989" t="str">
        <f t="shared" si="15"/>
        <v>High</v>
      </c>
      <c r="AK989" t="str" cm="1">
        <f t="array" ref="AK989">_xlfn.IFS(S989&lt;4000,"Low",S989&lt;8000,"Medium",S989&gt;=8000,"High")</f>
        <v>High</v>
      </c>
      <c r="AL989" t="str" cm="1">
        <f t="array" ref="AL989">_xlfn.IFS(AF989&lt;3,"new",AF989&lt;=7,"Experienced",AF989&gt;7,"High")</f>
        <v>Experienced</v>
      </c>
      <c r="AM989" s="1"/>
    </row>
    <row r="990" spans="1:39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  <c r="AJ990" t="str">
        <f t="shared" si="15"/>
        <v>Low</v>
      </c>
      <c r="AK990" t="str" cm="1">
        <f t="array" ref="AK990">_xlfn.IFS(S990&lt;4000,"Low",S990&lt;8000,"Medium",S990&gt;=8000,"High")</f>
        <v>Medium</v>
      </c>
      <c r="AL990" t="str" cm="1">
        <f t="array" ref="AL990">_xlfn.IFS(AF990&lt;3,"new",AF990&lt;=7,"Experienced",AF990&gt;7,"High")</f>
        <v>Experienced</v>
      </c>
      <c r="AM990" s="1"/>
    </row>
    <row r="991" spans="1:39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  <c r="AJ991" t="str">
        <f t="shared" si="15"/>
        <v>Low</v>
      </c>
      <c r="AK991" t="str" cm="1">
        <f t="array" ref="AK991">_xlfn.IFS(S991&lt;4000,"Low",S991&lt;8000,"Medium",S991&gt;=8000,"High")</f>
        <v>Low</v>
      </c>
      <c r="AL991" t="str" cm="1">
        <f t="array" ref="AL991">_xlfn.IFS(AF991&lt;3,"new",AF991&lt;=7,"Experienced",AF991&gt;7,"High")</f>
        <v>Experienced</v>
      </c>
      <c r="AM991" s="1"/>
    </row>
    <row r="992" spans="1:39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  <c r="AJ992" t="str">
        <f t="shared" si="15"/>
        <v>High</v>
      </c>
      <c r="AK992" t="str" cm="1">
        <f t="array" ref="AK992">_xlfn.IFS(S992&lt;4000,"Low",S992&lt;8000,"Medium",S992&gt;=8000,"High")</f>
        <v>High</v>
      </c>
      <c r="AL992" t="str" cm="1">
        <f t="array" ref="AL992">_xlfn.IFS(AF992&lt;3,"new",AF992&lt;=7,"Experienced",AF992&gt;7,"High")</f>
        <v>Experienced</v>
      </c>
      <c r="AM992" s="1"/>
    </row>
    <row r="993" spans="1:39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  <c r="AJ993" t="str">
        <f t="shared" si="15"/>
        <v>Low</v>
      </c>
      <c r="AK993" t="str" cm="1">
        <f t="array" ref="AK993">_xlfn.IFS(S993&lt;4000,"Low",S993&lt;8000,"Medium",S993&gt;=8000,"High")</f>
        <v>Medium</v>
      </c>
      <c r="AL993" t="str" cm="1">
        <f t="array" ref="AL993">_xlfn.IFS(AF993&lt;3,"new",AF993&lt;=7,"Experienced",AF993&gt;7,"High")</f>
        <v>Experienced</v>
      </c>
      <c r="AM993" s="1"/>
    </row>
    <row r="994" spans="1:39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  <c r="AJ994" t="str">
        <f t="shared" si="15"/>
        <v>High</v>
      </c>
      <c r="AK994" t="str" cm="1">
        <f t="array" ref="AK994">_xlfn.IFS(S994&lt;4000,"Low",S994&lt;8000,"Medium",S994&gt;=8000,"High")</f>
        <v>High</v>
      </c>
      <c r="AL994" t="str" cm="1">
        <f t="array" ref="AL994">_xlfn.IFS(AF994&lt;3,"new",AF994&lt;=7,"Experienced",AF994&gt;7,"High")</f>
        <v>Experienced</v>
      </c>
      <c r="AM994" s="1"/>
    </row>
    <row r="995" spans="1:39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  <c r="AJ995" t="str">
        <f t="shared" si="15"/>
        <v>Low</v>
      </c>
      <c r="AK995" t="str" cm="1">
        <f t="array" ref="AK995">_xlfn.IFS(S995&lt;4000,"Low",S995&lt;8000,"Medium",S995&gt;=8000,"High")</f>
        <v>Medium</v>
      </c>
      <c r="AL995" t="str" cm="1">
        <f t="array" ref="AL995">_xlfn.IFS(AF995&lt;3,"new",AF995&lt;=7,"Experienced",AF995&gt;7,"High")</f>
        <v>Experienced</v>
      </c>
      <c r="AM995" s="1"/>
    </row>
    <row r="996" spans="1:39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  <c r="AJ996" t="str">
        <f t="shared" si="15"/>
        <v>High</v>
      </c>
      <c r="AK996" t="str" cm="1">
        <f t="array" ref="AK996">_xlfn.IFS(S996&lt;4000,"Low",S996&lt;8000,"Medium",S996&gt;=8000,"High")</f>
        <v>High</v>
      </c>
      <c r="AL996" t="str" cm="1">
        <f t="array" ref="AL996">_xlfn.IFS(AF996&lt;3,"new",AF996&lt;=7,"Experienced",AF996&gt;7,"High")</f>
        <v>Experienced</v>
      </c>
      <c r="AM996" s="1"/>
    </row>
    <row r="997" spans="1:39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  <c r="AJ997" t="str">
        <f t="shared" si="15"/>
        <v>Low</v>
      </c>
      <c r="AK997" t="str" cm="1">
        <f t="array" ref="AK997">_xlfn.IFS(S997&lt;4000,"Low",S997&lt;8000,"Medium",S997&gt;=8000,"High")</f>
        <v>Medium</v>
      </c>
      <c r="AL997" t="str" cm="1">
        <f t="array" ref="AL997">_xlfn.IFS(AF997&lt;3,"new",AF997&lt;=7,"Experienced",AF997&gt;7,"High")</f>
        <v>High</v>
      </c>
      <c r="AM997" s="1"/>
    </row>
    <row r="998" spans="1:39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  <c r="AJ998" t="str">
        <f t="shared" si="15"/>
        <v>Low</v>
      </c>
      <c r="AK998" t="str" cm="1">
        <f t="array" ref="AK998">_xlfn.IFS(S998&lt;4000,"Low",S998&lt;8000,"Medium",S998&gt;=8000,"High")</f>
        <v>Medium</v>
      </c>
      <c r="AL998" t="str" cm="1">
        <f t="array" ref="AL998">_xlfn.IFS(AF998&lt;3,"new",AF998&lt;=7,"Experienced",AF998&gt;7,"High")</f>
        <v>Experienced</v>
      </c>
      <c r="AM998" s="1"/>
    </row>
    <row r="999" spans="1:39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  <c r="AJ999" t="str">
        <f t="shared" si="15"/>
        <v>Low</v>
      </c>
      <c r="AK999" t="str" cm="1">
        <f t="array" ref="AK999">_xlfn.IFS(S999&lt;4000,"Low",S999&lt;8000,"Medium",S999&gt;=8000,"High")</f>
        <v>Low</v>
      </c>
      <c r="AL999" t="str" cm="1">
        <f t="array" ref="AL999">_xlfn.IFS(AF999&lt;3,"new",AF999&lt;=7,"Experienced",AF999&gt;7,"High")</f>
        <v>High</v>
      </c>
      <c r="AM999" s="1"/>
    </row>
    <row r="1000" spans="1:39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  <c r="AJ1000" t="str">
        <f t="shared" si="15"/>
        <v>Low</v>
      </c>
      <c r="AK1000" t="str" cm="1">
        <f t="array" ref="AK1000">_xlfn.IFS(S1000&lt;4000,"Low",S1000&lt;8000,"Medium",S1000&gt;=8000,"High")</f>
        <v>Low</v>
      </c>
      <c r="AL1000" t="str" cm="1">
        <f t="array" ref="AL1000">_xlfn.IFS(AF1000&lt;3,"new",AF1000&lt;=7,"Experienced",AF1000&gt;7,"High")</f>
        <v>Experienced</v>
      </c>
      <c r="AM1000" s="1"/>
    </row>
    <row r="1001" spans="1:39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  <c r="AJ1001" t="str">
        <f t="shared" si="15"/>
        <v>High</v>
      </c>
      <c r="AK1001" t="str" cm="1">
        <f t="array" ref="AK1001">_xlfn.IFS(S1001&lt;4000,"Low",S1001&lt;8000,"Medium",S1001&gt;=8000,"High")</f>
        <v>High</v>
      </c>
      <c r="AL1001" t="str" cm="1">
        <f t="array" ref="AL1001">_xlfn.IFS(AF1001&lt;3,"new",AF1001&lt;=7,"Experienced",AF1001&gt;7,"High")</f>
        <v>High</v>
      </c>
      <c r="AM1001" s="1"/>
    </row>
    <row r="1002" spans="1:39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  <c r="AJ1002" t="str">
        <f t="shared" si="15"/>
        <v>Low</v>
      </c>
      <c r="AK1002" t="str" cm="1">
        <f t="array" ref="AK1002">_xlfn.IFS(S1002&lt;4000,"Low",S1002&lt;8000,"Medium",S1002&gt;=8000,"High")</f>
        <v>Low</v>
      </c>
      <c r="AL1002" t="str" cm="1">
        <f t="array" ref="AL1002">_xlfn.IFS(AF1002&lt;3,"new",AF1002&lt;=7,"Experienced",AF1002&gt;7,"High")</f>
        <v>Experienced</v>
      </c>
      <c r="AM1002" s="1"/>
    </row>
    <row r="1003" spans="1:39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  <c r="AJ1003" t="str">
        <f t="shared" si="15"/>
        <v>Low</v>
      </c>
      <c r="AK1003" t="str" cm="1">
        <f t="array" ref="AK1003">_xlfn.IFS(S1003&lt;4000,"Low",S1003&lt;8000,"Medium",S1003&gt;=8000,"High")</f>
        <v>Low</v>
      </c>
      <c r="AL1003" t="str" cm="1">
        <f t="array" ref="AL1003">_xlfn.IFS(AF1003&lt;3,"new",AF1003&lt;=7,"Experienced",AF1003&gt;7,"High")</f>
        <v>Experienced</v>
      </c>
      <c r="AM1003" s="1"/>
    </row>
    <row r="1004" spans="1:39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  <c r="AJ1004" t="str">
        <f t="shared" si="15"/>
        <v>High</v>
      </c>
      <c r="AK1004" t="str" cm="1">
        <f t="array" ref="AK1004">_xlfn.IFS(S1004&lt;4000,"Low",S1004&lt;8000,"Medium",S1004&gt;=8000,"High")</f>
        <v>High</v>
      </c>
      <c r="AL1004" t="str" cm="1">
        <f t="array" ref="AL1004">_xlfn.IFS(AF1004&lt;3,"new",AF1004&lt;=7,"Experienced",AF1004&gt;7,"High")</f>
        <v>new</v>
      </c>
      <c r="AM1004" s="1"/>
    </row>
    <row r="1005" spans="1:39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  <c r="AJ1005" t="str">
        <f t="shared" si="15"/>
        <v>Low</v>
      </c>
      <c r="AK1005" t="str" cm="1">
        <f t="array" ref="AK1005">_xlfn.IFS(S1005&lt;4000,"Low",S1005&lt;8000,"Medium",S1005&gt;=8000,"High")</f>
        <v>Low</v>
      </c>
      <c r="AL1005" t="str" cm="1">
        <f t="array" ref="AL1005">_xlfn.IFS(AF1005&lt;3,"new",AF1005&lt;=7,"Experienced",AF1005&gt;7,"High")</f>
        <v>Experienced</v>
      </c>
      <c r="AM1005" s="1"/>
    </row>
    <row r="1006" spans="1:39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  <c r="AJ1006" t="str">
        <f t="shared" si="15"/>
        <v>Low</v>
      </c>
      <c r="AK1006" t="str" cm="1">
        <f t="array" ref="AK1006">_xlfn.IFS(S1006&lt;4000,"Low",S1006&lt;8000,"Medium",S1006&gt;=8000,"High")</f>
        <v>Low</v>
      </c>
      <c r="AL1006" t="str" cm="1">
        <f t="array" ref="AL1006">_xlfn.IFS(AF1006&lt;3,"new",AF1006&lt;=7,"Experienced",AF1006&gt;7,"High")</f>
        <v>Experienced</v>
      </c>
      <c r="AM1006" s="1"/>
    </row>
    <row r="1007" spans="1:39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  <c r="AJ1007" t="str">
        <f t="shared" si="15"/>
        <v>High</v>
      </c>
      <c r="AK1007" t="str" cm="1">
        <f t="array" ref="AK1007">_xlfn.IFS(S1007&lt;4000,"Low",S1007&lt;8000,"Medium",S1007&gt;=8000,"High")</f>
        <v>Medium</v>
      </c>
      <c r="AL1007" t="str" cm="1">
        <f t="array" ref="AL1007">_xlfn.IFS(AF1007&lt;3,"new",AF1007&lt;=7,"Experienced",AF1007&gt;7,"High")</f>
        <v>High</v>
      </c>
      <c r="AM1007" s="1"/>
    </row>
    <row r="1008" spans="1:39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  <c r="AJ1008" t="str">
        <f t="shared" si="15"/>
        <v>Low</v>
      </c>
      <c r="AK1008" t="str" cm="1">
        <f t="array" ref="AK1008">_xlfn.IFS(S1008&lt;4000,"Low",S1008&lt;8000,"Medium",S1008&gt;=8000,"High")</f>
        <v>Medium</v>
      </c>
      <c r="AL1008" t="str" cm="1">
        <f t="array" ref="AL1008">_xlfn.IFS(AF1008&lt;3,"new",AF1008&lt;=7,"Experienced",AF1008&gt;7,"High")</f>
        <v>Experienced</v>
      </c>
      <c r="AM1008" s="1"/>
    </row>
    <row r="1009" spans="1:39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  <c r="AJ1009" t="str">
        <f t="shared" si="15"/>
        <v>High</v>
      </c>
      <c r="AK1009" t="str" cm="1">
        <f t="array" ref="AK1009">_xlfn.IFS(S1009&lt;4000,"Low",S1009&lt;8000,"Medium",S1009&gt;=8000,"High")</f>
        <v>Medium</v>
      </c>
      <c r="AL1009" t="str" cm="1">
        <f t="array" ref="AL1009">_xlfn.IFS(AF1009&lt;3,"new",AF1009&lt;=7,"Experienced",AF1009&gt;7,"High")</f>
        <v>High</v>
      </c>
      <c r="AM1009" s="1"/>
    </row>
    <row r="1010" spans="1:39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  <c r="AJ1010" t="str">
        <f t="shared" si="15"/>
        <v>High</v>
      </c>
      <c r="AK1010" t="str" cm="1">
        <f t="array" ref="AK1010">_xlfn.IFS(S1010&lt;4000,"Low",S1010&lt;8000,"Medium",S1010&gt;=8000,"High")</f>
        <v>High</v>
      </c>
      <c r="AL1010" t="str" cm="1">
        <f t="array" ref="AL1010">_xlfn.IFS(AF1010&lt;3,"new",AF1010&lt;=7,"Experienced",AF1010&gt;7,"High")</f>
        <v>High</v>
      </c>
      <c r="AM1010" s="1"/>
    </row>
    <row r="1011" spans="1:39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  <c r="AJ1011" t="str">
        <f t="shared" si="15"/>
        <v>High</v>
      </c>
      <c r="AK1011" t="str" cm="1">
        <f t="array" ref="AK1011">_xlfn.IFS(S1011&lt;4000,"Low",S1011&lt;8000,"Medium",S1011&gt;=8000,"High")</f>
        <v>High</v>
      </c>
      <c r="AL1011" t="str" cm="1">
        <f t="array" ref="AL1011">_xlfn.IFS(AF1011&lt;3,"new",AF1011&lt;=7,"Experienced",AF1011&gt;7,"High")</f>
        <v>High</v>
      </c>
      <c r="AM1011" s="1"/>
    </row>
    <row r="1012" spans="1:39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  <c r="AJ1012" t="str">
        <f t="shared" si="15"/>
        <v>High</v>
      </c>
      <c r="AK1012" t="str" cm="1">
        <f t="array" ref="AK1012">_xlfn.IFS(S1012&lt;4000,"Low",S1012&lt;8000,"Medium",S1012&gt;=8000,"High")</f>
        <v>High</v>
      </c>
      <c r="AL1012" t="str" cm="1">
        <f t="array" ref="AL1012">_xlfn.IFS(AF1012&lt;3,"new",AF1012&lt;=7,"Experienced",AF1012&gt;7,"High")</f>
        <v>Experienced</v>
      </c>
      <c r="AM1012" s="1"/>
    </row>
    <row r="1013" spans="1:39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  <c r="AJ1013" t="str">
        <f t="shared" si="15"/>
        <v>High</v>
      </c>
      <c r="AK1013" t="str" cm="1">
        <f t="array" ref="AK1013">_xlfn.IFS(S1013&lt;4000,"Low",S1013&lt;8000,"Medium",S1013&gt;=8000,"High")</f>
        <v>High</v>
      </c>
      <c r="AL1013" t="str" cm="1">
        <f t="array" ref="AL1013">_xlfn.IFS(AF1013&lt;3,"new",AF1013&lt;=7,"Experienced",AF1013&gt;7,"High")</f>
        <v>Experienced</v>
      </c>
      <c r="AM1013" s="1"/>
    </row>
    <row r="1014" spans="1:39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  <c r="AJ1014" t="str">
        <f t="shared" si="15"/>
        <v>Low</v>
      </c>
      <c r="AK1014" t="str" cm="1">
        <f t="array" ref="AK1014">_xlfn.IFS(S1014&lt;4000,"Low",S1014&lt;8000,"Medium",S1014&gt;=8000,"High")</f>
        <v>Low</v>
      </c>
      <c r="AL1014" t="str" cm="1">
        <f t="array" ref="AL1014">_xlfn.IFS(AF1014&lt;3,"new",AF1014&lt;=7,"Experienced",AF1014&gt;7,"High")</f>
        <v>new</v>
      </c>
      <c r="AM1014" s="1"/>
    </row>
    <row r="1015" spans="1:39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  <c r="AJ1015" t="str">
        <f t="shared" si="15"/>
        <v>Low</v>
      </c>
      <c r="AK1015" t="str" cm="1">
        <f t="array" ref="AK1015">_xlfn.IFS(S1015&lt;4000,"Low",S1015&lt;8000,"Medium",S1015&gt;=8000,"High")</f>
        <v>Medium</v>
      </c>
      <c r="AL1015" t="str" cm="1">
        <f t="array" ref="AL1015">_xlfn.IFS(AF1015&lt;3,"new",AF1015&lt;=7,"Experienced",AF1015&gt;7,"High")</f>
        <v>Experienced</v>
      </c>
      <c r="AM1015" s="1"/>
    </row>
    <row r="1016" spans="1:39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  <c r="AJ1016" t="str">
        <f t="shared" si="15"/>
        <v>High</v>
      </c>
      <c r="AK1016" t="str" cm="1">
        <f t="array" ref="AK1016">_xlfn.IFS(S1016&lt;4000,"Low",S1016&lt;8000,"Medium",S1016&gt;=8000,"High")</f>
        <v>High</v>
      </c>
      <c r="AL1016" t="str" cm="1">
        <f t="array" ref="AL1016">_xlfn.IFS(AF1016&lt;3,"new",AF1016&lt;=7,"Experienced",AF1016&gt;7,"High")</f>
        <v>Experienced</v>
      </c>
      <c r="AM1016" s="1"/>
    </row>
    <row r="1017" spans="1:39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  <c r="AJ1017" t="str">
        <f t="shared" si="15"/>
        <v>Low</v>
      </c>
      <c r="AK1017" t="str" cm="1">
        <f t="array" ref="AK1017">_xlfn.IFS(S1017&lt;4000,"Low",S1017&lt;8000,"Medium",S1017&gt;=8000,"High")</f>
        <v>Low</v>
      </c>
      <c r="AL1017" t="str" cm="1">
        <f t="array" ref="AL1017">_xlfn.IFS(AF1017&lt;3,"new",AF1017&lt;=7,"Experienced",AF1017&gt;7,"High")</f>
        <v>Experienced</v>
      </c>
      <c r="AM1017" s="1"/>
    </row>
    <row r="1018" spans="1:39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  <c r="AJ1018" t="str">
        <f t="shared" si="15"/>
        <v>Low</v>
      </c>
      <c r="AK1018" t="str" cm="1">
        <f t="array" ref="AK1018">_xlfn.IFS(S1018&lt;4000,"Low",S1018&lt;8000,"Medium",S1018&gt;=8000,"High")</f>
        <v>Low</v>
      </c>
      <c r="AL1018" t="str" cm="1">
        <f t="array" ref="AL1018">_xlfn.IFS(AF1018&lt;3,"new",AF1018&lt;=7,"Experienced",AF1018&gt;7,"High")</f>
        <v>new</v>
      </c>
      <c r="AM1018" s="1"/>
    </row>
    <row r="1019" spans="1:39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  <c r="AJ1019" t="str">
        <f t="shared" si="15"/>
        <v>Low</v>
      </c>
      <c r="AK1019" t="str" cm="1">
        <f t="array" ref="AK1019">_xlfn.IFS(S1019&lt;4000,"Low",S1019&lt;8000,"Medium",S1019&gt;=8000,"High")</f>
        <v>Low</v>
      </c>
      <c r="AL1019" t="str" cm="1">
        <f t="array" ref="AL1019">_xlfn.IFS(AF1019&lt;3,"new",AF1019&lt;=7,"Experienced",AF1019&gt;7,"High")</f>
        <v>Experienced</v>
      </c>
      <c r="AM1019" s="1"/>
    </row>
    <row r="1020" spans="1:39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  <c r="AJ1020" t="str">
        <f t="shared" si="15"/>
        <v>Low</v>
      </c>
      <c r="AK1020" t="str" cm="1">
        <f t="array" ref="AK1020">_xlfn.IFS(S1020&lt;4000,"Low",S1020&lt;8000,"Medium",S1020&gt;=8000,"High")</f>
        <v>Medium</v>
      </c>
      <c r="AL1020" t="str" cm="1">
        <f t="array" ref="AL1020">_xlfn.IFS(AF1020&lt;3,"new",AF1020&lt;=7,"Experienced",AF1020&gt;7,"High")</f>
        <v>High</v>
      </c>
      <c r="AM1020" s="1"/>
    </row>
    <row r="1021" spans="1:39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  <c r="AJ1021" t="str">
        <f t="shared" si="15"/>
        <v>Low</v>
      </c>
      <c r="AK1021" t="str" cm="1">
        <f t="array" ref="AK1021">_xlfn.IFS(S1021&lt;4000,"Low",S1021&lt;8000,"Medium",S1021&gt;=8000,"High")</f>
        <v>Medium</v>
      </c>
      <c r="AL1021" t="str" cm="1">
        <f t="array" ref="AL1021">_xlfn.IFS(AF1021&lt;3,"new",AF1021&lt;=7,"Experienced",AF1021&gt;7,"High")</f>
        <v>Experienced</v>
      </c>
      <c r="AM1021" s="1"/>
    </row>
    <row r="1022" spans="1:39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  <c r="AJ1022" t="str">
        <f t="shared" si="15"/>
        <v>Low</v>
      </c>
      <c r="AK1022" t="str" cm="1">
        <f t="array" ref="AK1022">_xlfn.IFS(S1022&lt;4000,"Low",S1022&lt;8000,"Medium",S1022&gt;=8000,"High")</f>
        <v>Low</v>
      </c>
      <c r="AL1022" t="str" cm="1">
        <f t="array" ref="AL1022">_xlfn.IFS(AF1022&lt;3,"new",AF1022&lt;=7,"Experienced",AF1022&gt;7,"High")</f>
        <v>Experienced</v>
      </c>
      <c r="AM1022" s="1"/>
    </row>
    <row r="1023" spans="1:39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  <c r="AJ1023" t="str">
        <f t="shared" si="15"/>
        <v>Low</v>
      </c>
      <c r="AK1023" t="str" cm="1">
        <f t="array" ref="AK1023">_xlfn.IFS(S1023&lt;4000,"Low",S1023&lt;8000,"Medium",S1023&gt;=8000,"High")</f>
        <v>Medium</v>
      </c>
      <c r="AL1023" t="str" cm="1">
        <f t="array" ref="AL1023">_xlfn.IFS(AF1023&lt;3,"new",AF1023&lt;=7,"Experienced",AF1023&gt;7,"High")</f>
        <v>Experienced</v>
      </c>
      <c r="AM1023" s="1"/>
    </row>
    <row r="1024" spans="1:39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  <c r="AJ1024" t="str">
        <f t="shared" si="15"/>
        <v>Low</v>
      </c>
      <c r="AK1024" t="str" cm="1">
        <f t="array" ref="AK1024">_xlfn.IFS(S1024&lt;4000,"Low",S1024&lt;8000,"Medium",S1024&gt;=8000,"High")</f>
        <v>Low</v>
      </c>
      <c r="AL1024" t="str" cm="1">
        <f t="array" ref="AL1024">_xlfn.IFS(AF1024&lt;3,"new",AF1024&lt;=7,"Experienced",AF1024&gt;7,"High")</f>
        <v>Experienced</v>
      </c>
      <c r="AM1024" s="1"/>
    </row>
    <row r="1025" spans="1:39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  <c r="AJ1025" t="str">
        <f t="shared" si="15"/>
        <v>Low</v>
      </c>
      <c r="AK1025" t="str" cm="1">
        <f t="array" ref="AK1025">_xlfn.IFS(S1025&lt;4000,"Low",S1025&lt;8000,"Medium",S1025&gt;=8000,"High")</f>
        <v>Low</v>
      </c>
      <c r="AL1025" t="str" cm="1">
        <f t="array" ref="AL1025">_xlfn.IFS(AF1025&lt;3,"new",AF1025&lt;=7,"Experienced",AF1025&gt;7,"High")</f>
        <v>Experienced</v>
      </c>
      <c r="AM1025" s="1"/>
    </row>
    <row r="1026" spans="1:39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  <c r="AJ1026" t="str">
        <f t="shared" ref="AJ1026:AJ1089" si="16">IF(S1026&gt;=6500,"High","Low")</f>
        <v>High</v>
      </c>
      <c r="AK1026" t="str" cm="1">
        <f t="array" ref="AK1026">_xlfn.IFS(S1026&lt;4000,"Low",S1026&lt;8000,"Medium",S1026&gt;=8000,"High")</f>
        <v>High</v>
      </c>
      <c r="AL1026" t="str" cm="1">
        <f t="array" ref="AL1026">_xlfn.IFS(AF1026&lt;3,"new",AF1026&lt;=7,"Experienced",AF1026&gt;7,"High")</f>
        <v>High</v>
      </c>
      <c r="AM1026" s="1"/>
    </row>
    <row r="1027" spans="1:39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  <c r="AJ1027" t="str">
        <f t="shared" si="16"/>
        <v>Low</v>
      </c>
      <c r="AK1027" t="str" cm="1">
        <f t="array" ref="AK1027">_xlfn.IFS(S1027&lt;4000,"Low",S1027&lt;8000,"Medium",S1027&gt;=8000,"High")</f>
        <v>Medium</v>
      </c>
      <c r="AL1027" t="str" cm="1">
        <f t="array" ref="AL1027">_xlfn.IFS(AF1027&lt;3,"new",AF1027&lt;=7,"Experienced",AF1027&gt;7,"High")</f>
        <v>Experienced</v>
      </c>
      <c r="AM1027" s="1"/>
    </row>
    <row r="1028" spans="1:39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  <c r="AJ1028" t="str">
        <f t="shared" si="16"/>
        <v>High</v>
      </c>
      <c r="AK1028" t="str" cm="1">
        <f t="array" ref="AK1028">_xlfn.IFS(S1028&lt;4000,"Low",S1028&lt;8000,"Medium",S1028&gt;=8000,"High")</f>
        <v>High</v>
      </c>
      <c r="AL1028" t="str" cm="1">
        <f t="array" ref="AL1028">_xlfn.IFS(AF1028&lt;3,"new",AF1028&lt;=7,"Experienced",AF1028&gt;7,"High")</f>
        <v>Experienced</v>
      </c>
      <c r="AM1028" s="1"/>
    </row>
    <row r="1029" spans="1:39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  <c r="AJ1029" t="str">
        <f t="shared" si="16"/>
        <v>Low</v>
      </c>
      <c r="AK1029" t="str" cm="1">
        <f t="array" ref="AK1029">_xlfn.IFS(S1029&lt;4000,"Low",S1029&lt;8000,"Medium",S1029&gt;=8000,"High")</f>
        <v>Low</v>
      </c>
      <c r="AL1029" t="str" cm="1">
        <f t="array" ref="AL1029">_xlfn.IFS(AF1029&lt;3,"new",AF1029&lt;=7,"Experienced",AF1029&gt;7,"High")</f>
        <v>Experienced</v>
      </c>
      <c r="AM1029" s="1"/>
    </row>
    <row r="1030" spans="1:39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  <c r="AJ1030" t="str">
        <f t="shared" si="16"/>
        <v>Low</v>
      </c>
      <c r="AK1030" t="str" cm="1">
        <f t="array" ref="AK1030">_xlfn.IFS(S1030&lt;4000,"Low",S1030&lt;8000,"Medium",S1030&gt;=8000,"High")</f>
        <v>Low</v>
      </c>
      <c r="AL1030" t="str" cm="1">
        <f t="array" ref="AL1030">_xlfn.IFS(AF1030&lt;3,"new",AF1030&lt;=7,"Experienced",AF1030&gt;7,"High")</f>
        <v>Experienced</v>
      </c>
      <c r="AM1030" s="1"/>
    </row>
    <row r="1031" spans="1:39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  <c r="AJ1031" t="str">
        <f t="shared" si="16"/>
        <v>Low</v>
      </c>
      <c r="AK1031" t="str" cm="1">
        <f t="array" ref="AK1031">_xlfn.IFS(S1031&lt;4000,"Low",S1031&lt;8000,"Medium",S1031&gt;=8000,"High")</f>
        <v>Low</v>
      </c>
      <c r="AL1031" t="str" cm="1">
        <f t="array" ref="AL1031">_xlfn.IFS(AF1031&lt;3,"new",AF1031&lt;=7,"Experienced",AF1031&gt;7,"High")</f>
        <v>High</v>
      </c>
      <c r="AM1031" s="1"/>
    </row>
    <row r="1032" spans="1:39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  <c r="AJ1032" t="str">
        <f t="shared" si="16"/>
        <v>High</v>
      </c>
      <c r="AK1032" t="str" cm="1">
        <f t="array" ref="AK1032">_xlfn.IFS(S1032&lt;4000,"Low",S1032&lt;8000,"Medium",S1032&gt;=8000,"High")</f>
        <v>High</v>
      </c>
      <c r="AL1032" t="str" cm="1">
        <f t="array" ref="AL1032">_xlfn.IFS(AF1032&lt;3,"new",AF1032&lt;=7,"Experienced",AF1032&gt;7,"High")</f>
        <v>High</v>
      </c>
      <c r="AM1032" s="1"/>
    </row>
    <row r="1033" spans="1:39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  <c r="AJ1033" t="str">
        <f t="shared" si="16"/>
        <v>High</v>
      </c>
      <c r="AK1033" t="str" cm="1">
        <f t="array" ref="AK1033">_xlfn.IFS(S1033&lt;4000,"Low",S1033&lt;8000,"Medium",S1033&gt;=8000,"High")</f>
        <v>High</v>
      </c>
      <c r="AL1033" t="str" cm="1">
        <f t="array" ref="AL1033">_xlfn.IFS(AF1033&lt;3,"new",AF1033&lt;=7,"Experienced",AF1033&gt;7,"High")</f>
        <v>Experienced</v>
      </c>
      <c r="AM1033" s="1"/>
    </row>
    <row r="1034" spans="1:39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  <c r="AJ1034" t="str">
        <f t="shared" si="16"/>
        <v>Low</v>
      </c>
      <c r="AK1034" t="str" cm="1">
        <f t="array" ref="AK1034">_xlfn.IFS(S1034&lt;4000,"Low",S1034&lt;8000,"Medium",S1034&gt;=8000,"High")</f>
        <v>Low</v>
      </c>
      <c r="AL1034" t="str" cm="1">
        <f t="array" ref="AL1034">_xlfn.IFS(AF1034&lt;3,"new",AF1034&lt;=7,"Experienced",AF1034&gt;7,"High")</f>
        <v>new</v>
      </c>
      <c r="AM1034" s="1"/>
    </row>
    <row r="1035" spans="1:39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  <c r="AJ1035" t="str">
        <f t="shared" si="16"/>
        <v>High</v>
      </c>
      <c r="AK1035" t="str" cm="1">
        <f t="array" ref="AK1035">_xlfn.IFS(S1035&lt;4000,"Low",S1035&lt;8000,"Medium",S1035&gt;=8000,"High")</f>
        <v>Medium</v>
      </c>
      <c r="AL1035" t="str" cm="1">
        <f t="array" ref="AL1035">_xlfn.IFS(AF1035&lt;3,"new",AF1035&lt;=7,"Experienced",AF1035&gt;7,"High")</f>
        <v>High</v>
      </c>
      <c r="AM1035" s="1"/>
    </row>
    <row r="1036" spans="1:39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  <c r="AJ1036" t="str">
        <f t="shared" si="16"/>
        <v>High</v>
      </c>
      <c r="AK1036" t="str" cm="1">
        <f t="array" ref="AK1036">_xlfn.IFS(S1036&lt;4000,"Low",S1036&lt;8000,"Medium",S1036&gt;=8000,"High")</f>
        <v>High</v>
      </c>
      <c r="AL1036" t="str" cm="1">
        <f t="array" ref="AL1036">_xlfn.IFS(AF1036&lt;3,"new",AF1036&lt;=7,"Experienced",AF1036&gt;7,"High")</f>
        <v>Experienced</v>
      </c>
      <c r="AM1036" s="1"/>
    </row>
    <row r="1037" spans="1:39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  <c r="AJ1037" t="str">
        <f t="shared" si="16"/>
        <v>Low</v>
      </c>
      <c r="AK1037" t="str" cm="1">
        <f t="array" ref="AK1037">_xlfn.IFS(S1037&lt;4000,"Low",S1037&lt;8000,"Medium",S1037&gt;=8000,"High")</f>
        <v>Low</v>
      </c>
      <c r="AL1037" t="str" cm="1">
        <f t="array" ref="AL1037">_xlfn.IFS(AF1037&lt;3,"new",AF1037&lt;=7,"Experienced",AF1037&gt;7,"High")</f>
        <v>Experienced</v>
      </c>
      <c r="AM1037" s="1"/>
    </row>
    <row r="1038" spans="1:39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  <c r="AJ1038" t="str">
        <f t="shared" si="16"/>
        <v>Low</v>
      </c>
      <c r="AK1038" t="str" cm="1">
        <f t="array" ref="AK1038">_xlfn.IFS(S1038&lt;4000,"Low",S1038&lt;8000,"Medium",S1038&gt;=8000,"High")</f>
        <v>Low</v>
      </c>
      <c r="AL1038" t="str" cm="1">
        <f t="array" ref="AL1038">_xlfn.IFS(AF1038&lt;3,"new",AF1038&lt;=7,"Experienced",AF1038&gt;7,"High")</f>
        <v>new</v>
      </c>
      <c r="AM1038" s="1"/>
    </row>
    <row r="1039" spans="1:39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  <c r="AJ1039" t="str">
        <f t="shared" si="16"/>
        <v>High</v>
      </c>
      <c r="AK1039" t="str" cm="1">
        <f t="array" ref="AK1039">_xlfn.IFS(S1039&lt;4000,"Low",S1039&lt;8000,"Medium",S1039&gt;=8000,"High")</f>
        <v>High</v>
      </c>
      <c r="AL1039" t="str" cm="1">
        <f t="array" ref="AL1039">_xlfn.IFS(AF1039&lt;3,"new",AF1039&lt;=7,"Experienced",AF1039&gt;7,"High")</f>
        <v>Experienced</v>
      </c>
      <c r="AM1039" s="1"/>
    </row>
    <row r="1040" spans="1:39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  <c r="AJ1040" t="str">
        <f t="shared" si="16"/>
        <v>Low</v>
      </c>
      <c r="AK1040" t="str" cm="1">
        <f t="array" ref="AK1040">_xlfn.IFS(S1040&lt;4000,"Low",S1040&lt;8000,"Medium",S1040&gt;=8000,"High")</f>
        <v>Medium</v>
      </c>
      <c r="AL1040" t="str" cm="1">
        <f t="array" ref="AL1040">_xlfn.IFS(AF1040&lt;3,"new",AF1040&lt;=7,"Experienced",AF1040&gt;7,"High")</f>
        <v>new</v>
      </c>
      <c r="AM1040" s="1"/>
    </row>
    <row r="1041" spans="1:39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  <c r="AJ1041" t="str">
        <f t="shared" si="16"/>
        <v>Low</v>
      </c>
      <c r="AK1041" t="str" cm="1">
        <f t="array" ref="AK1041">_xlfn.IFS(S1041&lt;4000,"Low",S1041&lt;8000,"Medium",S1041&gt;=8000,"High")</f>
        <v>Low</v>
      </c>
      <c r="AL1041" t="str" cm="1">
        <f t="array" ref="AL1041">_xlfn.IFS(AF1041&lt;3,"new",AF1041&lt;=7,"Experienced",AF1041&gt;7,"High")</f>
        <v>new</v>
      </c>
      <c r="AM1041" s="1"/>
    </row>
    <row r="1042" spans="1:39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  <c r="AJ1042" t="str">
        <f t="shared" si="16"/>
        <v>High</v>
      </c>
      <c r="AK1042" t="str" cm="1">
        <f t="array" ref="AK1042">_xlfn.IFS(S1042&lt;4000,"Low",S1042&lt;8000,"Medium",S1042&gt;=8000,"High")</f>
        <v>High</v>
      </c>
      <c r="AL1042" t="str" cm="1">
        <f t="array" ref="AL1042">_xlfn.IFS(AF1042&lt;3,"new",AF1042&lt;=7,"Experienced",AF1042&gt;7,"High")</f>
        <v>High</v>
      </c>
      <c r="AM1042" s="1"/>
    </row>
    <row r="1043" spans="1:39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  <c r="AJ1043" t="str">
        <f t="shared" si="16"/>
        <v>High</v>
      </c>
      <c r="AK1043" t="str" cm="1">
        <f t="array" ref="AK1043">_xlfn.IFS(S1043&lt;4000,"Low",S1043&lt;8000,"Medium",S1043&gt;=8000,"High")</f>
        <v>High</v>
      </c>
      <c r="AL1043" t="str" cm="1">
        <f t="array" ref="AL1043">_xlfn.IFS(AF1043&lt;3,"new",AF1043&lt;=7,"Experienced",AF1043&gt;7,"High")</f>
        <v>Experienced</v>
      </c>
      <c r="AM1043" s="1"/>
    </row>
    <row r="1044" spans="1:39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  <c r="AJ1044" t="str">
        <f t="shared" si="16"/>
        <v>Low</v>
      </c>
      <c r="AK1044" t="str" cm="1">
        <f t="array" ref="AK1044">_xlfn.IFS(S1044&lt;4000,"Low",S1044&lt;8000,"Medium",S1044&gt;=8000,"High")</f>
        <v>Low</v>
      </c>
      <c r="AL1044" t="str" cm="1">
        <f t="array" ref="AL1044">_xlfn.IFS(AF1044&lt;3,"new",AF1044&lt;=7,"Experienced",AF1044&gt;7,"High")</f>
        <v>Experienced</v>
      </c>
      <c r="AM1044" s="1"/>
    </row>
    <row r="1045" spans="1:39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  <c r="AJ1045" t="str">
        <f t="shared" si="16"/>
        <v>High</v>
      </c>
      <c r="AK1045" t="str" cm="1">
        <f t="array" ref="AK1045">_xlfn.IFS(S1045&lt;4000,"Low",S1045&lt;8000,"Medium",S1045&gt;=8000,"High")</f>
        <v>High</v>
      </c>
      <c r="AL1045" t="str" cm="1">
        <f t="array" ref="AL1045">_xlfn.IFS(AF1045&lt;3,"new",AF1045&lt;=7,"Experienced",AF1045&gt;7,"High")</f>
        <v>High</v>
      </c>
      <c r="AM1045" s="1"/>
    </row>
    <row r="1046" spans="1:39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  <c r="AJ1046" t="str">
        <f t="shared" si="16"/>
        <v>High</v>
      </c>
      <c r="AK1046" t="str" cm="1">
        <f t="array" ref="AK1046">_xlfn.IFS(S1046&lt;4000,"Low",S1046&lt;8000,"Medium",S1046&gt;=8000,"High")</f>
        <v>Medium</v>
      </c>
      <c r="AL1046" t="str" cm="1">
        <f t="array" ref="AL1046">_xlfn.IFS(AF1046&lt;3,"new",AF1046&lt;=7,"Experienced",AF1046&gt;7,"High")</f>
        <v>Experienced</v>
      </c>
      <c r="AM1046" s="1"/>
    </row>
    <row r="1047" spans="1:39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  <c r="AJ1047" t="str">
        <f t="shared" si="16"/>
        <v>Low</v>
      </c>
      <c r="AK1047" t="str" cm="1">
        <f t="array" ref="AK1047">_xlfn.IFS(S1047&lt;4000,"Low",S1047&lt;8000,"Medium",S1047&gt;=8000,"High")</f>
        <v>Low</v>
      </c>
      <c r="AL1047" t="str" cm="1">
        <f t="array" ref="AL1047">_xlfn.IFS(AF1047&lt;3,"new",AF1047&lt;=7,"Experienced",AF1047&gt;7,"High")</f>
        <v>Experienced</v>
      </c>
      <c r="AM1047" s="1"/>
    </row>
    <row r="1048" spans="1:39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  <c r="AJ1048" t="str">
        <f t="shared" si="16"/>
        <v>Low</v>
      </c>
      <c r="AK1048" t="str" cm="1">
        <f t="array" ref="AK1048">_xlfn.IFS(S1048&lt;4000,"Low",S1048&lt;8000,"Medium",S1048&gt;=8000,"High")</f>
        <v>Low</v>
      </c>
      <c r="AL1048" t="str" cm="1">
        <f t="array" ref="AL1048">_xlfn.IFS(AF1048&lt;3,"new",AF1048&lt;=7,"Experienced",AF1048&gt;7,"High")</f>
        <v>Experienced</v>
      </c>
      <c r="AM1048" s="1"/>
    </row>
    <row r="1049" spans="1:39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  <c r="AJ1049" t="str">
        <f t="shared" si="16"/>
        <v>Low</v>
      </c>
      <c r="AK1049" t="str" cm="1">
        <f t="array" ref="AK1049">_xlfn.IFS(S1049&lt;4000,"Low",S1049&lt;8000,"Medium",S1049&gt;=8000,"High")</f>
        <v>Medium</v>
      </c>
      <c r="AL1049" t="str" cm="1">
        <f t="array" ref="AL1049">_xlfn.IFS(AF1049&lt;3,"new",AF1049&lt;=7,"Experienced",AF1049&gt;7,"High")</f>
        <v>Experienced</v>
      </c>
      <c r="AM1049" s="1"/>
    </row>
    <row r="1050" spans="1:39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  <c r="AJ1050" t="str">
        <f t="shared" si="16"/>
        <v>Low</v>
      </c>
      <c r="AK1050" t="str" cm="1">
        <f t="array" ref="AK1050">_xlfn.IFS(S1050&lt;4000,"Low",S1050&lt;8000,"Medium",S1050&gt;=8000,"High")</f>
        <v>Medium</v>
      </c>
      <c r="AL1050" t="str" cm="1">
        <f t="array" ref="AL1050">_xlfn.IFS(AF1050&lt;3,"new",AF1050&lt;=7,"Experienced",AF1050&gt;7,"High")</f>
        <v>High</v>
      </c>
      <c r="AM1050" s="1"/>
    </row>
    <row r="1051" spans="1:39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  <c r="AJ1051" t="str">
        <f t="shared" si="16"/>
        <v>Low</v>
      </c>
      <c r="AK1051" t="str" cm="1">
        <f t="array" ref="AK1051">_xlfn.IFS(S1051&lt;4000,"Low",S1051&lt;8000,"Medium",S1051&gt;=8000,"High")</f>
        <v>Medium</v>
      </c>
      <c r="AL1051" t="str" cm="1">
        <f t="array" ref="AL1051">_xlfn.IFS(AF1051&lt;3,"new",AF1051&lt;=7,"Experienced",AF1051&gt;7,"High")</f>
        <v>new</v>
      </c>
      <c r="AM1051" s="1"/>
    </row>
    <row r="1052" spans="1:39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  <c r="AJ1052" t="str">
        <f t="shared" si="16"/>
        <v>Low</v>
      </c>
      <c r="AK1052" t="str" cm="1">
        <f t="array" ref="AK1052">_xlfn.IFS(S1052&lt;4000,"Low",S1052&lt;8000,"Medium",S1052&gt;=8000,"High")</f>
        <v>Low</v>
      </c>
      <c r="AL1052" t="str" cm="1">
        <f t="array" ref="AL1052">_xlfn.IFS(AF1052&lt;3,"new",AF1052&lt;=7,"Experienced",AF1052&gt;7,"High")</f>
        <v>High</v>
      </c>
      <c r="AM1052" s="1"/>
    </row>
    <row r="1053" spans="1:39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  <c r="AJ1053" t="str">
        <f t="shared" si="16"/>
        <v>Low</v>
      </c>
      <c r="AK1053" t="str" cm="1">
        <f t="array" ref="AK1053">_xlfn.IFS(S1053&lt;4000,"Low",S1053&lt;8000,"Medium",S1053&gt;=8000,"High")</f>
        <v>Medium</v>
      </c>
      <c r="AL1053" t="str" cm="1">
        <f t="array" ref="AL1053">_xlfn.IFS(AF1053&lt;3,"new",AF1053&lt;=7,"Experienced",AF1053&gt;7,"High")</f>
        <v>new</v>
      </c>
      <c r="AM1053" s="1"/>
    </row>
    <row r="1054" spans="1:39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  <c r="AJ1054" t="str">
        <f t="shared" si="16"/>
        <v>Low</v>
      </c>
      <c r="AK1054" t="str" cm="1">
        <f t="array" ref="AK1054">_xlfn.IFS(S1054&lt;4000,"Low",S1054&lt;8000,"Medium",S1054&gt;=8000,"High")</f>
        <v>Low</v>
      </c>
      <c r="AL1054" t="str" cm="1">
        <f t="array" ref="AL1054">_xlfn.IFS(AF1054&lt;3,"new",AF1054&lt;=7,"Experienced",AF1054&gt;7,"High")</f>
        <v>new</v>
      </c>
      <c r="AM1054" s="1"/>
    </row>
    <row r="1055" spans="1:39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  <c r="AJ1055" t="str">
        <f t="shared" si="16"/>
        <v>Low</v>
      </c>
      <c r="AK1055" t="str" cm="1">
        <f t="array" ref="AK1055">_xlfn.IFS(S1055&lt;4000,"Low",S1055&lt;8000,"Medium",S1055&gt;=8000,"High")</f>
        <v>Medium</v>
      </c>
      <c r="AL1055" t="str" cm="1">
        <f t="array" ref="AL1055">_xlfn.IFS(AF1055&lt;3,"new",AF1055&lt;=7,"Experienced",AF1055&gt;7,"High")</f>
        <v>High</v>
      </c>
      <c r="AM1055" s="1"/>
    </row>
    <row r="1056" spans="1:39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  <c r="AJ1056" t="str">
        <f t="shared" si="16"/>
        <v>High</v>
      </c>
      <c r="AK1056" t="str" cm="1">
        <f t="array" ref="AK1056">_xlfn.IFS(S1056&lt;4000,"Low",S1056&lt;8000,"Medium",S1056&gt;=8000,"High")</f>
        <v>High</v>
      </c>
      <c r="AL1056" t="str" cm="1">
        <f t="array" ref="AL1056">_xlfn.IFS(AF1056&lt;3,"new",AF1056&lt;=7,"Experienced",AF1056&gt;7,"High")</f>
        <v>High</v>
      </c>
      <c r="AM1056" s="1"/>
    </row>
    <row r="1057" spans="1:39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  <c r="AJ1057" t="str">
        <f t="shared" si="16"/>
        <v>High</v>
      </c>
      <c r="AK1057" t="str" cm="1">
        <f t="array" ref="AK1057">_xlfn.IFS(S1057&lt;4000,"Low",S1057&lt;8000,"Medium",S1057&gt;=8000,"High")</f>
        <v>High</v>
      </c>
      <c r="AL1057" t="str" cm="1">
        <f t="array" ref="AL1057">_xlfn.IFS(AF1057&lt;3,"new",AF1057&lt;=7,"Experienced",AF1057&gt;7,"High")</f>
        <v>High</v>
      </c>
      <c r="AM1057" s="1"/>
    </row>
    <row r="1058" spans="1:39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  <c r="AJ1058" t="str">
        <f t="shared" si="16"/>
        <v>Low</v>
      </c>
      <c r="AK1058" t="str" cm="1">
        <f t="array" ref="AK1058">_xlfn.IFS(S1058&lt;4000,"Low",S1058&lt;8000,"Medium",S1058&gt;=8000,"High")</f>
        <v>Low</v>
      </c>
      <c r="AL1058" t="str" cm="1">
        <f t="array" ref="AL1058">_xlfn.IFS(AF1058&lt;3,"new",AF1058&lt;=7,"Experienced",AF1058&gt;7,"High")</f>
        <v>Experienced</v>
      </c>
      <c r="AM1058" s="1"/>
    </row>
    <row r="1059" spans="1:39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  <c r="AJ1059" t="str">
        <f t="shared" si="16"/>
        <v>Low</v>
      </c>
      <c r="AK1059" t="str" cm="1">
        <f t="array" ref="AK1059">_xlfn.IFS(S1059&lt;4000,"Low",S1059&lt;8000,"Medium",S1059&gt;=8000,"High")</f>
        <v>Medium</v>
      </c>
      <c r="AL1059" t="str" cm="1">
        <f t="array" ref="AL1059">_xlfn.IFS(AF1059&lt;3,"new",AF1059&lt;=7,"Experienced",AF1059&gt;7,"High")</f>
        <v>Experienced</v>
      </c>
      <c r="AM1059" s="1"/>
    </row>
    <row r="1060" spans="1:39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  <c r="AJ1060" t="str">
        <f t="shared" si="16"/>
        <v>Low</v>
      </c>
      <c r="AK1060" t="str" cm="1">
        <f t="array" ref="AK1060">_xlfn.IFS(S1060&lt;4000,"Low",S1060&lt;8000,"Medium",S1060&gt;=8000,"High")</f>
        <v>Medium</v>
      </c>
      <c r="AL1060" t="str" cm="1">
        <f t="array" ref="AL1060">_xlfn.IFS(AF1060&lt;3,"new",AF1060&lt;=7,"Experienced",AF1060&gt;7,"High")</f>
        <v>High</v>
      </c>
      <c r="AM1060" s="1"/>
    </row>
    <row r="1061" spans="1:39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  <c r="AJ1061" t="str">
        <f t="shared" si="16"/>
        <v>Low</v>
      </c>
      <c r="AK1061" t="str" cm="1">
        <f t="array" ref="AK1061">_xlfn.IFS(S1061&lt;4000,"Low",S1061&lt;8000,"Medium",S1061&gt;=8000,"High")</f>
        <v>Low</v>
      </c>
      <c r="AL1061" t="str" cm="1">
        <f t="array" ref="AL1061">_xlfn.IFS(AF1061&lt;3,"new",AF1061&lt;=7,"Experienced",AF1061&gt;7,"High")</f>
        <v>new</v>
      </c>
      <c r="AM1061" s="1"/>
    </row>
    <row r="1062" spans="1:39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  <c r="AJ1062" t="str">
        <f t="shared" si="16"/>
        <v>Low</v>
      </c>
      <c r="AK1062" t="str" cm="1">
        <f t="array" ref="AK1062">_xlfn.IFS(S1062&lt;4000,"Low",S1062&lt;8000,"Medium",S1062&gt;=8000,"High")</f>
        <v>Low</v>
      </c>
      <c r="AL1062" t="str" cm="1">
        <f t="array" ref="AL1062">_xlfn.IFS(AF1062&lt;3,"new",AF1062&lt;=7,"Experienced",AF1062&gt;7,"High")</f>
        <v>new</v>
      </c>
      <c r="AM1062" s="1"/>
    </row>
    <row r="1063" spans="1:39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  <c r="AJ1063" t="str">
        <f t="shared" si="16"/>
        <v>Low</v>
      </c>
      <c r="AK1063" t="str" cm="1">
        <f t="array" ref="AK1063">_xlfn.IFS(S1063&lt;4000,"Low",S1063&lt;8000,"Medium",S1063&gt;=8000,"High")</f>
        <v>Low</v>
      </c>
      <c r="AL1063" t="str" cm="1">
        <f t="array" ref="AL1063">_xlfn.IFS(AF1063&lt;3,"new",AF1063&lt;=7,"Experienced",AF1063&gt;7,"High")</f>
        <v>new</v>
      </c>
      <c r="AM1063" s="1"/>
    </row>
    <row r="1064" spans="1:39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  <c r="AJ1064" t="str">
        <f t="shared" si="16"/>
        <v>High</v>
      </c>
      <c r="AK1064" t="str" cm="1">
        <f t="array" ref="AK1064">_xlfn.IFS(S1064&lt;4000,"Low",S1064&lt;8000,"Medium",S1064&gt;=8000,"High")</f>
        <v>High</v>
      </c>
      <c r="AL1064" t="str" cm="1">
        <f t="array" ref="AL1064">_xlfn.IFS(AF1064&lt;3,"new",AF1064&lt;=7,"Experienced",AF1064&gt;7,"High")</f>
        <v>new</v>
      </c>
      <c r="AM1064" s="1"/>
    </row>
    <row r="1065" spans="1:39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  <c r="AJ1065" t="str">
        <f t="shared" si="16"/>
        <v>High</v>
      </c>
      <c r="AK1065" t="str" cm="1">
        <f t="array" ref="AK1065">_xlfn.IFS(S1065&lt;4000,"Low",S1065&lt;8000,"Medium",S1065&gt;=8000,"High")</f>
        <v>High</v>
      </c>
      <c r="AL1065" t="str" cm="1">
        <f t="array" ref="AL1065">_xlfn.IFS(AF1065&lt;3,"new",AF1065&lt;=7,"Experienced",AF1065&gt;7,"High")</f>
        <v>High</v>
      </c>
      <c r="AM1065" s="1"/>
    </row>
    <row r="1066" spans="1:39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  <c r="AJ1066" t="str">
        <f t="shared" si="16"/>
        <v>Low</v>
      </c>
      <c r="AK1066" t="str" cm="1">
        <f t="array" ref="AK1066">_xlfn.IFS(S1066&lt;4000,"Low",S1066&lt;8000,"Medium",S1066&gt;=8000,"High")</f>
        <v>Low</v>
      </c>
      <c r="AL1066" t="str" cm="1">
        <f t="array" ref="AL1066">_xlfn.IFS(AF1066&lt;3,"new",AF1066&lt;=7,"Experienced",AF1066&gt;7,"High")</f>
        <v>Experienced</v>
      </c>
      <c r="AM1066" s="1"/>
    </row>
    <row r="1067" spans="1:39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  <c r="AJ1067" t="str">
        <f t="shared" si="16"/>
        <v>Low</v>
      </c>
      <c r="AK1067" t="str" cm="1">
        <f t="array" ref="AK1067">_xlfn.IFS(S1067&lt;4000,"Low",S1067&lt;8000,"Medium",S1067&gt;=8000,"High")</f>
        <v>Medium</v>
      </c>
      <c r="AL1067" t="str" cm="1">
        <f t="array" ref="AL1067">_xlfn.IFS(AF1067&lt;3,"new",AF1067&lt;=7,"Experienced",AF1067&gt;7,"High")</f>
        <v>Experienced</v>
      </c>
      <c r="AM1067" s="1"/>
    </row>
    <row r="1068" spans="1:39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  <c r="AJ1068" t="str">
        <f t="shared" si="16"/>
        <v>Low</v>
      </c>
      <c r="AK1068" t="str" cm="1">
        <f t="array" ref="AK1068">_xlfn.IFS(S1068&lt;4000,"Low",S1068&lt;8000,"Medium",S1068&gt;=8000,"High")</f>
        <v>Low</v>
      </c>
      <c r="AL1068" t="str" cm="1">
        <f t="array" ref="AL1068">_xlfn.IFS(AF1068&lt;3,"new",AF1068&lt;=7,"Experienced",AF1068&gt;7,"High")</f>
        <v>Experienced</v>
      </c>
      <c r="AM1068" s="1"/>
    </row>
    <row r="1069" spans="1:39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  <c r="AJ1069" t="str">
        <f t="shared" si="16"/>
        <v>Low</v>
      </c>
      <c r="AK1069" t="str" cm="1">
        <f t="array" ref="AK1069">_xlfn.IFS(S1069&lt;4000,"Low",S1069&lt;8000,"Medium",S1069&gt;=8000,"High")</f>
        <v>Medium</v>
      </c>
      <c r="AL1069" t="str" cm="1">
        <f t="array" ref="AL1069">_xlfn.IFS(AF1069&lt;3,"new",AF1069&lt;=7,"Experienced",AF1069&gt;7,"High")</f>
        <v>Experienced</v>
      </c>
      <c r="AM1069" s="1"/>
    </row>
    <row r="1070" spans="1:39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  <c r="AJ1070" t="str">
        <f t="shared" si="16"/>
        <v>Low</v>
      </c>
      <c r="AK1070" t="str" cm="1">
        <f t="array" ref="AK1070">_xlfn.IFS(S1070&lt;4000,"Low",S1070&lt;8000,"Medium",S1070&gt;=8000,"High")</f>
        <v>Low</v>
      </c>
      <c r="AL1070" t="str" cm="1">
        <f t="array" ref="AL1070">_xlfn.IFS(AF1070&lt;3,"new",AF1070&lt;=7,"Experienced",AF1070&gt;7,"High")</f>
        <v>new</v>
      </c>
      <c r="AM1070" s="1"/>
    </row>
    <row r="1071" spans="1:39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  <c r="AJ1071" t="str">
        <f t="shared" si="16"/>
        <v>Low</v>
      </c>
      <c r="AK1071" t="str" cm="1">
        <f t="array" ref="AK1071">_xlfn.IFS(S1071&lt;4000,"Low",S1071&lt;8000,"Medium",S1071&gt;=8000,"High")</f>
        <v>Low</v>
      </c>
      <c r="AL1071" t="str" cm="1">
        <f t="array" ref="AL1071">_xlfn.IFS(AF1071&lt;3,"new",AF1071&lt;=7,"Experienced",AF1071&gt;7,"High")</f>
        <v>new</v>
      </c>
      <c r="AM1071" s="1"/>
    </row>
    <row r="1072" spans="1:39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  <c r="AJ1072" t="str">
        <f t="shared" si="16"/>
        <v>Low</v>
      </c>
      <c r="AK1072" t="str" cm="1">
        <f t="array" ref="AK1072">_xlfn.IFS(S1072&lt;4000,"Low",S1072&lt;8000,"Medium",S1072&gt;=8000,"High")</f>
        <v>Medium</v>
      </c>
      <c r="AL1072" t="str" cm="1">
        <f t="array" ref="AL1072">_xlfn.IFS(AF1072&lt;3,"new",AF1072&lt;=7,"Experienced",AF1072&gt;7,"High")</f>
        <v>Experienced</v>
      </c>
      <c r="AM1072" s="1"/>
    </row>
    <row r="1073" spans="1:39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  <c r="AJ1073" t="str">
        <f t="shared" si="16"/>
        <v>Low</v>
      </c>
      <c r="AK1073" t="str" cm="1">
        <f t="array" ref="AK1073">_xlfn.IFS(S1073&lt;4000,"Low",S1073&lt;8000,"Medium",S1073&gt;=8000,"High")</f>
        <v>Medium</v>
      </c>
      <c r="AL1073" t="str" cm="1">
        <f t="array" ref="AL1073">_xlfn.IFS(AF1073&lt;3,"new",AF1073&lt;=7,"Experienced",AF1073&gt;7,"High")</f>
        <v>Experienced</v>
      </c>
      <c r="AM1073" s="1"/>
    </row>
    <row r="1074" spans="1:39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  <c r="AJ1074" t="str">
        <f t="shared" si="16"/>
        <v>Low</v>
      </c>
      <c r="AK1074" t="str" cm="1">
        <f t="array" ref="AK1074">_xlfn.IFS(S1074&lt;4000,"Low",S1074&lt;8000,"Medium",S1074&gt;=8000,"High")</f>
        <v>Low</v>
      </c>
      <c r="AL1074" t="str" cm="1">
        <f t="array" ref="AL1074">_xlfn.IFS(AF1074&lt;3,"new",AF1074&lt;=7,"Experienced",AF1074&gt;7,"High")</f>
        <v>Experienced</v>
      </c>
      <c r="AM1074" s="1"/>
    </row>
    <row r="1075" spans="1:39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  <c r="AJ1075" t="str">
        <f t="shared" si="16"/>
        <v>High</v>
      </c>
      <c r="AK1075" t="str" cm="1">
        <f t="array" ref="AK1075">_xlfn.IFS(S1075&lt;4000,"Low",S1075&lt;8000,"Medium",S1075&gt;=8000,"High")</f>
        <v>Medium</v>
      </c>
      <c r="AL1075" t="str" cm="1">
        <f t="array" ref="AL1075">_xlfn.IFS(AF1075&lt;3,"new",AF1075&lt;=7,"Experienced",AF1075&gt;7,"High")</f>
        <v>High</v>
      </c>
      <c r="AM1075" s="1"/>
    </row>
    <row r="1076" spans="1:39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  <c r="AJ1076" t="str">
        <f t="shared" si="16"/>
        <v>Low</v>
      </c>
      <c r="AK1076" t="str" cm="1">
        <f t="array" ref="AK1076">_xlfn.IFS(S1076&lt;4000,"Low",S1076&lt;8000,"Medium",S1076&gt;=8000,"High")</f>
        <v>Medium</v>
      </c>
      <c r="AL1076" t="str" cm="1">
        <f t="array" ref="AL1076">_xlfn.IFS(AF1076&lt;3,"new",AF1076&lt;=7,"Experienced",AF1076&gt;7,"High")</f>
        <v>new</v>
      </c>
      <c r="AM1076" s="1"/>
    </row>
    <row r="1077" spans="1:39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  <c r="AJ1077" t="str">
        <f t="shared" si="16"/>
        <v>High</v>
      </c>
      <c r="AK1077" t="str" cm="1">
        <f t="array" ref="AK1077">_xlfn.IFS(S1077&lt;4000,"Low",S1077&lt;8000,"Medium",S1077&gt;=8000,"High")</f>
        <v>High</v>
      </c>
      <c r="AL1077" t="str" cm="1">
        <f t="array" ref="AL1077">_xlfn.IFS(AF1077&lt;3,"new",AF1077&lt;=7,"Experienced",AF1077&gt;7,"High")</f>
        <v>Experienced</v>
      </c>
      <c r="AM1077" s="1"/>
    </row>
    <row r="1078" spans="1:39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  <c r="AJ1078" t="str">
        <f t="shared" si="16"/>
        <v>High</v>
      </c>
      <c r="AK1078" t="str" cm="1">
        <f t="array" ref="AK1078">_xlfn.IFS(S1078&lt;4000,"Low",S1078&lt;8000,"Medium",S1078&gt;=8000,"High")</f>
        <v>High</v>
      </c>
      <c r="AL1078" t="str" cm="1">
        <f t="array" ref="AL1078">_xlfn.IFS(AF1078&lt;3,"new",AF1078&lt;=7,"Experienced",AF1078&gt;7,"High")</f>
        <v>High</v>
      </c>
      <c r="AM1078" s="1"/>
    </row>
    <row r="1079" spans="1:39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  <c r="AJ1079" t="str">
        <f t="shared" si="16"/>
        <v>Low</v>
      </c>
      <c r="AK1079" t="str" cm="1">
        <f t="array" ref="AK1079">_xlfn.IFS(S1079&lt;4000,"Low",S1079&lt;8000,"Medium",S1079&gt;=8000,"High")</f>
        <v>Low</v>
      </c>
      <c r="AL1079" t="str" cm="1">
        <f t="array" ref="AL1079">_xlfn.IFS(AF1079&lt;3,"new",AF1079&lt;=7,"Experienced",AF1079&gt;7,"High")</f>
        <v>High</v>
      </c>
      <c r="AM1079" s="1"/>
    </row>
    <row r="1080" spans="1:39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  <c r="AJ1080" t="str">
        <f t="shared" si="16"/>
        <v>High</v>
      </c>
      <c r="AK1080" t="str" cm="1">
        <f t="array" ref="AK1080">_xlfn.IFS(S1080&lt;4000,"Low",S1080&lt;8000,"Medium",S1080&gt;=8000,"High")</f>
        <v>High</v>
      </c>
      <c r="AL1080" t="str" cm="1">
        <f t="array" ref="AL1080">_xlfn.IFS(AF1080&lt;3,"new",AF1080&lt;=7,"Experienced",AF1080&gt;7,"High")</f>
        <v>High</v>
      </c>
      <c r="AM1080" s="1"/>
    </row>
    <row r="1081" spans="1:39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  <c r="AJ1081" t="str">
        <f t="shared" si="16"/>
        <v>High</v>
      </c>
      <c r="AK1081" t="str" cm="1">
        <f t="array" ref="AK1081">_xlfn.IFS(S1081&lt;4000,"Low",S1081&lt;8000,"Medium",S1081&gt;=8000,"High")</f>
        <v>High</v>
      </c>
      <c r="AL1081" t="str" cm="1">
        <f t="array" ref="AL1081">_xlfn.IFS(AF1081&lt;3,"new",AF1081&lt;=7,"Experienced",AF1081&gt;7,"High")</f>
        <v>new</v>
      </c>
      <c r="AM1081" s="1"/>
    </row>
    <row r="1082" spans="1:39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  <c r="AJ1082" t="str">
        <f t="shared" si="16"/>
        <v>High</v>
      </c>
      <c r="AK1082" t="str" cm="1">
        <f t="array" ref="AK1082">_xlfn.IFS(S1082&lt;4000,"Low",S1082&lt;8000,"Medium",S1082&gt;=8000,"High")</f>
        <v>High</v>
      </c>
      <c r="AL1082" t="str" cm="1">
        <f t="array" ref="AL1082">_xlfn.IFS(AF1082&lt;3,"new",AF1082&lt;=7,"Experienced",AF1082&gt;7,"High")</f>
        <v>High</v>
      </c>
      <c r="AM1082" s="1"/>
    </row>
    <row r="1083" spans="1:39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  <c r="AJ1083" t="str">
        <f t="shared" si="16"/>
        <v>High</v>
      </c>
      <c r="AK1083" t="str" cm="1">
        <f t="array" ref="AK1083">_xlfn.IFS(S1083&lt;4000,"Low",S1083&lt;8000,"Medium",S1083&gt;=8000,"High")</f>
        <v>High</v>
      </c>
      <c r="AL1083" t="str" cm="1">
        <f t="array" ref="AL1083">_xlfn.IFS(AF1083&lt;3,"new",AF1083&lt;=7,"Experienced",AF1083&gt;7,"High")</f>
        <v>High</v>
      </c>
      <c r="AM1083" s="1"/>
    </row>
    <row r="1084" spans="1:39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  <c r="AJ1084" t="str">
        <f t="shared" si="16"/>
        <v>Low</v>
      </c>
      <c r="AK1084" t="str" cm="1">
        <f t="array" ref="AK1084">_xlfn.IFS(S1084&lt;4000,"Low",S1084&lt;8000,"Medium",S1084&gt;=8000,"High")</f>
        <v>Low</v>
      </c>
      <c r="AL1084" t="str" cm="1">
        <f t="array" ref="AL1084">_xlfn.IFS(AF1084&lt;3,"new",AF1084&lt;=7,"Experienced",AF1084&gt;7,"High")</f>
        <v>Experienced</v>
      </c>
      <c r="AM1084" s="1"/>
    </row>
    <row r="1085" spans="1:39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  <c r="AJ1085" t="str">
        <f t="shared" si="16"/>
        <v>Low</v>
      </c>
      <c r="AK1085" t="str" cm="1">
        <f t="array" ref="AK1085">_xlfn.IFS(S1085&lt;4000,"Low",S1085&lt;8000,"Medium",S1085&gt;=8000,"High")</f>
        <v>Low</v>
      </c>
      <c r="AL1085" t="str" cm="1">
        <f t="array" ref="AL1085">_xlfn.IFS(AF1085&lt;3,"new",AF1085&lt;=7,"Experienced",AF1085&gt;7,"High")</f>
        <v>Experienced</v>
      </c>
      <c r="AM1085" s="1"/>
    </row>
    <row r="1086" spans="1:39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  <c r="AJ1086" t="str">
        <f t="shared" si="16"/>
        <v>High</v>
      </c>
      <c r="AK1086" t="str" cm="1">
        <f t="array" ref="AK1086">_xlfn.IFS(S1086&lt;4000,"Low",S1086&lt;8000,"Medium",S1086&gt;=8000,"High")</f>
        <v>Medium</v>
      </c>
      <c r="AL1086" t="str" cm="1">
        <f t="array" ref="AL1086">_xlfn.IFS(AF1086&lt;3,"new",AF1086&lt;=7,"Experienced",AF1086&gt;7,"High")</f>
        <v>High</v>
      </c>
      <c r="AM1086" s="1"/>
    </row>
    <row r="1087" spans="1:39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  <c r="AJ1087" t="str">
        <f t="shared" si="16"/>
        <v>Low</v>
      </c>
      <c r="AK1087" t="str" cm="1">
        <f t="array" ref="AK1087">_xlfn.IFS(S1087&lt;4000,"Low",S1087&lt;8000,"Medium",S1087&gt;=8000,"High")</f>
        <v>Medium</v>
      </c>
      <c r="AL1087" t="str" cm="1">
        <f t="array" ref="AL1087">_xlfn.IFS(AF1087&lt;3,"new",AF1087&lt;=7,"Experienced",AF1087&gt;7,"High")</f>
        <v>Experienced</v>
      </c>
      <c r="AM1087" s="1"/>
    </row>
    <row r="1088" spans="1:39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  <c r="AJ1088" t="str">
        <f t="shared" si="16"/>
        <v>High</v>
      </c>
      <c r="AK1088" t="str" cm="1">
        <f t="array" ref="AK1088">_xlfn.IFS(S1088&lt;4000,"Low",S1088&lt;8000,"Medium",S1088&gt;=8000,"High")</f>
        <v>High</v>
      </c>
      <c r="AL1088" t="str" cm="1">
        <f t="array" ref="AL1088">_xlfn.IFS(AF1088&lt;3,"new",AF1088&lt;=7,"Experienced",AF1088&gt;7,"High")</f>
        <v>High</v>
      </c>
      <c r="AM1088" s="1"/>
    </row>
    <row r="1089" spans="1:39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  <c r="AJ1089" t="str">
        <f t="shared" si="16"/>
        <v>Low</v>
      </c>
      <c r="AK1089" t="str" cm="1">
        <f t="array" ref="AK1089">_xlfn.IFS(S1089&lt;4000,"Low",S1089&lt;8000,"Medium",S1089&gt;=8000,"High")</f>
        <v>Low</v>
      </c>
      <c r="AL1089" t="str" cm="1">
        <f t="array" ref="AL1089">_xlfn.IFS(AF1089&lt;3,"new",AF1089&lt;=7,"Experienced",AF1089&gt;7,"High")</f>
        <v>High</v>
      </c>
      <c r="AM1089" s="1"/>
    </row>
    <row r="1090" spans="1:39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  <c r="AJ1090" t="str">
        <f t="shared" ref="AJ1090:AJ1153" si="17">IF(S1090&gt;=6500,"High","Low")</f>
        <v>Low</v>
      </c>
      <c r="AK1090" t="str" cm="1">
        <f t="array" ref="AK1090">_xlfn.IFS(S1090&lt;4000,"Low",S1090&lt;8000,"Medium",S1090&gt;=8000,"High")</f>
        <v>Medium</v>
      </c>
      <c r="AL1090" t="str" cm="1">
        <f t="array" ref="AL1090">_xlfn.IFS(AF1090&lt;3,"new",AF1090&lt;=7,"Experienced",AF1090&gt;7,"High")</f>
        <v>new</v>
      </c>
      <c r="AM1090" s="1"/>
    </row>
    <row r="1091" spans="1:39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  <c r="AJ1091" t="str">
        <f t="shared" si="17"/>
        <v>Low</v>
      </c>
      <c r="AK1091" t="str" cm="1">
        <f t="array" ref="AK1091">_xlfn.IFS(S1091&lt;4000,"Low",S1091&lt;8000,"Medium",S1091&gt;=8000,"High")</f>
        <v>Medium</v>
      </c>
      <c r="AL1091" t="str" cm="1">
        <f t="array" ref="AL1091">_xlfn.IFS(AF1091&lt;3,"new",AF1091&lt;=7,"Experienced",AF1091&gt;7,"High")</f>
        <v>High</v>
      </c>
      <c r="AM1091" s="1"/>
    </row>
    <row r="1092" spans="1:39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  <c r="AJ1092" t="str">
        <f t="shared" si="17"/>
        <v>High</v>
      </c>
      <c r="AK1092" t="str" cm="1">
        <f t="array" ref="AK1092">_xlfn.IFS(S1092&lt;4000,"Low",S1092&lt;8000,"Medium",S1092&gt;=8000,"High")</f>
        <v>High</v>
      </c>
      <c r="AL1092" t="str" cm="1">
        <f t="array" ref="AL1092">_xlfn.IFS(AF1092&lt;3,"new",AF1092&lt;=7,"Experienced",AF1092&gt;7,"High")</f>
        <v>Experienced</v>
      </c>
      <c r="AM1092" s="1"/>
    </row>
    <row r="1093" spans="1:39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  <c r="AJ1093" t="str">
        <f t="shared" si="17"/>
        <v>Low</v>
      </c>
      <c r="AK1093" t="str" cm="1">
        <f t="array" ref="AK1093">_xlfn.IFS(S1093&lt;4000,"Low",S1093&lt;8000,"Medium",S1093&gt;=8000,"High")</f>
        <v>Medium</v>
      </c>
      <c r="AL1093" t="str" cm="1">
        <f t="array" ref="AL1093">_xlfn.IFS(AF1093&lt;3,"new",AF1093&lt;=7,"Experienced",AF1093&gt;7,"High")</f>
        <v>Experienced</v>
      </c>
      <c r="AM1093" s="1"/>
    </row>
    <row r="1094" spans="1:39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  <c r="AJ1094" t="str">
        <f t="shared" si="17"/>
        <v>Low</v>
      </c>
      <c r="AK1094" t="str" cm="1">
        <f t="array" ref="AK1094">_xlfn.IFS(S1094&lt;4000,"Low",S1094&lt;8000,"Medium",S1094&gt;=8000,"High")</f>
        <v>Low</v>
      </c>
      <c r="AL1094" t="str" cm="1">
        <f t="array" ref="AL1094">_xlfn.IFS(AF1094&lt;3,"new",AF1094&lt;=7,"Experienced",AF1094&gt;7,"High")</f>
        <v>Experienced</v>
      </c>
      <c r="AM1094" s="1"/>
    </row>
    <row r="1095" spans="1:39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  <c r="AJ1095" t="str">
        <f t="shared" si="17"/>
        <v>High</v>
      </c>
      <c r="AK1095" t="str" cm="1">
        <f t="array" ref="AK1095">_xlfn.IFS(S1095&lt;4000,"Low",S1095&lt;8000,"Medium",S1095&gt;=8000,"High")</f>
        <v>High</v>
      </c>
      <c r="AL1095" t="str" cm="1">
        <f t="array" ref="AL1095">_xlfn.IFS(AF1095&lt;3,"new",AF1095&lt;=7,"Experienced",AF1095&gt;7,"High")</f>
        <v>High</v>
      </c>
      <c r="AM1095" s="1"/>
    </row>
    <row r="1096" spans="1:39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  <c r="AJ1096" t="str">
        <f t="shared" si="17"/>
        <v>Low</v>
      </c>
      <c r="AK1096" t="str" cm="1">
        <f t="array" ref="AK1096">_xlfn.IFS(S1096&lt;4000,"Low",S1096&lt;8000,"Medium",S1096&gt;=8000,"High")</f>
        <v>Medium</v>
      </c>
      <c r="AL1096" t="str" cm="1">
        <f t="array" ref="AL1096">_xlfn.IFS(AF1096&lt;3,"new",AF1096&lt;=7,"Experienced",AF1096&gt;7,"High")</f>
        <v>High</v>
      </c>
      <c r="AM1096" s="1"/>
    </row>
    <row r="1097" spans="1:39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  <c r="AJ1097" t="str">
        <f t="shared" si="17"/>
        <v>Low</v>
      </c>
      <c r="AK1097" t="str" cm="1">
        <f t="array" ref="AK1097">_xlfn.IFS(S1097&lt;4000,"Low",S1097&lt;8000,"Medium",S1097&gt;=8000,"High")</f>
        <v>Medium</v>
      </c>
      <c r="AL1097" t="str" cm="1">
        <f t="array" ref="AL1097">_xlfn.IFS(AF1097&lt;3,"new",AF1097&lt;=7,"Experienced",AF1097&gt;7,"High")</f>
        <v>High</v>
      </c>
      <c r="AM1097" s="1"/>
    </row>
    <row r="1098" spans="1:39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  <c r="AJ1098" t="str">
        <f t="shared" si="17"/>
        <v>High</v>
      </c>
      <c r="AK1098" t="str" cm="1">
        <f t="array" ref="AK1098">_xlfn.IFS(S1098&lt;4000,"Low",S1098&lt;8000,"Medium",S1098&gt;=8000,"High")</f>
        <v>High</v>
      </c>
      <c r="AL1098" t="str" cm="1">
        <f t="array" ref="AL1098">_xlfn.IFS(AF1098&lt;3,"new",AF1098&lt;=7,"Experienced",AF1098&gt;7,"High")</f>
        <v>High</v>
      </c>
      <c r="AM1098" s="1"/>
    </row>
    <row r="1099" spans="1:39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  <c r="AJ1099" t="str">
        <f t="shared" si="17"/>
        <v>Low</v>
      </c>
      <c r="AK1099" t="str" cm="1">
        <f t="array" ref="AK1099">_xlfn.IFS(S1099&lt;4000,"Low",S1099&lt;8000,"Medium",S1099&gt;=8000,"High")</f>
        <v>Low</v>
      </c>
      <c r="AL1099" t="str" cm="1">
        <f t="array" ref="AL1099">_xlfn.IFS(AF1099&lt;3,"new",AF1099&lt;=7,"Experienced",AF1099&gt;7,"High")</f>
        <v>new</v>
      </c>
      <c r="AM1099" s="1"/>
    </row>
    <row r="1100" spans="1:39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  <c r="AJ1100" t="str">
        <f t="shared" si="17"/>
        <v>Low</v>
      </c>
      <c r="AK1100" t="str" cm="1">
        <f t="array" ref="AK1100">_xlfn.IFS(S1100&lt;4000,"Low",S1100&lt;8000,"Medium",S1100&gt;=8000,"High")</f>
        <v>Medium</v>
      </c>
      <c r="AL1100" t="str" cm="1">
        <f t="array" ref="AL1100">_xlfn.IFS(AF1100&lt;3,"new",AF1100&lt;=7,"Experienced",AF1100&gt;7,"High")</f>
        <v>new</v>
      </c>
      <c r="AM1100" s="1"/>
    </row>
    <row r="1101" spans="1:39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  <c r="AJ1101" t="str">
        <f t="shared" si="17"/>
        <v>High</v>
      </c>
      <c r="AK1101" t="str" cm="1">
        <f t="array" ref="AK1101">_xlfn.IFS(S1101&lt;4000,"Low",S1101&lt;8000,"Medium",S1101&gt;=8000,"High")</f>
        <v>Medium</v>
      </c>
      <c r="AL1101" t="str" cm="1">
        <f t="array" ref="AL1101">_xlfn.IFS(AF1101&lt;3,"new",AF1101&lt;=7,"Experienced",AF1101&gt;7,"High")</f>
        <v>High</v>
      </c>
      <c r="AM1101" s="1"/>
    </row>
    <row r="1102" spans="1:39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  <c r="AJ1102" t="str">
        <f t="shared" si="17"/>
        <v>Low</v>
      </c>
      <c r="AK1102" t="str" cm="1">
        <f t="array" ref="AK1102">_xlfn.IFS(S1102&lt;4000,"Low",S1102&lt;8000,"Medium",S1102&gt;=8000,"High")</f>
        <v>Low</v>
      </c>
      <c r="AL1102" t="str" cm="1">
        <f t="array" ref="AL1102">_xlfn.IFS(AF1102&lt;3,"new",AF1102&lt;=7,"Experienced",AF1102&gt;7,"High")</f>
        <v>Experienced</v>
      </c>
      <c r="AM1102" s="1"/>
    </row>
    <row r="1103" spans="1:39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  <c r="AJ1103" t="str">
        <f t="shared" si="17"/>
        <v>Low</v>
      </c>
      <c r="AK1103" t="str" cm="1">
        <f t="array" ref="AK1103">_xlfn.IFS(S1103&lt;4000,"Low",S1103&lt;8000,"Medium",S1103&gt;=8000,"High")</f>
        <v>Medium</v>
      </c>
      <c r="AL1103" t="str" cm="1">
        <f t="array" ref="AL1103">_xlfn.IFS(AF1103&lt;3,"new",AF1103&lt;=7,"Experienced",AF1103&gt;7,"High")</f>
        <v>Experienced</v>
      </c>
      <c r="AM1103" s="1"/>
    </row>
    <row r="1104" spans="1:39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  <c r="AJ1104" t="str">
        <f t="shared" si="17"/>
        <v>Low</v>
      </c>
      <c r="AK1104" t="str" cm="1">
        <f t="array" ref="AK1104">_xlfn.IFS(S1104&lt;4000,"Low",S1104&lt;8000,"Medium",S1104&gt;=8000,"High")</f>
        <v>Low</v>
      </c>
      <c r="AL1104" t="str" cm="1">
        <f t="array" ref="AL1104">_xlfn.IFS(AF1104&lt;3,"new",AF1104&lt;=7,"Experienced",AF1104&gt;7,"High")</f>
        <v>Experienced</v>
      </c>
      <c r="AM1104" s="1"/>
    </row>
    <row r="1105" spans="1:39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  <c r="AJ1105" t="str">
        <f t="shared" si="17"/>
        <v>Low</v>
      </c>
      <c r="AK1105" t="str" cm="1">
        <f t="array" ref="AK1105">_xlfn.IFS(S1105&lt;4000,"Low",S1105&lt;8000,"Medium",S1105&gt;=8000,"High")</f>
        <v>Medium</v>
      </c>
      <c r="AL1105" t="str" cm="1">
        <f t="array" ref="AL1105">_xlfn.IFS(AF1105&lt;3,"new",AF1105&lt;=7,"Experienced",AF1105&gt;7,"High")</f>
        <v>High</v>
      </c>
      <c r="AM1105" s="1"/>
    </row>
    <row r="1106" spans="1:39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  <c r="AJ1106" t="str">
        <f t="shared" si="17"/>
        <v>Low</v>
      </c>
      <c r="AK1106" t="str" cm="1">
        <f t="array" ref="AK1106">_xlfn.IFS(S1106&lt;4000,"Low",S1106&lt;8000,"Medium",S1106&gt;=8000,"High")</f>
        <v>Low</v>
      </c>
      <c r="AL1106" t="str" cm="1">
        <f t="array" ref="AL1106">_xlfn.IFS(AF1106&lt;3,"new",AF1106&lt;=7,"Experienced",AF1106&gt;7,"High")</f>
        <v>new</v>
      </c>
      <c r="AM1106" s="1"/>
    </row>
    <row r="1107" spans="1:39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  <c r="AJ1107" t="str">
        <f t="shared" si="17"/>
        <v>Low</v>
      </c>
      <c r="AK1107" t="str" cm="1">
        <f t="array" ref="AK1107">_xlfn.IFS(S1107&lt;4000,"Low",S1107&lt;8000,"Medium",S1107&gt;=8000,"High")</f>
        <v>Medium</v>
      </c>
      <c r="AL1107" t="str" cm="1">
        <f t="array" ref="AL1107">_xlfn.IFS(AF1107&lt;3,"new",AF1107&lt;=7,"Experienced",AF1107&gt;7,"High")</f>
        <v>new</v>
      </c>
      <c r="AM1107" s="1"/>
    </row>
    <row r="1108" spans="1:39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  <c r="AJ1108" t="str">
        <f t="shared" si="17"/>
        <v>High</v>
      </c>
      <c r="AK1108" t="str" cm="1">
        <f t="array" ref="AK1108">_xlfn.IFS(S1108&lt;4000,"Low",S1108&lt;8000,"Medium",S1108&gt;=8000,"High")</f>
        <v>High</v>
      </c>
      <c r="AL1108" t="str" cm="1">
        <f t="array" ref="AL1108">_xlfn.IFS(AF1108&lt;3,"new",AF1108&lt;=7,"Experienced",AF1108&gt;7,"High")</f>
        <v>High</v>
      </c>
      <c r="AM1108" s="1"/>
    </row>
    <row r="1109" spans="1:39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  <c r="AJ1109" t="str">
        <f t="shared" si="17"/>
        <v>Low</v>
      </c>
      <c r="AK1109" t="str" cm="1">
        <f t="array" ref="AK1109">_xlfn.IFS(S1109&lt;4000,"Low",S1109&lt;8000,"Medium",S1109&gt;=8000,"High")</f>
        <v>Medium</v>
      </c>
      <c r="AL1109" t="str" cm="1">
        <f t="array" ref="AL1109">_xlfn.IFS(AF1109&lt;3,"new",AF1109&lt;=7,"Experienced",AF1109&gt;7,"High")</f>
        <v>Experienced</v>
      </c>
      <c r="AM1109" s="1"/>
    </row>
    <row r="1110" spans="1:39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  <c r="AJ1110" t="str">
        <f t="shared" si="17"/>
        <v>Low</v>
      </c>
      <c r="AK1110" t="str" cm="1">
        <f t="array" ref="AK1110">_xlfn.IFS(S1110&lt;4000,"Low",S1110&lt;8000,"Medium",S1110&gt;=8000,"High")</f>
        <v>Low</v>
      </c>
      <c r="AL1110" t="str" cm="1">
        <f t="array" ref="AL1110">_xlfn.IFS(AF1110&lt;3,"new",AF1110&lt;=7,"Experienced",AF1110&gt;7,"High")</f>
        <v>Experienced</v>
      </c>
      <c r="AM1110" s="1"/>
    </row>
    <row r="1111" spans="1:39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  <c r="AJ1111" t="str">
        <f t="shared" si="17"/>
        <v>High</v>
      </c>
      <c r="AK1111" t="str" cm="1">
        <f t="array" ref="AK1111">_xlfn.IFS(S1111&lt;4000,"Low",S1111&lt;8000,"Medium",S1111&gt;=8000,"High")</f>
        <v>High</v>
      </c>
      <c r="AL1111" t="str" cm="1">
        <f t="array" ref="AL1111">_xlfn.IFS(AF1111&lt;3,"new",AF1111&lt;=7,"Experienced",AF1111&gt;7,"High")</f>
        <v>Experienced</v>
      </c>
      <c r="AM1111" s="1"/>
    </row>
    <row r="1112" spans="1:39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  <c r="AJ1112" t="str">
        <f t="shared" si="17"/>
        <v>Low</v>
      </c>
      <c r="AK1112" t="str" cm="1">
        <f t="array" ref="AK1112">_xlfn.IFS(S1112&lt;4000,"Low",S1112&lt;8000,"Medium",S1112&gt;=8000,"High")</f>
        <v>Low</v>
      </c>
      <c r="AL1112" t="str" cm="1">
        <f t="array" ref="AL1112">_xlfn.IFS(AF1112&lt;3,"new",AF1112&lt;=7,"Experienced",AF1112&gt;7,"High")</f>
        <v>new</v>
      </c>
      <c r="AM1112" s="1"/>
    </row>
    <row r="1113" spans="1:39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  <c r="AJ1113" t="str">
        <f t="shared" si="17"/>
        <v>High</v>
      </c>
      <c r="AK1113" t="str" cm="1">
        <f t="array" ref="AK1113">_xlfn.IFS(S1113&lt;4000,"Low",S1113&lt;8000,"Medium",S1113&gt;=8000,"High")</f>
        <v>High</v>
      </c>
      <c r="AL1113" t="str" cm="1">
        <f t="array" ref="AL1113">_xlfn.IFS(AF1113&lt;3,"new",AF1113&lt;=7,"Experienced",AF1113&gt;7,"High")</f>
        <v>High</v>
      </c>
      <c r="AM1113" s="1"/>
    </row>
    <row r="1114" spans="1:39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  <c r="AJ1114" t="str">
        <f t="shared" si="17"/>
        <v>Low</v>
      </c>
      <c r="AK1114" t="str" cm="1">
        <f t="array" ref="AK1114">_xlfn.IFS(S1114&lt;4000,"Low",S1114&lt;8000,"Medium",S1114&gt;=8000,"High")</f>
        <v>Medium</v>
      </c>
      <c r="AL1114" t="str" cm="1">
        <f t="array" ref="AL1114">_xlfn.IFS(AF1114&lt;3,"new",AF1114&lt;=7,"Experienced",AF1114&gt;7,"High")</f>
        <v>Experienced</v>
      </c>
      <c r="AM1114" s="1"/>
    </row>
    <row r="1115" spans="1:39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  <c r="AJ1115" t="str">
        <f t="shared" si="17"/>
        <v>Low</v>
      </c>
      <c r="AK1115" t="str" cm="1">
        <f t="array" ref="AK1115">_xlfn.IFS(S1115&lt;4000,"Low",S1115&lt;8000,"Medium",S1115&gt;=8000,"High")</f>
        <v>Medium</v>
      </c>
      <c r="AL1115" t="str" cm="1">
        <f t="array" ref="AL1115">_xlfn.IFS(AF1115&lt;3,"new",AF1115&lt;=7,"Experienced",AF1115&gt;7,"High")</f>
        <v>Experienced</v>
      </c>
      <c r="AM1115" s="1"/>
    </row>
    <row r="1116" spans="1:39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  <c r="AJ1116" t="str">
        <f t="shared" si="17"/>
        <v>Low</v>
      </c>
      <c r="AK1116" t="str" cm="1">
        <f t="array" ref="AK1116">_xlfn.IFS(S1116&lt;4000,"Low",S1116&lt;8000,"Medium",S1116&gt;=8000,"High")</f>
        <v>Low</v>
      </c>
      <c r="AL1116" t="str" cm="1">
        <f t="array" ref="AL1116">_xlfn.IFS(AF1116&lt;3,"new",AF1116&lt;=7,"Experienced",AF1116&gt;7,"High")</f>
        <v>High</v>
      </c>
      <c r="AM1116" s="1"/>
    </row>
    <row r="1117" spans="1:39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  <c r="AJ1117" t="str">
        <f t="shared" si="17"/>
        <v>Low</v>
      </c>
      <c r="AK1117" t="str" cm="1">
        <f t="array" ref="AK1117">_xlfn.IFS(S1117&lt;4000,"Low",S1117&lt;8000,"Medium",S1117&gt;=8000,"High")</f>
        <v>Low</v>
      </c>
      <c r="AL1117" t="str" cm="1">
        <f t="array" ref="AL1117">_xlfn.IFS(AF1117&lt;3,"new",AF1117&lt;=7,"Experienced",AF1117&gt;7,"High")</f>
        <v>new</v>
      </c>
      <c r="AM1117" s="1"/>
    </row>
    <row r="1118" spans="1:39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  <c r="AJ1118" t="str">
        <f t="shared" si="17"/>
        <v>High</v>
      </c>
      <c r="AK1118" t="str" cm="1">
        <f t="array" ref="AK1118">_xlfn.IFS(S1118&lt;4000,"Low",S1118&lt;8000,"Medium",S1118&gt;=8000,"High")</f>
        <v>High</v>
      </c>
      <c r="AL1118" t="str" cm="1">
        <f t="array" ref="AL1118">_xlfn.IFS(AF1118&lt;3,"new",AF1118&lt;=7,"Experienced",AF1118&gt;7,"High")</f>
        <v>High</v>
      </c>
      <c r="AM1118" s="1"/>
    </row>
    <row r="1119" spans="1:39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  <c r="AJ1119" t="str">
        <f t="shared" si="17"/>
        <v>Low</v>
      </c>
      <c r="AK1119" t="str" cm="1">
        <f t="array" ref="AK1119">_xlfn.IFS(S1119&lt;4000,"Low",S1119&lt;8000,"Medium",S1119&gt;=8000,"High")</f>
        <v>Medium</v>
      </c>
      <c r="AL1119" t="str" cm="1">
        <f t="array" ref="AL1119">_xlfn.IFS(AF1119&lt;3,"new",AF1119&lt;=7,"Experienced",AF1119&gt;7,"High")</f>
        <v>new</v>
      </c>
      <c r="AM1119" s="1"/>
    </row>
    <row r="1120" spans="1:39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  <c r="AJ1120" t="str">
        <f t="shared" si="17"/>
        <v>Low</v>
      </c>
      <c r="AK1120" t="str" cm="1">
        <f t="array" ref="AK1120">_xlfn.IFS(S1120&lt;4000,"Low",S1120&lt;8000,"Medium",S1120&gt;=8000,"High")</f>
        <v>Low</v>
      </c>
      <c r="AL1120" t="str" cm="1">
        <f t="array" ref="AL1120">_xlfn.IFS(AF1120&lt;3,"new",AF1120&lt;=7,"Experienced",AF1120&gt;7,"High")</f>
        <v>new</v>
      </c>
      <c r="AM1120" s="1"/>
    </row>
    <row r="1121" spans="1:39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  <c r="AJ1121" t="str">
        <f t="shared" si="17"/>
        <v>High</v>
      </c>
      <c r="AK1121" t="str" cm="1">
        <f t="array" ref="AK1121">_xlfn.IFS(S1121&lt;4000,"Low",S1121&lt;8000,"Medium",S1121&gt;=8000,"High")</f>
        <v>High</v>
      </c>
      <c r="AL1121" t="str" cm="1">
        <f t="array" ref="AL1121">_xlfn.IFS(AF1121&lt;3,"new",AF1121&lt;=7,"Experienced",AF1121&gt;7,"High")</f>
        <v>High</v>
      </c>
      <c r="AM1121" s="1"/>
    </row>
    <row r="1122" spans="1:39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  <c r="AJ1122" t="str">
        <f t="shared" si="17"/>
        <v>Low</v>
      </c>
      <c r="AK1122" t="str" cm="1">
        <f t="array" ref="AK1122">_xlfn.IFS(S1122&lt;4000,"Low",S1122&lt;8000,"Medium",S1122&gt;=8000,"High")</f>
        <v>Medium</v>
      </c>
      <c r="AL1122" t="str" cm="1">
        <f t="array" ref="AL1122">_xlfn.IFS(AF1122&lt;3,"new",AF1122&lt;=7,"Experienced",AF1122&gt;7,"High")</f>
        <v>Experienced</v>
      </c>
      <c r="AM1122" s="1"/>
    </row>
    <row r="1123" spans="1:39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  <c r="AJ1123" t="str">
        <f t="shared" si="17"/>
        <v>High</v>
      </c>
      <c r="AK1123" t="str" cm="1">
        <f t="array" ref="AK1123">_xlfn.IFS(S1123&lt;4000,"Low",S1123&lt;8000,"Medium",S1123&gt;=8000,"High")</f>
        <v>Medium</v>
      </c>
      <c r="AL1123" t="str" cm="1">
        <f t="array" ref="AL1123">_xlfn.IFS(AF1123&lt;3,"new",AF1123&lt;=7,"Experienced",AF1123&gt;7,"High")</f>
        <v>new</v>
      </c>
      <c r="AM1123" s="1"/>
    </row>
    <row r="1124" spans="1:39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  <c r="AJ1124" t="str">
        <f t="shared" si="17"/>
        <v>Low</v>
      </c>
      <c r="AK1124" t="str" cm="1">
        <f t="array" ref="AK1124">_xlfn.IFS(S1124&lt;4000,"Low",S1124&lt;8000,"Medium",S1124&gt;=8000,"High")</f>
        <v>Medium</v>
      </c>
      <c r="AL1124" t="str" cm="1">
        <f t="array" ref="AL1124">_xlfn.IFS(AF1124&lt;3,"new",AF1124&lt;=7,"Experienced",AF1124&gt;7,"High")</f>
        <v>High</v>
      </c>
      <c r="AM1124" s="1"/>
    </row>
    <row r="1125" spans="1:39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  <c r="AJ1125" t="str">
        <f t="shared" si="17"/>
        <v>Low</v>
      </c>
      <c r="AK1125" t="str" cm="1">
        <f t="array" ref="AK1125">_xlfn.IFS(S1125&lt;4000,"Low",S1125&lt;8000,"Medium",S1125&gt;=8000,"High")</f>
        <v>Medium</v>
      </c>
      <c r="AL1125" t="str" cm="1">
        <f t="array" ref="AL1125">_xlfn.IFS(AF1125&lt;3,"new",AF1125&lt;=7,"Experienced",AF1125&gt;7,"High")</f>
        <v>Experienced</v>
      </c>
      <c r="AM1125" s="1"/>
    </row>
    <row r="1126" spans="1:39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  <c r="AJ1126" t="str">
        <f t="shared" si="17"/>
        <v>High</v>
      </c>
      <c r="AK1126" t="str" cm="1">
        <f t="array" ref="AK1126">_xlfn.IFS(S1126&lt;4000,"Low",S1126&lt;8000,"Medium",S1126&gt;=8000,"High")</f>
        <v>High</v>
      </c>
      <c r="AL1126" t="str" cm="1">
        <f t="array" ref="AL1126">_xlfn.IFS(AF1126&lt;3,"new",AF1126&lt;=7,"Experienced",AF1126&gt;7,"High")</f>
        <v>Experienced</v>
      </c>
      <c r="AM1126" s="1"/>
    </row>
    <row r="1127" spans="1:39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  <c r="AJ1127" t="str">
        <f t="shared" si="17"/>
        <v>High</v>
      </c>
      <c r="AK1127" t="str" cm="1">
        <f t="array" ref="AK1127">_xlfn.IFS(S1127&lt;4000,"Low",S1127&lt;8000,"Medium",S1127&gt;=8000,"High")</f>
        <v>High</v>
      </c>
      <c r="AL1127" t="str" cm="1">
        <f t="array" ref="AL1127">_xlfn.IFS(AF1127&lt;3,"new",AF1127&lt;=7,"Experienced",AF1127&gt;7,"High")</f>
        <v>Experienced</v>
      </c>
      <c r="AM1127" s="1"/>
    </row>
    <row r="1128" spans="1:39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  <c r="AJ1128" t="str">
        <f t="shared" si="17"/>
        <v>High</v>
      </c>
      <c r="AK1128" t="str" cm="1">
        <f t="array" ref="AK1128">_xlfn.IFS(S1128&lt;4000,"Low",S1128&lt;8000,"Medium",S1128&gt;=8000,"High")</f>
        <v>High</v>
      </c>
      <c r="AL1128" t="str" cm="1">
        <f t="array" ref="AL1128">_xlfn.IFS(AF1128&lt;3,"new",AF1128&lt;=7,"Experienced",AF1128&gt;7,"High")</f>
        <v>new</v>
      </c>
      <c r="AM1128" s="1"/>
    </row>
    <row r="1129" spans="1:39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  <c r="AJ1129" t="str">
        <f t="shared" si="17"/>
        <v>Low</v>
      </c>
      <c r="AK1129" t="str" cm="1">
        <f t="array" ref="AK1129">_xlfn.IFS(S1129&lt;4000,"Low",S1129&lt;8000,"Medium",S1129&gt;=8000,"High")</f>
        <v>Low</v>
      </c>
      <c r="AL1129" t="str" cm="1">
        <f t="array" ref="AL1129">_xlfn.IFS(AF1129&lt;3,"new",AF1129&lt;=7,"Experienced",AF1129&gt;7,"High")</f>
        <v>new</v>
      </c>
      <c r="AM1129" s="1"/>
    </row>
    <row r="1130" spans="1:39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  <c r="AJ1130" t="str">
        <f t="shared" si="17"/>
        <v>Low</v>
      </c>
      <c r="AK1130" t="str" cm="1">
        <f t="array" ref="AK1130">_xlfn.IFS(S1130&lt;4000,"Low",S1130&lt;8000,"Medium",S1130&gt;=8000,"High")</f>
        <v>Medium</v>
      </c>
      <c r="AL1130" t="str" cm="1">
        <f t="array" ref="AL1130">_xlfn.IFS(AF1130&lt;3,"new",AF1130&lt;=7,"Experienced",AF1130&gt;7,"High")</f>
        <v>Experienced</v>
      </c>
      <c r="AM1130" s="1"/>
    </row>
    <row r="1131" spans="1:39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  <c r="AJ1131" t="str">
        <f t="shared" si="17"/>
        <v>High</v>
      </c>
      <c r="AK1131" t="str" cm="1">
        <f t="array" ref="AK1131">_xlfn.IFS(S1131&lt;4000,"Low",S1131&lt;8000,"Medium",S1131&gt;=8000,"High")</f>
        <v>High</v>
      </c>
      <c r="AL1131" t="str" cm="1">
        <f t="array" ref="AL1131">_xlfn.IFS(AF1131&lt;3,"new",AF1131&lt;=7,"Experienced",AF1131&gt;7,"High")</f>
        <v>new</v>
      </c>
      <c r="AM1131" s="1"/>
    </row>
    <row r="1132" spans="1:39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  <c r="AJ1132" t="str">
        <f t="shared" si="17"/>
        <v>Low</v>
      </c>
      <c r="AK1132" t="str" cm="1">
        <f t="array" ref="AK1132">_xlfn.IFS(S1132&lt;4000,"Low",S1132&lt;8000,"Medium",S1132&gt;=8000,"High")</f>
        <v>Low</v>
      </c>
      <c r="AL1132" t="str" cm="1">
        <f t="array" ref="AL1132">_xlfn.IFS(AF1132&lt;3,"new",AF1132&lt;=7,"Experienced",AF1132&gt;7,"High")</f>
        <v>High</v>
      </c>
      <c r="AM1132" s="1"/>
    </row>
    <row r="1133" spans="1:39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  <c r="AJ1133" t="str">
        <f t="shared" si="17"/>
        <v>Low</v>
      </c>
      <c r="AK1133" t="str" cm="1">
        <f t="array" ref="AK1133">_xlfn.IFS(S1133&lt;4000,"Low",S1133&lt;8000,"Medium",S1133&gt;=8000,"High")</f>
        <v>Medium</v>
      </c>
      <c r="AL1133" t="str" cm="1">
        <f t="array" ref="AL1133">_xlfn.IFS(AF1133&lt;3,"new",AF1133&lt;=7,"Experienced",AF1133&gt;7,"High")</f>
        <v>High</v>
      </c>
      <c r="AM1133" s="1"/>
    </row>
    <row r="1134" spans="1:39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  <c r="AJ1134" t="str">
        <f t="shared" si="17"/>
        <v>Low</v>
      </c>
      <c r="AK1134" t="str" cm="1">
        <f t="array" ref="AK1134">_xlfn.IFS(S1134&lt;4000,"Low",S1134&lt;8000,"Medium",S1134&gt;=8000,"High")</f>
        <v>Medium</v>
      </c>
      <c r="AL1134" t="str" cm="1">
        <f t="array" ref="AL1134">_xlfn.IFS(AF1134&lt;3,"new",AF1134&lt;=7,"Experienced",AF1134&gt;7,"High")</f>
        <v>Experienced</v>
      </c>
      <c r="AM1134" s="1"/>
    </row>
    <row r="1135" spans="1:39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  <c r="AJ1135" t="str">
        <f t="shared" si="17"/>
        <v>Low</v>
      </c>
      <c r="AK1135" t="str" cm="1">
        <f t="array" ref="AK1135">_xlfn.IFS(S1135&lt;4000,"Low",S1135&lt;8000,"Medium",S1135&gt;=8000,"High")</f>
        <v>Medium</v>
      </c>
      <c r="AL1135" t="str" cm="1">
        <f t="array" ref="AL1135">_xlfn.IFS(AF1135&lt;3,"new",AF1135&lt;=7,"Experienced",AF1135&gt;7,"High")</f>
        <v>Experienced</v>
      </c>
      <c r="AM1135" s="1"/>
    </row>
    <row r="1136" spans="1:39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  <c r="AJ1136" t="str">
        <f t="shared" si="17"/>
        <v>Low</v>
      </c>
      <c r="AK1136" t="str" cm="1">
        <f t="array" ref="AK1136">_xlfn.IFS(S1136&lt;4000,"Low",S1136&lt;8000,"Medium",S1136&gt;=8000,"High")</f>
        <v>Low</v>
      </c>
      <c r="AL1136" t="str" cm="1">
        <f t="array" ref="AL1136">_xlfn.IFS(AF1136&lt;3,"new",AF1136&lt;=7,"Experienced",AF1136&gt;7,"High")</f>
        <v>new</v>
      </c>
      <c r="AM1136" s="1"/>
    </row>
    <row r="1137" spans="1:39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  <c r="AJ1137" t="str">
        <f t="shared" si="17"/>
        <v>High</v>
      </c>
      <c r="AK1137" t="str" cm="1">
        <f t="array" ref="AK1137">_xlfn.IFS(S1137&lt;4000,"Low",S1137&lt;8000,"Medium",S1137&gt;=8000,"High")</f>
        <v>High</v>
      </c>
      <c r="AL1137" t="str" cm="1">
        <f t="array" ref="AL1137">_xlfn.IFS(AF1137&lt;3,"new",AF1137&lt;=7,"Experienced",AF1137&gt;7,"High")</f>
        <v>High</v>
      </c>
      <c r="AM1137" s="1"/>
    </row>
    <row r="1138" spans="1:39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  <c r="AJ1138" t="str">
        <f t="shared" si="17"/>
        <v>Low</v>
      </c>
      <c r="AK1138" t="str" cm="1">
        <f t="array" ref="AK1138">_xlfn.IFS(S1138&lt;4000,"Low",S1138&lt;8000,"Medium",S1138&gt;=8000,"High")</f>
        <v>Low</v>
      </c>
      <c r="AL1138" t="str" cm="1">
        <f t="array" ref="AL1138">_xlfn.IFS(AF1138&lt;3,"new",AF1138&lt;=7,"Experienced",AF1138&gt;7,"High")</f>
        <v>new</v>
      </c>
      <c r="AM1138" s="1"/>
    </row>
    <row r="1139" spans="1:39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  <c r="AJ1139" t="str">
        <f t="shared" si="17"/>
        <v>Low</v>
      </c>
      <c r="AK1139" t="str" cm="1">
        <f t="array" ref="AK1139">_xlfn.IFS(S1139&lt;4000,"Low",S1139&lt;8000,"Medium",S1139&gt;=8000,"High")</f>
        <v>Low</v>
      </c>
      <c r="AL1139" t="str" cm="1">
        <f t="array" ref="AL1139">_xlfn.IFS(AF1139&lt;3,"new",AF1139&lt;=7,"Experienced",AF1139&gt;7,"High")</f>
        <v>Experienced</v>
      </c>
      <c r="AM1139" s="1"/>
    </row>
    <row r="1140" spans="1:39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  <c r="AJ1140" t="str">
        <f t="shared" si="17"/>
        <v>High</v>
      </c>
      <c r="AK1140" t="str" cm="1">
        <f t="array" ref="AK1140">_xlfn.IFS(S1140&lt;4000,"Low",S1140&lt;8000,"Medium",S1140&gt;=8000,"High")</f>
        <v>High</v>
      </c>
      <c r="AL1140" t="str" cm="1">
        <f t="array" ref="AL1140">_xlfn.IFS(AF1140&lt;3,"new",AF1140&lt;=7,"Experienced",AF1140&gt;7,"High")</f>
        <v>High</v>
      </c>
      <c r="AM1140" s="1"/>
    </row>
    <row r="1141" spans="1:39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  <c r="AJ1141" t="str">
        <f t="shared" si="17"/>
        <v>Low</v>
      </c>
      <c r="AK1141" t="str" cm="1">
        <f t="array" ref="AK1141">_xlfn.IFS(S1141&lt;4000,"Low",S1141&lt;8000,"Medium",S1141&gt;=8000,"High")</f>
        <v>Low</v>
      </c>
      <c r="AL1141" t="str" cm="1">
        <f t="array" ref="AL1141">_xlfn.IFS(AF1141&lt;3,"new",AF1141&lt;=7,"Experienced",AF1141&gt;7,"High")</f>
        <v>Experienced</v>
      </c>
      <c r="AM1141" s="1"/>
    </row>
    <row r="1142" spans="1:39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  <c r="AJ1142" t="str">
        <f t="shared" si="17"/>
        <v>High</v>
      </c>
      <c r="AK1142" t="str" cm="1">
        <f t="array" ref="AK1142">_xlfn.IFS(S1142&lt;4000,"Low",S1142&lt;8000,"Medium",S1142&gt;=8000,"High")</f>
        <v>High</v>
      </c>
      <c r="AL1142" t="str" cm="1">
        <f t="array" ref="AL1142">_xlfn.IFS(AF1142&lt;3,"new",AF1142&lt;=7,"Experienced",AF1142&gt;7,"High")</f>
        <v>High</v>
      </c>
      <c r="AM1142" s="1"/>
    </row>
    <row r="1143" spans="1:39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  <c r="AJ1143" t="str">
        <f t="shared" si="17"/>
        <v>Low</v>
      </c>
      <c r="AK1143" t="str" cm="1">
        <f t="array" ref="AK1143">_xlfn.IFS(S1143&lt;4000,"Low",S1143&lt;8000,"Medium",S1143&gt;=8000,"High")</f>
        <v>Low</v>
      </c>
      <c r="AL1143" t="str" cm="1">
        <f t="array" ref="AL1143">_xlfn.IFS(AF1143&lt;3,"new",AF1143&lt;=7,"Experienced",AF1143&gt;7,"High")</f>
        <v>Experienced</v>
      </c>
      <c r="AM1143" s="1"/>
    </row>
    <row r="1144" spans="1:39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  <c r="AJ1144" t="str">
        <f t="shared" si="17"/>
        <v>Low</v>
      </c>
      <c r="AK1144" t="str" cm="1">
        <f t="array" ref="AK1144">_xlfn.IFS(S1144&lt;4000,"Low",S1144&lt;8000,"Medium",S1144&gt;=8000,"High")</f>
        <v>Medium</v>
      </c>
      <c r="AL1144" t="str" cm="1">
        <f t="array" ref="AL1144">_xlfn.IFS(AF1144&lt;3,"new",AF1144&lt;=7,"Experienced",AF1144&gt;7,"High")</f>
        <v>High</v>
      </c>
      <c r="AM1144" s="1"/>
    </row>
    <row r="1145" spans="1:39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  <c r="AJ1145" t="str">
        <f t="shared" si="17"/>
        <v>Low</v>
      </c>
      <c r="AK1145" t="str" cm="1">
        <f t="array" ref="AK1145">_xlfn.IFS(S1145&lt;4000,"Low",S1145&lt;8000,"Medium",S1145&gt;=8000,"High")</f>
        <v>Medium</v>
      </c>
      <c r="AL1145" t="str" cm="1">
        <f t="array" ref="AL1145">_xlfn.IFS(AF1145&lt;3,"new",AF1145&lt;=7,"Experienced",AF1145&gt;7,"High")</f>
        <v>High</v>
      </c>
      <c r="AM1145" s="1"/>
    </row>
    <row r="1146" spans="1:39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  <c r="AJ1146" t="str">
        <f t="shared" si="17"/>
        <v>Low</v>
      </c>
      <c r="AK1146" t="str" cm="1">
        <f t="array" ref="AK1146">_xlfn.IFS(S1146&lt;4000,"Low",S1146&lt;8000,"Medium",S1146&gt;=8000,"High")</f>
        <v>Medium</v>
      </c>
      <c r="AL1146" t="str" cm="1">
        <f t="array" ref="AL1146">_xlfn.IFS(AF1146&lt;3,"new",AF1146&lt;=7,"Experienced",AF1146&gt;7,"High")</f>
        <v>Experienced</v>
      </c>
      <c r="AM1146" s="1"/>
    </row>
    <row r="1147" spans="1:39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  <c r="AJ1147" t="str">
        <f t="shared" si="17"/>
        <v>Low</v>
      </c>
      <c r="AK1147" t="str" cm="1">
        <f t="array" ref="AK1147">_xlfn.IFS(S1147&lt;4000,"Low",S1147&lt;8000,"Medium",S1147&gt;=8000,"High")</f>
        <v>Medium</v>
      </c>
      <c r="AL1147" t="str" cm="1">
        <f t="array" ref="AL1147">_xlfn.IFS(AF1147&lt;3,"new",AF1147&lt;=7,"Experienced",AF1147&gt;7,"High")</f>
        <v>Experienced</v>
      </c>
      <c r="AM1147" s="1"/>
    </row>
    <row r="1148" spans="1:39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  <c r="AJ1148" t="str">
        <f t="shared" si="17"/>
        <v>Low</v>
      </c>
      <c r="AK1148" t="str" cm="1">
        <f t="array" ref="AK1148">_xlfn.IFS(S1148&lt;4000,"Low",S1148&lt;8000,"Medium",S1148&gt;=8000,"High")</f>
        <v>Medium</v>
      </c>
      <c r="AL1148" t="str" cm="1">
        <f t="array" ref="AL1148">_xlfn.IFS(AF1148&lt;3,"new",AF1148&lt;=7,"Experienced",AF1148&gt;7,"High")</f>
        <v>High</v>
      </c>
      <c r="AM1148" s="1"/>
    </row>
    <row r="1149" spans="1:39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  <c r="AJ1149" t="str">
        <f t="shared" si="17"/>
        <v>Low</v>
      </c>
      <c r="AK1149" t="str" cm="1">
        <f t="array" ref="AK1149">_xlfn.IFS(S1149&lt;4000,"Low",S1149&lt;8000,"Medium",S1149&gt;=8000,"High")</f>
        <v>Low</v>
      </c>
      <c r="AL1149" t="str" cm="1">
        <f t="array" ref="AL1149">_xlfn.IFS(AF1149&lt;3,"new",AF1149&lt;=7,"Experienced",AF1149&gt;7,"High")</f>
        <v>High</v>
      </c>
      <c r="AM1149" s="1"/>
    </row>
    <row r="1150" spans="1:39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  <c r="AJ1150" t="str">
        <f t="shared" si="17"/>
        <v>Low</v>
      </c>
      <c r="AK1150" t="str" cm="1">
        <f t="array" ref="AK1150">_xlfn.IFS(S1150&lt;4000,"Low",S1150&lt;8000,"Medium",S1150&gt;=8000,"High")</f>
        <v>Medium</v>
      </c>
      <c r="AL1150" t="str" cm="1">
        <f t="array" ref="AL1150">_xlfn.IFS(AF1150&lt;3,"new",AF1150&lt;=7,"Experienced",AF1150&gt;7,"High")</f>
        <v>Experienced</v>
      </c>
      <c r="AM1150" s="1"/>
    </row>
    <row r="1151" spans="1:39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  <c r="AJ1151" t="str">
        <f t="shared" si="17"/>
        <v>Low</v>
      </c>
      <c r="AK1151" t="str" cm="1">
        <f t="array" ref="AK1151">_xlfn.IFS(S1151&lt;4000,"Low",S1151&lt;8000,"Medium",S1151&gt;=8000,"High")</f>
        <v>Medium</v>
      </c>
      <c r="AL1151" t="str" cm="1">
        <f t="array" ref="AL1151">_xlfn.IFS(AF1151&lt;3,"new",AF1151&lt;=7,"Experienced",AF1151&gt;7,"High")</f>
        <v>Experienced</v>
      </c>
      <c r="AM1151" s="1"/>
    </row>
    <row r="1152" spans="1:39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  <c r="AJ1152" t="str">
        <f t="shared" si="17"/>
        <v>Low</v>
      </c>
      <c r="AK1152" t="str" cm="1">
        <f t="array" ref="AK1152">_xlfn.IFS(S1152&lt;4000,"Low",S1152&lt;8000,"Medium",S1152&gt;=8000,"High")</f>
        <v>Medium</v>
      </c>
      <c r="AL1152" t="str" cm="1">
        <f t="array" ref="AL1152">_xlfn.IFS(AF1152&lt;3,"new",AF1152&lt;=7,"Experienced",AF1152&gt;7,"High")</f>
        <v>High</v>
      </c>
      <c r="AM1152" s="1"/>
    </row>
    <row r="1153" spans="1:39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  <c r="AJ1153" t="str">
        <f t="shared" si="17"/>
        <v>Low</v>
      </c>
      <c r="AK1153" t="str" cm="1">
        <f t="array" ref="AK1153">_xlfn.IFS(S1153&lt;4000,"Low",S1153&lt;8000,"Medium",S1153&gt;=8000,"High")</f>
        <v>Medium</v>
      </c>
      <c r="AL1153" t="str" cm="1">
        <f t="array" ref="AL1153">_xlfn.IFS(AF1153&lt;3,"new",AF1153&lt;=7,"Experienced",AF1153&gt;7,"High")</f>
        <v>Experienced</v>
      </c>
      <c r="AM1153" s="1"/>
    </row>
    <row r="1154" spans="1:39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  <c r="AJ1154" t="str">
        <f t="shared" ref="AJ1154:AJ1217" si="18">IF(S1154&gt;=6500,"High","Low")</f>
        <v>Low</v>
      </c>
      <c r="AK1154" t="str" cm="1">
        <f t="array" ref="AK1154">_xlfn.IFS(S1154&lt;4000,"Low",S1154&lt;8000,"Medium",S1154&gt;=8000,"High")</f>
        <v>Low</v>
      </c>
      <c r="AL1154" t="str" cm="1">
        <f t="array" ref="AL1154">_xlfn.IFS(AF1154&lt;3,"new",AF1154&lt;=7,"Experienced",AF1154&gt;7,"High")</f>
        <v>new</v>
      </c>
      <c r="AM1154" s="1"/>
    </row>
    <row r="1155" spans="1:39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  <c r="AJ1155" t="str">
        <f t="shared" si="18"/>
        <v>Low</v>
      </c>
      <c r="AK1155" t="str" cm="1">
        <f t="array" ref="AK1155">_xlfn.IFS(S1155&lt;4000,"Low",S1155&lt;8000,"Medium",S1155&gt;=8000,"High")</f>
        <v>Low</v>
      </c>
      <c r="AL1155" t="str" cm="1">
        <f t="array" ref="AL1155">_xlfn.IFS(AF1155&lt;3,"new",AF1155&lt;=7,"Experienced",AF1155&gt;7,"High")</f>
        <v>new</v>
      </c>
      <c r="AM1155" s="1"/>
    </row>
    <row r="1156" spans="1:39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  <c r="AJ1156" t="str">
        <f t="shared" si="18"/>
        <v>High</v>
      </c>
      <c r="AK1156" t="str" cm="1">
        <f t="array" ref="AK1156">_xlfn.IFS(S1156&lt;4000,"Low",S1156&lt;8000,"Medium",S1156&gt;=8000,"High")</f>
        <v>High</v>
      </c>
      <c r="AL1156" t="str" cm="1">
        <f t="array" ref="AL1156">_xlfn.IFS(AF1156&lt;3,"new",AF1156&lt;=7,"Experienced",AF1156&gt;7,"High")</f>
        <v>Experienced</v>
      </c>
      <c r="AM1156" s="1"/>
    </row>
    <row r="1157" spans="1:39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  <c r="AJ1157" t="str">
        <f t="shared" si="18"/>
        <v>Low</v>
      </c>
      <c r="AK1157" t="str" cm="1">
        <f t="array" ref="AK1157">_xlfn.IFS(S1157&lt;4000,"Low",S1157&lt;8000,"Medium",S1157&gt;=8000,"High")</f>
        <v>Low</v>
      </c>
      <c r="AL1157" t="str" cm="1">
        <f t="array" ref="AL1157">_xlfn.IFS(AF1157&lt;3,"new",AF1157&lt;=7,"Experienced",AF1157&gt;7,"High")</f>
        <v>High</v>
      </c>
      <c r="AM1157" s="1"/>
    </row>
    <row r="1158" spans="1:39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  <c r="AJ1158" t="str">
        <f t="shared" si="18"/>
        <v>High</v>
      </c>
      <c r="AK1158" t="str" cm="1">
        <f t="array" ref="AK1158">_xlfn.IFS(S1158&lt;4000,"Low",S1158&lt;8000,"Medium",S1158&gt;=8000,"High")</f>
        <v>High</v>
      </c>
      <c r="AL1158" t="str" cm="1">
        <f t="array" ref="AL1158">_xlfn.IFS(AF1158&lt;3,"new",AF1158&lt;=7,"Experienced",AF1158&gt;7,"High")</f>
        <v>High</v>
      </c>
      <c r="AM1158" s="1"/>
    </row>
    <row r="1159" spans="1:39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  <c r="AJ1159" t="str">
        <f t="shared" si="18"/>
        <v>Low</v>
      </c>
      <c r="AK1159" t="str" cm="1">
        <f t="array" ref="AK1159">_xlfn.IFS(S1159&lt;4000,"Low",S1159&lt;8000,"Medium",S1159&gt;=8000,"High")</f>
        <v>Medium</v>
      </c>
      <c r="AL1159" t="str" cm="1">
        <f t="array" ref="AL1159">_xlfn.IFS(AF1159&lt;3,"new",AF1159&lt;=7,"Experienced",AF1159&gt;7,"High")</f>
        <v>High</v>
      </c>
      <c r="AM1159" s="1"/>
    </row>
    <row r="1160" spans="1:39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  <c r="AJ1160" t="str">
        <f t="shared" si="18"/>
        <v>Low</v>
      </c>
      <c r="AK1160" t="str" cm="1">
        <f t="array" ref="AK1160">_xlfn.IFS(S1160&lt;4000,"Low",S1160&lt;8000,"Medium",S1160&gt;=8000,"High")</f>
        <v>Medium</v>
      </c>
      <c r="AL1160" t="str" cm="1">
        <f t="array" ref="AL1160">_xlfn.IFS(AF1160&lt;3,"new",AF1160&lt;=7,"Experienced",AF1160&gt;7,"High")</f>
        <v>Experienced</v>
      </c>
      <c r="AM1160" s="1"/>
    </row>
    <row r="1161" spans="1:39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  <c r="AJ1161" t="str">
        <f t="shared" si="18"/>
        <v>Low</v>
      </c>
      <c r="AK1161" t="str" cm="1">
        <f t="array" ref="AK1161">_xlfn.IFS(S1161&lt;4000,"Low",S1161&lt;8000,"Medium",S1161&gt;=8000,"High")</f>
        <v>Medium</v>
      </c>
      <c r="AL1161" t="str" cm="1">
        <f t="array" ref="AL1161">_xlfn.IFS(AF1161&lt;3,"new",AF1161&lt;=7,"Experienced",AF1161&gt;7,"High")</f>
        <v>High</v>
      </c>
      <c r="AM1161" s="1"/>
    </row>
    <row r="1162" spans="1:39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  <c r="AJ1162" t="str">
        <f t="shared" si="18"/>
        <v>Low</v>
      </c>
      <c r="AK1162" t="str" cm="1">
        <f t="array" ref="AK1162">_xlfn.IFS(S1162&lt;4000,"Low",S1162&lt;8000,"Medium",S1162&gt;=8000,"High")</f>
        <v>Medium</v>
      </c>
      <c r="AL1162" t="str" cm="1">
        <f t="array" ref="AL1162">_xlfn.IFS(AF1162&lt;3,"new",AF1162&lt;=7,"Experienced",AF1162&gt;7,"High")</f>
        <v>High</v>
      </c>
      <c r="AM1162" s="1"/>
    </row>
    <row r="1163" spans="1:39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  <c r="AJ1163" t="str">
        <f t="shared" si="18"/>
        <v>High</v>
      </c>
      <c r="AK1163" t="str" cm="1">
        <f t="array" ref="AK1163">_xlfn.IFS(S1163&lt;4000,"Low",S1163&lt;8000,"Medium",S1163&gt;=8000,"High")</f>
        <v>Medium</v>
      </c>
      <c r="AL1163" t="str" cm="1">
        <f t="array" ref="AL1163">_xlfn.IFS(AF1163&lt;3,"new",AF1163&lt;=7,"Experienced",AF1163&gt;7,"High")</f>
        <v>Experienced</v>
      </c>
      <c r="AM1163" s="1"/>
    </row>
    <row r="1164" spans="1:39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  <c r="AJ1164" t="str">
        <f t="shared" si="18"/>
        <v>High</v>
      </c>
      <c r="AK1164" t="str" cm="1">
        <f t="array" ref="AK1164">_xlfn.IFS(S1164&lt;4000,"Low",S1164&lt;8000,"Medium",S1164&gt;=8000,"High")</f>
        <v>High</v>
      </c>
      <c r="AL1164" t="str" cm="1">
        <f t="array" ref="AL1164">_xlfn.IFS(AF1164&lt;3,"new",AF1164&lt;=7,"Experienced",AF1164&gt;7,"High")</f>
        <v>High</v>
      </c>
      <c r="AM1164" s="1"/>
    </row>
    <row r="1165" spans="1:39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  <c r="AJ1165" t="str">
        <f t="shared" si="18"/>
        <v>Low</v>
      </c>
      <c r="AK1165" t="str" cm="1">
        <f t="array" ref="AK1165">_xlfn.IFS(S1165&lt;4000,"Low",S1165&lt;8000,"Medium",S1165&gt;=8000,"High")</f>
        <v>Low</v>
      </c>
      <c r="AL1165" t="str" cm="1">
        <f t="array" ref="AL1165">_xlfn.IFS(AF1165&lt;3,"new",AF1165&lt;=7,"Experienced",AF1165&gt;7,"High")</f>
        <v>High</v>
      </c>
      <c r="AM1165" s="1"/>
    </row>
    <row r="1166" spans="1:39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  <c r="AJ1166" t="str">
        <f t="shared" si="18"/>
        <v>High</v>
      </c>
      <c r="AK1166" t="str" cm="1">
        <f t="array" ref="AK1166">_xlfn.IFS(S1166&lt;4000,"Low",S1166&lt;8000,"Medium",S1166&gt;=8000,"High")</f>
        <v>Medium</v>
      </c>
      <c r="AL1166" t="str" cm="1">
        <f t="array" ref="AL1166">_xlfn.IFS(AF1166&lt;3,"new",AF1166&lt;=7,"Experienced",AF1166&gt;7,"High")</f>
        <v>Experienced</v>
      </c>
      <c r="AM1166" s="1"/>
    </row>
    <row r="1167" spans="1:39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  <c r="AJ1167" t="str">
        <f t="shared" si="18"/>
        <v>Low</v>
      </c>
      <c r="AK1167" t="str" cm="1">
        <f t="array" ref="AK1167">_xlfn.IFS(S1167&lt;4000,"Low",S1167&lt;8000,"Medium",S1167&gt;=8000,"High")</f>
        <v>Medium</v>
      </c>
      <c r="AL1167" t="str" cm="1">
        <f t="array" ref="AL1167">_xlfn.IFS(AF1167&lt;3,"new",AF1167&lt;=7,"Experienced",AF1167&gt;7,"High")</f>
        <v>High</v>
      </c>
      <c r="AM1167" s="1"/>
    </row>
    <row r="1168" spans="1:39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  <c r="AJ1168" t="str">
        <f t="shared" si="18"/>
        <v>High</v>
      </c>
      <c r="AK1168" t="str" cm="1">
        <f t="array" ref="AK1168">_xlfn.IFS(S1168&lt;4000,"Low",S1168&lt;8000,"Medium",S1168&gt;=8000,"High")</f>
        <v>High</v>
      </c>
      <c r="AL1168" t="str" cm="1">
        <f t="array" ref="AL1168">_xlfn.IFS(AF1168&lt;3,"new",AF1168&lt;=7,"Experienced",AF1168&gt;7,"High")</f>
        <v>new</v>
      </c>
      <c r="AM1168" s="1"/>
    </row>
    <row r="1169" spans="1:39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  <c r="AJ1169" t="str">
        <f t="shared" si="18"/>
        <v>Low</v>
      </c>
      <c r="AK1169" t="str" cm="1">
        <f t="array" ref="AK1169">_xlfn.IFS(S1169&lt;4000,"Low",S1169&lt;8000,"Medium",S1169&gt;=8000,"High")</f>
        <v>Medium</v>
      </c>
      <c r="AL1169" t="str" cm="1">
        <f t="array" ref="AL1169">_xlfn.IFS(AF1169&lt;3,"new",AF1169&lt;=7,"Experienced",AF1169&gt;7,"High")</f>
        <v>new</v>
      </c>
      <c r="AM1169" s="1"/>
    </row>
    <row r="1170" spans="1:39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  <c r="AJ1170" t="str">
        <f t="shared" si="18"/>
        <v>Low</v>
      </c>
      <c r="AK1170" t="str" cm="1">
        <f t="array" ref="AK1170">_xlfn.IFS(S1170&lt;4000,"Low",S1170&lt;8000,"Medium",S1170&gt;=8000,"High")</f>
        <v>Low</v>
      </c>
      <c r="AL1170" t="str" cm="1">
        <f t="array" ref="AL1170">_xlfn.IFS(AF1170&lt;3,"new",AF1170&lt;=7,"Experienced",AF1170&gt;7,"High")</f>
        <v>Experienced</v>
      </c>
      <c r="AM1170" s="1"/>
    </row>
    <row r="1171" spans="1:39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  <c r="AJ1171" t="str">
        <f t="shared" si="18"/>
        <v>Low</v>
      </c>
      <c r="AK1171" t="str" cm="1">
        <f t="array" ref="AK1171">_xlfn.IFS(S1171&lt;4000,"Low",S1171&lt;8000,"Medium",S1171&gt;=8000,"High")</f>
        <v>Low</v>
      </c>
      <c r="AL1171" t="str" cm="1">
        <f t="array" ref="AL1171">_xlfn.IFS(AF1171&lt;3,"new",AF1171&lt;=7,"Experienced",AF1171&gt;7,"High")</f>
        <v>Experienced</v>
      </c>
      <c r="AM1171" s="1"/>
    </row>
    <row r="1172" spans="1:39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  <c r="AJ1172" t="str">
        <f t="shared" si="18"/>
        <v>Low</v>
      </c>
      <c r="AK1172" t="str" cm="1">
        <f t="array" ref="AK1172">_xlfn.IFS(S1172&lt;4000,"Low",S1172&lt;8000,"Medium",S1172&gt;=8000,"High")</f>
        <v>Low</v>
      </c>
      <c r="AL1172" t="str" cm="1">
        <f t="array" ref="AL1172">_xlfn.IFS(AF1172&lt;3,"new",AF1172&lt;=7,"Experienced",AF1172&gt;7,"High")</f>
        <v>Experienced</v>
      </c>
      <c r="AM1172" s="1"/>
    </row>
    <row r="1173" spans="1:39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  <c r="AJ1173" t="str">
        <f t="shared" si="18"/>
        <v>Low</v>
      </c>
      <c r="AK1173" t="str" cm="1">
        <f t="array" ref="AK1173">_xlfn.IFS(S1173&lt;4000,"Low",S1173&lt;8000,"Medium",S1173&gt;=8000,"High")</f>
        <v>Low</v>
      </c>
      <c r="AL1173" t="str" cm="1">
        <f t="array" ref="AL1173">_xlfn.IFS(AF1173&lt;3,"new",AF1173&lt;=7,"Experienced",AF1173&gt;7,"High")</f>
        <v>Experienced</v>
      </c>
      <c r="AM1173" s="1"/>
    </row>
    <row r="1174" spans="1:39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  <c r="AJ1174" t="str">
        <f t="shared" si="18"/>
        <v>Low</v>
      </c>
      <c r="AK1174" t="str" cm="1">
        <f t="array" ref="AK1174">_xlfn.IFS(S1174&lt;4000,"Low",S1174&lt;8000,"Medium",S1174&gt;=8000,"High")</f>
        <v>Medium</v>
      </c>
      <c r="AL1174" t="str" cm="1">
        <f t="array" ref="AL1174">_xlfn.IFS(AF1174&lt;3,"new",AF1174&lt;=7,"Experienced",AF1174&gt;7,"High")</f>
        <v>Experienced</v>
      </c>
      <c r="AM1174" s="1"/>
    </row>
    <row r="1175" spans="1:39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  <c r="AJ1175" t="str">
        <f t="shared" si="18"/>
        <v>High</v>
      </c>
      <c r="AK1175" t="str" cm="1">
        <f t="array" ref="AK1175">_xlfn.IFS(S1175&lt;4000,"Low",S1175&lt;8000,"Medium",S1175&gt;=8000,"High")</f>
        <v>High</v>
      </c>
      <c r="AL1175" t="str" cm="1">
        <f t="array" ref="AL1175">_xlfn.IFS(AF1175&lt;3,"new",AF1175&lt;=7,"Experienced",AF1175&gt;7,"High")</f>
        <v>Experienced</v>
      </c>
      <c r="AM1175" s="1"/>
    </row>
    <row r="1176" spans="1:39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  <c r="AJ1176" t="str">
        <f t="shared" si="18"/>
        <v>Low</v>
      </c>
      <c r="AK1176" t="str" cm="1">
        <f t="array" ref="AK1176">_xlfn.IFS(S1176&lt;4000,"Low",S1176&lt;8000,"Medium",S1176&gt;=8000,"High")</f>
        <v>Medium</v>
      </c>
      <c r="AL1176" t="str" cm="1">
        <f t="array" ref="AL1176">_xlfn.IFS(AF1176&lt;3,"new",AF1176&lt;=7,"Experienced",AF1176&gt;7,"High")</f>
        <v>Experienced</v>
      </c>
      <c r="AM1176" s="1"/>
    </row>
    <row r="1177" spans="1:39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  <c r="AJ1177" t="str">
        <f t="shared" si="18"/>
        <v>Low</v>
      </c>
      <c r="AK1177" t="str" cm="1">
        <f t="array" ref="AK1177">_xlfn.IFS(S1177&lt;4000,"Low",S1177&lt;8000,"Medium",S1177&gt;=8000,"High")</f>
        <v>Medium</v>
      </c>
      <c r="AL1177" t="str" cm="1">
        <f t="array" ref="AL1177">_xlfn.IFS(AF1177&lt;3,"new",AF1177&lt;=7,"Experienced",AF1177&gt;7,"High")</f>
        <v>Experienced</v>
      </c>
      <c r="AM1177" s="1"/>
    </row>
    <row r="1178" spans="1:39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  <c r="AJ1178" t="str">
        <f t="shared" si="18"/>
        <v>High</v>
      </c>
      <c r="AK1178" t="str" cm="1">
        <f t="array" ref="AK1178">_xlfn.IFS(S1178&lt;4000,"Low",S1178&lt;8000,"Medium",S1178&gt;=8000,"High")</f>
        <v>High</v>
      </c>
      <c r="AL1178" t="str" cm="1">
        <f t="array" ref="AL1178">_xlfn.IFS(AF1178&lt;3,"new",AF1178&lt;=7,"Experienced",AF1178&gt;7,"High")</f>
        <v>Experienced</v>
      </c>
      <c r="AM1178" s="1"/>
    </row>
    <row r="1179" spans="1:39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  <c r="AJ1179" t="str">
        <f t="shared" si="18"/>
        <v>High</v>
      </c>
      <c r="AK1179" t="str" cm="1">
        <f t="array" ref="AK1179">_xlfn.IFS(S1179&lt;4000,"Low",S1179&lt;8000,"Medium",S1179&gt;=8000,"High")</f>
        <v>High</v>
      </c>
      <c r="AL1179" t="str" cm="1">
        <f t="array" ref="AL1179">_xlfn.IFS(AF1179&lt;3,"new",AF1179&lt;=7,"Experienced",AF1179&gt;7,"High")</f>
        <v>High</v>
      </c>
      <c r="AM1179" s="1"/>
    </row>
    <row r="1180" spans="1:39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  <c r="AJ1180" t="str">
        <f t="shared" si="18"/>
        <v>Low</v>
      </c>
      <c r="AK1180" t="str" cm="1">
        <f t="array" ref="AK1180">_xlfn.IFS(S1180&lt;4000,"Low",S1180&lt;8000,"Medium",S1180&gt;=8000,"High")</f>
        <v>Low</v>
      </c>
      <c r="AL1180" t="str" cm="1">
        <f t="array" ref="AL1180">_xlfn.IFS(AF1180&lt;3,"new",AF1180&lt;=7,"Experienced",AF1180&gt;7,"High")</f>
        <v>new</v>
      </c>
      <c r="AM1180" s="1"/>
    </row>
    <row r="1181" spans="1:39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  <c r="AJ1181" t="str">
        <f t="shared" si="18"/>
        <v>Low</v>
      </c>
      <c r="AK1181" t="str" cm="1">
        <f t="array" ref="AK1181">_xlfn.IFS(S1181&lt;4000,"Low",S1181&lt;8000,"Medium",S1181&gt;=8000,"High")</f>
        <v>Medium</v>
      </c>
      <c r="AL1181" t="str" cm="1">
        <f t="array" ref="AL1181">_xlfn.IFS(AF1181&lt;3,"new",AF1181&lt;=7,"Experienced",AF1181&gt;7,"High")</f>
        <v>High</v>
      </c>
      <c r="AM1181" s="1"/>
    </row>
    <row r="1182" spans="1:39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  <c r="AJ1182" t="str">
        <f t="shared" si="18"/>
        <v>Low</v>
      </c>
      <c r="AK1182" t="str" cm="1">
        <f t="array" ref="AK1182">_xlfn.IFS(S1182&lt;4000,"Low",S1182&lt;8000,"Medium",S1182&gt;=8000,"High")</f>
        <v>Low</v>
      </c>
      <c r="AL1182" t="str" cm="1">
        <f t="array" ref="AL1182">_xlfn.IFS(AF1182&lt;3,"new",AF1182&lt;=7,"Experienced",AF1182&gt;7,"High")</f>
        <v>Experienced</v>
      </c>
      <c r="AM1182" s="1"/>
    </row>
    <row r="1183" spans="1:39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  <c r="AJ1183" t="str">
        <f t="shared" si="18"/>
        <v>High</v>
      </c>
      <c r="AK1183" t="str" cm="1">
        <f t="array" ref="AK1183">_xlfn.IFS(S1183&lt;4000,"Low",S1183&lt;8000,"Medium",S1183&gt;=8000,"High")</f>
        <v>High</v>
      </c>
      <c r="AL1183" t="str" cm="1">
        <f t="array" ref="AL1183">_xlfn.IFS(AF1183&lt;3,"new",AF1183&lt;=7,"Experienced",AF1183&gt;7,"High")</f>
        <v>High</v>
      </c>
      <c r="AM1183" s="1"/>
    </row>
    <row r="1184" spans="1:39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  <c r="AJ1184" t="str">
        <f t="shared" si="18"/>
        <v>Low</v>
      </c>
      <c r="AK1184" t="str" cm="1">
        <f t="array" ref="AK1184">_xlfn.IFS(S1184&lt;4000,"Low",S1184&lt;8000,"Medium",S1184&gt;=8000,"High")</f>
        <v>Medium</v>
      </c>
      <c r="AL1184" t="str" cm="1">
        <f t="array" ref="AL1184">_xlfn.IFS(AF1184&lt;3,"new",AF1184&lt;=7,"Experienced",AF1184&gt;7,"High")</f>
        <v>Experienced</v>
      </c>
      <c r="AM1184" s="1"/>
    </row>
    <row r="1185" spans="1:39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  <c r="AJ1185" t="str">
        <f t="shared" si="18"/>
        <v>High</v>
      </c>
      <c r="AK1185" t="str" cm="1">
        <f t="array" ref="AK1185">_xlfn.IFS(S1185&lt;4000,"Low",S1185&lt;8000,"Medium",S1185&gt;=8000,"High")</f>
        <v>Medium</v>
      </c>
      <c r="AL1185" t="str" cm="1">
        <f t="array" ref="AL1185">_xlfn.IFS(AF1185&lt;3,"new",AF1185&lt;=7,"Experienced",AF1185&gt;7,"High")</f>
        <v>Experienced</v>
      </c>
      <c r="AM1185" s="1"/>
    </row>
    <row r="1186" spans="1:39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  <c r="AJ1186" t="str">
        <f t="shared" si="18"/>
        <v>High</v>
      </c>
      <c r="AK1186" t="str" cm="1">
        <f t="array" ref="AK1186">_xlfn.IFS(S1186&lt;4000,"Low",S1186&lt;8000,"Medium",S1186&gt;=8000,"High")</f>
        <v>High</v>
      </c>
      <c r="AL1186" t="str" cm="1">
        <f t="array" ref="AL1186">_xlfn.IFS(AF1186&lt;3,"new",AF1186&lt;=7,"Experienced",AF1186&gt;7,"High")</f>
        <v>High</v>
      </c>
      <c r="AM1186" s="1"/>
    </row>
    <row r="1187" spans="1:39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  <c r="AJ1187" t="str">
        <f t="shared" si="18"/>
        <v>High</v>
      </c>
      <c r="AK1187" t="str" cm="1">
        <f t="array" ref="AK1187">_xlfn.IFS(S1187&lt;4000,"Low",S1187&lt;8000,"Medium",S1187&gt;=8000,"High")</f>
        <v>High</v>
      </c>
      <c r="AL1187" t="str" cm="1">
        <f t="array" ref="AL1187">_xlfn.IFS(AF1187&lt;3,"new",AF1187&lt;=7,"Experienced",AF1187&gt;7,"High")</f>
        <v>High</v>
      </c>
      <c r="AM1187" s="1"/>
    </row>
    <row r="1188" spans="1:39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  <c r="AJ1188" t="str">
        <f t="shared" si="18"/>
        <v>Low</v>
      </c>
      <c r="AK1188" t="str" cm="1">
        <f t="array" ref="AK1188">_xlfn.IFS(S1188&lt;4000,"Low",S1188&lt;8000,"Medium",S1188&gt;=8000,"High")</f>
        <v>Medium</v>
      </c>
      <c r="AL1188" t="str" cm="1">
        <f t="array" ref="AL1188">_xlfn.IFS(AF1188&lt;3,"new",AF1188&lt;=7,"Experienced",AF1188&gt;7,"High")</f>
        <v>High</v>
      </c>
      <c r="AM1188" s="1"/>
    </row>
    <row r="1189" spans="1:39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  <c r="AJ1189" t="str">
        <f t="shared" si="18"/>
        <v>Low</v>
      </c>
      <c r="AK1189" t="str" cm="1">
        <f t="array" ref="AK1189">_xlfn.IFS(S1189&lt;4000,"Low",S1189&lt;8000,"Medium",S1189&gt;=8000,"High")</f>
        <v>Medium</v>
      </c>
      <c r="AL1189" t="str" cm="1">
        <f t="array" ref="AL1189">_xlfn.IFS(AF1189&lt;3,"new",AF1189&lt;=7,"Experienced",AF1189&gt;7,"High")</f>
        <v>High</v>
      </c>
      <c r="AM1189" s="1"/>
    </row>
    <row r="1190" spans="1:39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  <c r="AJ1190" t="str">
        <f t="shared" si="18"/>
        <v>Low</v>
      </c>
      <c r="AK1190" t="str" cm="1">
        <f t="array" ref="AK1190">_xlfn.IFS(S1190&lt;4000,"Low",S1190&lt;8000,"Medium",S1190&gt;=8000,"High")</f>
        <v>Medium</v>
      </c>
      <c r="AL1190" t="str" cm="1">
        <f t="array" ref="AL1190">_xlfn.IFS(AF1190&lt;3,"new",AF1190&lt;=7,"Experienced",AF1190&gt;7,"High")</f>
        <v>High</v>
      </c>
      <c r="AM1190" s="1"/>
    </row>
    <row r="1191" spans="1:39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  <c r="AJ1191" t="str">
        <f t="shared" si="18"/>
        <v>Low</v>
      </c>
      <c r="AK1191" t="str" cm="1">
        <f t="array" ref="AK1191">_xlfn.IFS(S1191&lt;4000,"Low",S1191&lt;8000,"Medium",S1191&gt;=8000,"High")</f>
        <v>Medium</v>
      </c>
      <c r="AL1191" t="str" cm="1">
        <f t="array" ref="AL1191">_xlfn.IFS(AF1191&lt;3,"new",AF1191&lt;=7,"Experienced",AF1191&gt;7,"High")</f>
        <v>Experienced</v>
      </c>
      <c r="AM1191" s="1"/>
    </row>
    <row r="1192" spans="1:39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  <c r="AJ1192" t="str">
        <f t="shared" si="18"/>
        <v>Low</v>
      </c>
      <c r="AK1192" t="str" cm="1">
        <f t="array" ref="AK1192">_xlfn.IFS(S1192&lt;4000,"Low",S1192&lt;8000,"Medium",S1192&gt;=8000,"High")</f>
        <v>Medium</v>
      </c>
      <c r="AL1192" t="str" cm="1">
        <f t="array" ref="AL1192">_xlfn.IFS(AF1192&lt;3,"new",AF1192&lt;=7,"Experienced",AF1192&gt;7,"High")</f>
        <v>High</v>
      </c>
      <c r="AM1192" s="1"/>
    </row>
    <row r="1193" spans="1:39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  <c r="AJ1193" t="str">
        <f t="shared" si="18"/>
        <v>Low</v>
      </c>
      <c r="AK1193" t="str" cm="1">
        <f t="array" ref="AK1193">_xlfn.IFS(S1193&lt;4000,"Low",S1193&lt;8000,"Medium",S1193&gt;=8000,"High")</f>
        <v>Medium</v>
      </c>
      <c r="AL1193" t="str" cm="1">
        <f t="array" ref="AL1193">_xlfn.IFS(AF1193&lt;3,"new",AF1193&lt;=7,"Experienced",AF1193&gt;7,"High")</f>
        <v>High</v>
      </c>
      <c r="AM1193" s="1"/>
    </row>
    <row r="1194" spans="1:39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  <c r="AJ1194" t="str">
        <f t="shared" si="18"/>
        <v>Low</v>
      </c>
      <c r="AK1194" t="str" cm="1">
        <f t="array" ref="AK1194">_xlfn.IFS(S1194&lt;4000,"Low",S1194&lt;8000,"Medium",S1194&gt;=8000,"High")</f>
        <v>Low</v>
      </c>
      <c r="AL1194" t="str" cm="1">
        <f t="array" ref="AL1194">_xlfn.IFS(AF1194&lt;3,"new",AF1194&lt;=7,"Experienced",AF1194&gt;7,"High")</f>
        <v>new</v>
      </c>
      <c r="AM1194" s="1"/>
    </row>
    <row r="1195" spans="1:39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  <c r="AJ1195" t="str">
        <f t="shared" si="18"/>
        <v>Low</v>
      </c>
      <c r="AK1195" t="str" cm="1">
        <f t="array" ref="AK1195">_xlfn.IFS(S1195&lt;4000,"Low",S1195&lt;8000,"Medium",S1195&gt;=8000,"High")</f>
        <v>Low</v>
      </c>
      <c r="AL1195" t="str" cm="1">
        <f t="array" ref="AL1195">_xlfn.IFS(AF1195&lt;3,"new",AF1195&lt;=7,"Experienced",AF1195&gt;7,"High")</f>
        <v>Experienced</v>
      </c>
      <c r="AM1195" s="1"/>
    </row>
    <row r="1196" spans="1:39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  <c r="AJ1196" t="str">
        <f t="shared" si="18"/>
        <v>High</v>
      </c>
      <c r="AK1196" t="str" cm="1">
        <f t="array" ref="AK1196">_xlfn.IFS(S1196&lt;4000,"Low",S1196&lt;8000,"Medium",S1196&gt;=8000,"High")</f>
        <v>High</v>
      </c>
      <c r="AL1196" t="str" cm="1">
        <f t="array" ref="AL1196">_xlfn.IFS(AF1196&lt;3,"new",AF1196&lt;=7,"Experienced",AF1196&gt;7,"High")</f>
        <v>Experienced</v>
      </c>
      <c r="AM1196" s="1"/>
    </row>
    <row r="1197" spans="1:39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  <c r="AJ1197" t="str">
        <f t="shared" si="18"/>
        <v>High</v>
      </c>
      <c r="AK1197" t="str" cm="1">
        <f t="array" ref="AK1197">_xlfn.IFS(S1197&lt;4000,"Low",S1197&lt;8000,"Medium",S1197&gt;=8000,"High")</f>
        <v>High</v>
      </c>
      <c r="AL1197" t="str" cm="1">
        <f t="array" ref="AL1197">_xlfn.IFS(AF1197&lt;3,"new",AF1197&lt;=7,"Experienced",AF1197&gt;7,"High")</f>
        <v>High</v>
      </c>
      <c r="AM1197" s="1"/>
    </row>
    <row r="1198" spans="1:39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  <c r="AJ1198" t="str">
        <f t="shared" si="18"/>
        <v>High</v>
      </c>
      <c r="AK1198" t="str" cm="1">
        <f t="array" ref="AK1198">_xlfn.IFS(S1198&lt;4000,"Low",S1198&lt;8000,"Medium",S1198&gt;=8000,"High")</f>
        <v>Medium</v>
      </c>
      <c r="AL1198" t="str" cm="1">
        <f t="array" ref="AL1198">_xlfn.IFS(AF1198&lt;3,"new",AF1198&lt;=7,"Experienced",AF1198&gt;7,"High")</f>
        <v>new</v>
      </c>
      <c r="AM1198" s="1"/>
    </row>
    <row r="1199" spans="1:39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  <c r="AJ1199" t="str">
        <f t="shared" si="18"/>
        <v>Low</v>
      </c>
      <c r="AK1199" t="str" cm="1">
        <f t="array" ref="AK1199">_xlfn.IFS(S1199&lt;4000,"Low",S1199&lt;8000,"Medium",S1199&gt;=8000,"High")</f>
        <v>Low</v>
      </c>
      <c r="AL1199" t="str" cm="1">
        <f t="array" ref="AL1199">_xlfn.IFS(AF1199&lt;3,"new",AF1199&lt;=7,"Experienced",AF1199&gt;7,"High")</f>
        <v>new</v>
      </c>
      <c r="AM1199" s="1"/>
    </row>
    <row r="1200" spans="1:39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  <c r="AJ1200" t="str">
        <f t="shared" si="18"/>
        <v>Low</v>
      </c>
      <c r="AK1200" t="str" cm="1">
        <f t="array" ref="AK1200">_xlfn.IFS(S1200&lt;4000,"Low",S1200&lt;8000,"Medium",S1200&gt;=8000,"High")</f>
        <v>Medium</v>
      </c>
      <c r="AL1200" t="str" cm="1">
        <f t="array" ref="AL1200">_xlfn.IFS(AF1200&lt;3,"new",AF1200&lt;=7,"Experienced",AF1200&gt;7,"High")</f>
        <v>Experienced</v>
      </c>
      <c r="AM1200" s="1"/>
    </row>
    <row r="1201" spans="1:39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  <c r="AJ1201" t="str">
        <f t="shared" si="18"/>
        <v>Low</v>
      </c>
      <c r="AK1201" t="str" cm="1">
        <f t="array" ref="AK1201">_xlfn.IFS(S1201&lt;4000,"Low",S1201&lt;8000,"Medium",S1201&gt;=8000,"High")</f>
        <v>Medium</v>
      </c>
      <c r="AL1201" t="str" cm="1">
        <f t="array" ref="AL1201">_xlfn.IFS(AF1201&lt;3,"new",AF1201&lt;=7,"Experienced",AF1201&gt;7,"High")</f>
        <v>Experienced</v>
      </c>
      <c r="AM1201" s="1"/>
    </row>
    <row r="1202" spans="1:39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  <c r="AJ1202" t="str">
        <f t="shared" si="18"/>
        <v>Low</v>
      </c>
      <c r="AK1202" t="str" cm="1">
        <f t="array" ref="AK1202">_xlfn.IFS(S1202&lt;4000,"Low",S1202&lt;8000,"Medium",S1202&gt;=8000,"High")</f>
        <v>Low</v>
      </c>
      <c r="AL1202" t="str" cm="1">
        <f t="array" ref="AL1202">_xlfn.IFS(AF1202&lt;3,"new",AF1202&lt;=7,"Experienced",AF1202&gt;7,"High")</f>
        <v>new</v>
      </c>
      <c r="AM1202" s="1"/>
    </row>
    <row r="1203" spans="1:39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  <c r="AJ1203" t="str">
        <f t="shared" si="18"/>
        <v>Low</v>
      </c>
      <c r="AK1203" t="str" cm="1">
        <f t="array" ref="AK1203">_xlfn.IFS(S1203&lt;4000,"Low",S1203&lt;8000,"Medium",S1203&gt;=8000,"High")</f>
        <v>Low</v>
      </c>
      <c r="AL1203" t="str" cm="1">
        <f t="array" ref="AL1203">_xlfn.IFS(AF1203&lt;3,"new",AF1203&lt;=7,"Experienced",AF1203&gt;7,"High")</f>
        <v>Experienced</v>
      </c>
      <c r="AM1203" s="1"/>
    </row>
    <row r="1204" spans="1:39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  <c r="AJ1204" t="str">
        <f t="shared" si="18"/>
        <v>Low</v>
      </c>
      <c r="AK1204" t="str" cm="1">
        <f t="array" ref="AK1204">_xlfn.IFS(S1204&lt;4000,"Low",S1204&lt;8000,"Medium",S1204&gt;=8000,"High")</f>
        <v>Low</v>
      </c>
      <c r="AL1204" t="str" cm="1">
        <f t="array" ref="AL1204">_xlfn.IFS(AF1204&lt;3,"new",AF1204&lt;=7,"Experienced",AF1204&gt;7,"High")</f>
        <v>new</v>
      </c>
      <c r="AM1204" s="1"/>
    </row>
    <row r="1205" spans="1:39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  <c r="AJ1205" t="str">
        <f t="shared" si="18"/>
        <v>High</v>
      </c>
      <c r="AK1205" t="str" cm="1">
        <f t="array" ref="AK1205">_xlfn.IFS(S1205&lt;4000,"Low",S1205&lt;8000,"Medium",S1205&gt;=8000,"High")</f>
        <v>Medium</v>
      </c>
      <c r="AL1205" t="str" cm="1">
        <f t="array" ref="AL1205">_xlfn.IFS(AF1205&lt;3,"new",AF1205&lt;=7,"Experienced",AF1205&gt;7,"High")</f>
        <v>Experienced</v>
      </c>
      <c r="AM1205" s="1"/>
    </row>
    <row r="1206" spans="1:39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  <c r="AJ1206" t="str">
        <f t="shared" si="18"/>
        <v>Low</v>
      </c>
      <c r="AK1206" t="str" cm="1">
        <f t="array" ref="AK1206">_xlfn.IFS(S1206&lt;4000,"Low",S1206&lt;8000,"Medium",S1206&gt;=8000,"High")</f>
        <v>Low</v>
      </c>
      <c r="AL1206" t="str" cm="1">
        <f t="array" ref="AL1206">_xlfn.IFS(AF1206&lt;3,"new",AF1206&lt;=7,"Experienced",AF1206&gt;7,"High")</f>
        <v>High</v>
      </c>
      <c r="AM1206" s="1"/>
    </row>
    <row r="1207" spans="1:39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  <c r="AJ1207" t="str">
        <f t="shared" si="18"/>
        <v>Low</v>
      </c>
      <c r="AK1207" t="str" cm="1">
        <f t="array" ref="AK1207">_xlfn.IFS(S1207&lt;4000,"Low",S1207&lt;8000,"Medium",S1207&gt;=8000,"High")</f>
        <v>Low</v>
      </c>
      <c r="AL1207" t="str" cm="1">
        <f t="array" ref="AL1207">_xlfn.IFS(AF1207&lt;3,"new",AF1207&lt;=7,"Experienced",AF1207&gt;7,"High")</f>
        <v>new</v>
      </c>
      <c r="AM1207" s="1"/>
    </row>
    <row r="1208" spans="1:39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  <c r="AJ1208" t="str">
        <f t="shared" si="18"/>
        <v>Low</v>
      </c>
      <c r="AK1208" t="str" cm="1">
        <f t="array" ref="AK1208">_xlfn.IFS(S1208&lt;4000,"Low",S1208&lt;8000,"Medium",S1208&gt;=8000,"High")</f>
        <v>Low</v>
      </c>
      <c r="AL1208" t="str" cm="1">
        <f t="array" ref="AL1208">_xlfn.IFS(AF1208&lt;3,"new",AF1208&lt;=7,"Experienced",AF1208&gt;7,"High")</f>
        <v>Experienced</v>
      </c>
      <c r="AM1208" s="1"/>
    </row>
    <row r="1209" spans="1:39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  <c r="AJ1209" t="str">
        <f t="shared" si="18"/>
        <v>Low</v>
      </c>
      <c r="AK1209" t="str" cm="1">
        <f t="array" ref="AK1209">_xlfn.IFS(S1209&lt;4000,"Low",S1209&lt;8000,"Medium",S1209&gt;=8000,"High")</f>
        <v>Low</v>
      </c>
      <c r="AL1209" t="str" cm="1">
        <f t="array" ref="AL1209">_xlfn.IFS(AF1209&lt;3,"new",AF1209&lt;=7,"Experienced",AF1209&gt;7,"High")</f>
        <v>Experienced</v>
      </c>
      <c r="AM1209" s="1"/>
    </row>
    <row r="1210" spans="1:39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  <c r="AJ1210" t="str">
        <f t="shared" si="18"/>
        <v>Low</v>
      </c>
      <c r="AK1210" t="str" cm="1">
        <f t="array" ref="AK1210">_xlfn.IFS(S1210&lt;4000,"Low",S1210&lt;8000,"Medium",S1210&gt;=8000,"High")</f>
        <v>Low</v>
      </c>
      <c r="AL1210" t="str" cm="1">
        <f t="array" ref="AL1210">_xlfn.IFS(AF1210&lt;3,"new",AF1210&lt;=7,"Experienced",AF1210&gt;7,"High")</f>
        <v>High</v>
      </c>
      <c r="AM1210" s="1"/>
    </row>
    <row r="1211" spans="1:39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  <c r="AJ1211" t="str">
        <f t="shared" si="18"/>
        <v>High</v>
      </c>
      <c r="AK1211" t="str" cm="1">
        <f t="array" ref="AK1211">_xlfn.IFS(S1211&lt;4000,"Low",S1211&lt;8000,"Medium",S1211&gt;=8000,"High")</f>
        <v>High</v>
      </c>
      <c r="AL1211" t="str" cm="1">
        <f t="array" ref="AL1211">_xlfn.IFS(AF1211&lt;3,"new",AF1211&lt;=7,"Experienced",AF1211&gt;7,"High")</f>
        <v>new</v>
      </c>
      <c r="AM1211" s="1"/>
    </row>
    <row r="1212" spans="1:39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  <c r="AJ1212" t="str">
        <f t="shared" si="18"/>
        <v>Low</v>
      </c>
      <c r="AK1212" t="str" cm="1">
        <f t="array" ref="AK1212">_xlfn.IFS(S1212&lt;4000,"Low",S1212&lt;8000,"Medium",S1212&gt;=8000,"High")</f>
        <v>Low</v>
      </c>
      <c r="AL1212" t="str" cm="1">
        <f t="array" ref="AL1212">_xlfn.IFS(AF1212&lt;3,"new",AF1212&lt;=7,"Experienced",AF1212&gt;7,"High")</f>
        <v>High</v>
      </c>
      <c r="AM1212" s="1"/>
    </row>
    <row r="1213" spans="1:39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  <c r="AJ1213" t="str">
        <f t="shared" si="18"/>
        <v>High</v>
      </c>
      <c r="AK1213" t="str" cm="1">
        <f t="array" ref="AK1213">_xlfn.IFS(S1213&lt;4000,"Low",S1213&lt;8000,"Medium",S1213&gt;=8000,"High")</f>
        <v>High</v>
      </c>
      <c r="AL1213" t="str" cm="1">
        <f t="array" ref="AL1213">_xlfn.IFS(AF1213&lt;3,"new",AF1213&lt;=7,"Experienced",AF1213&gt;7,"High")</f>
        <v>Experienced</v>
      </c>
      <c r="AM1213" s="1"/>
    </row>
    <row r="1214" spans="1:39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  <c r="AJ1214" t="str">
        <f t="shared" si="18"/>
        <v>Low</v>
      </c>
      <c r="AK1214" t="str" cm="1">
        <f t="array" ref="AK1214">_xlfn.IFS(S1214&lt;4000,"Low",S1214&lt;8000,"Medium",S1214&gt;=8000,"High")</f>
        <v>Low</v>
      </c>
      <c r="AL1214" t="str" cm="1">
        <f t="array" ref="AL1214">_xlfn.IFS(AF1214&lt;3,"new",AF1214&lt;=7,"Experienced",AF1214&gt;7,"High")</f>
        <v>High</v>
      </c>
      <c r="AM1214" s="1"/>
    </row>
    <row r="1215" spans="1:39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  <c r="AJ1215" t="str">
        <f t="shared" si="18"/>
        <v>Low</v>
      </c>
      <c r="AK1215" t="str" cm="1">
        <f t="array" ref="AK1215">_xlfn.IFS(S1215&lt;4000,"Low",S1215&lt;8000,"Medium",S1215&gt;=8000,"High")</f>
        <v>Low</v>
      </c>
      <c r="AL1215" t="str" cm="1">
        <f t="array" ref="AL1215">_xlfn.IFS(AF1215&lt;3,"new",AF1215&lt;=7,"Experienced",AF1215&gt;7,"High")</f>
        <v>Experienced</v>
      </c>
      <c r="AM1215" s="1"/>
    </row>
    <row r="1216" spans="1:39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  <c r="AJ1216" t="str">
        <f t="shared" si="18"/>
        <v>High</v>
      </c>
      <c r="AK1216" t="str" cm="1">
        <f t="array" ref="AK1216">_xlfn.IFS(S1216&lt;4000,"Low",S1216&lt;8000,"Medium",S1216&gt;=8000,"High")</f>
        <v>Medium</v>
      </c>
      <c r="AL1216" t="str" cm="1">
        <f t="array" ref="AL1216">_xlfn.IFS(AF1216&lt;3,"new",AF1216&lt;=7,"Experienced",AF1216&gt;7,"High")</f>
        <v>High</v>
      </c>
      <c r="AM1216" s="1"/>
    </row>
    <row r="1217" spans="1:39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  <c r="AJ1217" t="str">
        <f t="shared" si="18"/>
        <v>Low</v>
      </c>
      <c r="AK1217" t="str" cm="1">
        <f t="array" ref="AK1217">_xlfn.IFS(S1217&lt;4000,"Low",S1217&lt;8000,"Medium",S1217&gt;=8000,"High")</f>
        <v>Medium</v>
      </c>
      <c r="AL1217" t="str" cm="1">
        <f t="array" ref="AL1217">_xlfn.IFS(AF1217&lt;3,"new",AF1217&lt;=7,"Experienced",AF1217&gt;7,"High")</f>
        <v>Experienced</v>
      </c>
      <c r="AM1217" s="1"/>
    </row>
    <row r="1218" spans="1:39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  <c r="AJ1218" t="str">
        <f t="shared" ref="AJ1218:AJ1281" si="19">IF(S1218&gt;=6500,"High","Low")</f>
        <v>High</v>
      </c>
      <c r="AK1218" t="str" cm="1">
        <f t="array" ref="AK1218">_xlfn.IFS(S1218&lt;4000,"Low",S1218&lt;8000,"Medium",S1218&gt;=8000,"High")</f>
        <v>Medium</v>
      </c>
      <c r="AL1218" t="str" cm="1">
        <f t="array" ref="AL1218">_xlfn.IFS(AF1218&lt;3,"new",AF1218&lt;=7,"Experienced",AF1218&gt;7,"High")</f>
        <v>High</v>
      </c>
      <c r="AM1218" s="1"/>
    </row>
    <row r="1219" spans="1:39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  <c r="AJ1219" t="str">
        <f t="shared" si="19"/>
        <v>Low</v>
      </c>
      <c r="AK1219" t="str" cm="1">
        <f t="array" ref="AK1219">_xlfn.IFS(S1219&lt;4000,"Low",S1219&lt;8000,"Medium",S1219&gt;=8000,"High")</f>
        <v>Medium</v>
      </c>
      <c r="AL1219" t="str" cm="1">
        <f t="array" ref="AL1219">_xlfn.IFS(AF1219&lt;3,"new",AF1219&lt;=7,"Experienced",AF1219&gt;7,"High")</f>
        <v>Experienced</v>
      </c>
      <c r="AM1219" s="1"/>
    </row>
    <row r="1220" spans="1:39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  <c r="AJ1220" t="str">
        <f t="shared" si="19"/>
        <v>High</v>
      </c>
      <c r="AK1220" t="str" cm="1">
        <f t="array" ref="AK1220">_xlfn.IFS(S1220&lt;4000,"Low",S1220&lt;8000,"Medium",S1220&gt;=8000,"High")</f>
        <v>High</v>
      </c>
      <c r="AL1220" t="str" cm="1">
        <f t="array" ref="AL1220">_xlfn.IFS(AF1220&lt;3,"new",AF1220&lt;=7,"Experienced",AF1220&gt;7,"High")</f>
        <v>High</v>
      </c>
      <c r="AM1220" s="1"/>
    </row>
    <row r="1221" spans="1:39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  <c r="AJ1221" t="str">
        <f t="shared" si="19"/>
        <v>Low</v>
      </c>
      <c r="AK1221" t="str" cm="1">
        <f t="array" ref="AK1221">_xlfn.IFS(S1221&lt;4000,"Low",S1221&lt;8000,"Medium",S1221&gt;=8000,"High")</f>
        <v>Low</v>
      </c>
      <c r="AL1221" t="str" cm="1">
        <f t="array" ref="AL1221">_xlfn.IFS(AF1221&lt;3,"new",AF1221&lt;=7,"Experienced",AF1221&gt;7,"High")</f>
        <v>Experienced</v>
      </c>
      <c r="AM1221" s="1"/>
    </row>
    <row r="1222" spans="1:39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  <c r="AJ1222" t="str">
        <f t="shared" si="19"/>
        <v>Low</v>
      </c>
      <c r="AK1222" t="str" cm="1">
        <f t="array" ref="AK1222">_xlfn.IFS(S1222&lt;4000,"Low",S1222&lt;8000,"Medium",S1222&gt;=8000,"High")</f>
        <v>Medium</v>
      </c>
      <c r="AL1222" t="str" cm="1">
        <f t="array" ref="AL1222">_xlfn.IFS(AF1222&lt;3,"new",AF1222&lt;=7,"Experienced",AF1222&gt;7,"High")</f>
        <v>High</v>
      </c>
      <c r="AM1222" s="1"/>
    </row>
    <row r="1223" spans="1:39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  <c r="AJ1223" t="str">
        <f t="shared" si="19"/>
        <v>High</v>
      </c>
      <c r="AK1223" t="str" cm="1">
        <f t="array" ref="AK1223">_xlfn.IFS(S1223&lt;4000,"Low",S1223&lt;8000,"Medium",S1223&gt;=8000,"High")</f>
        <v>High</v>
      </c>
      <c r="AL1223" t="str" cm="1">
        <f t="array" ref="AL1223">_xlfn.IFS(AF1223&lt;3,"new",AF1223&lt;=7,"Experienced",AF1223&gt;7,"High")</f>
        <v>High</v>
      </c>
      <c r="AM1223" s="1"/>
    </row>
    <row r="1224" spans="1:39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  <c r="AJ1224" t="str">
        <f t="shared" si="19"/>
        <v>Low</v>
      </c>
      <c r="AK1224" t="str" cm="1">
        <f t="array" ref="AK1224">_xlfn.IFS(S1224&lt;4000,"Low",S1224&lt;8000,"Medium",S1224&gt;=8000,"High")</f>
        <v>Low</v>
      </c>
      <c r="AL1224" t="str" cm="1">
        <f t="array" ref="AL1224">_xlfn.IFS(AF1224&lt;3,"new",AF1224&lt;=7,"Experienced",AF1224&gt;7,"High")</f>
        <v>new</v>
      </c>
      <c r="AM1224" s="1"/>
    </row>
    <row r="1225" spans="1:39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  <c r="AJ1225" t="str">
        <f t="shared" si="19"/>
        <v>High</v>
      </c>
      <c r="AK1225" t="str" cm="1">
        <f t="array" ref="AK1225">_xlfn.IFS(S1225&lt;4000,"Low",S1225&lt;8000,"Medium",S1225&gt;=8000,"High")</f>
        <v>High</v>
      </c>
      <c r="AL1225" t="str" cm="1">
        <f t="array" ref="AL1225">_xlfn.IFS(AF1225&lt;3,"new",AF1225&lt;=7,"Experienced",AF1225&gt;7,"High")</f>
        <v>High</v>
      </c>
      <c r="AM1225" s="1"/>
    </row>
    <row r="1226" spans="1:39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  <c r="AJ1226" t="str">
        <f t="shared" si="19"/>
        <v>Low</v>
      </c>
      <c r="AK1226" t="str" cm="1">
        <f t="array" ref="AK1226">_xlfn.IFS(S1226&lt;4000,"Low",S1226&lt;8000,"Medium",S1226&gt;=8000,"High")</f>
        <v>Low</v>
      </c>
      <c r="AL1226" t="str" cm="1">
        <f t="array" ref="AL1226">_xlfn.IFS(AF1226&lt;3,"new",AF1226&lt;=7,"Experienced",AF1226&gt;7,"High")</f>
        <v>Experienced</v>
      </c>
      <c r="AM1226" s="1"/>
    </row>
    <row r="1227" spans="1:39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  <c r="AJ1227" t="str">
        <f t="shared" si="19"/>
        <v>High</v>
      </c>
      <c r="AK1227" t="str" cm="1">
        <f t="array" ref="AK1227">_xlfn.IFS(S1227&lt;4000,"Low",S1227&lt;8000,"Medium",S1227&gt;=8000,"High")</f>
        <v>High</v>
      </c>
      <c r="AL1227" t="str" cm="1">
        <f t="array" ref="AL1227">_xlfn.IFS(AF1227&lt;3,"new",AF1227&lt;=7,"Experienced",AF1227&gt;7,"High")</f>
        <v>High</v>
      </c>
      <c r="AM1227" s="1"/>
    </row>
    <row r="1228" spans="1:39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  <c r="AJ1228" t="str">
        <f t="shared" si="19"/>
        <v>Low</v>
      </c>
      <c r="AK1228" t="str" cm="1">
        <f t="array" ref="AK1228">_xlfn.IFS(S1228&lt;4000,"Low",S1228&lt;8000,"Medium",S1228&gt;=8000,"High")</f>
        <v>Low</v>
      </c>
      <c r="AL1228" t="str" cm="1">
        <f t="array" ref="AL1228">_xlfn.IFS(AF1228&lt;3,"new",AF1228&lt;=7,"Experienced",AF1228&gt;7,"High")</f>
        <v>Experienced</v>
      </c>
      <c r="AM1228" s="1"/>
    </row>
    <row r="1229" spans="1:39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  <c r="AJ1229" t="str">
        <f t="shared" si="19"/>
        <v>Low</v>
      </c>
      <c r="AK1229" t="str" cm="1">
        <f t="array" ref="AK1229">_xlfn.IFS(S1229&lt;4000,"Low",S1229&lt;8000,"Medium",S1229&gt;=8000,"High")</f>
        <v>Low</v>
      </c>
      <c r="AL1229" t="str" cm="1">
        <f t="array" ref="AL1229">_xlfn.IFS(AF1229&lt;3,"new",AF1229&lt;=7,"Experienced",AF1229&gt;7,"High")</f>
        <v>Experienced</v>
      </c>
      <c r="AM1229" s="1"/>
    </row>
    <row r="1230" spans="1:39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  <c r="AJ1230" t="str">
        <f t="shared" si="19"/>
        <v>Low</v>
      </c>
      <c r="AK1230" t="str" cm="1">
        <f t="array" ref="AK1230">_xlfn.IFS(S1230&lt;4000,"Low",S1230&lt;8000,"Medium",S1230&gt;=8000,"High")</f>
        <v>Medium</v>
      </c>
      <c r="AL1230" t="str" cm="1">
        <f t="array" ref="AL1230">_xlfn.IFS(AF1230&lt;3,"new",AF1230&lt;=7,"Experienced",AF1230&gt;7,"High")</f>
        <v>Experienced</v>
      </c>
      <c r="AM1230" s="1"/>
    </row>
    <row r="1231" spans="1:39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  <c r="AJ1231" t="str">
        <f t="shared" si="19"/>
        <v>High</v>
      </c>
      <c r="AK1231" t="str" cm="1">
        <f t="array" ref="AK1231">_xlfn.IFS(S1231&lt;4000,"Low",S1231&lt;8000,"Medium",S1231&gt;=8000,"High")</f>
        <v>Medium</v>
      </c>
      <c r="AL1231" t="str" cm="1">
        <f t="array" ref="AL1231">_xlfn.IFS(AF1231&lt;3,"new",AF1231&lt;=7,"Experienced",AF1231&gt;7,"High")</f>
        <v>new</v>
      </c>
      <c r="AM1231" s="1"/>
    </row>
    <row r="1232" spans="1:39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  <c r="AJ1232" t="str">
        <f t="shared" si="19"/>
        <v>Low</v>
      </c>
      <c r="AK1232" t="str" cm="1">
        <f t="array" ref="AK1232">_xlfn.IFS(S1232&lt;4000,"Low",S1232&lt;8000,"Medium",S1232&gt;=8000,"High")</f>
        <v>Low</v>
      </c>
      <c r="AL1232" t="str" cm="1">
        <f t="array" ref="AL1232">_xlfn.IFS(AF1232&lt;3,"new",AF1232&lt;=7,"Experienced",AF1232&gt;7,"High")</f>
        <v>Experienced</v>
      </c>
      <c r="AM1232" s="1"/>
    </row>
    <row r="1233" spans="1:39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  <c r="AJ1233" t="str">
        <f t="shared" si="19"/>
        <v>Low</v>
      </c>
      <c r="AK1233" t="str" cm="1">
        <f t="array" ref="AK1233">_xlfn.IFS(S1233&lt;4000,"Low",S1233&lt;8000,"Medium",S1233&gt;=8000,"High")</f>
        <v>Medium</v>
      </c>
      <c r="AL1233" t="str" cm="1">
        <f t="array" ref="AL1233">_xlfn.IFS(AF1233&lt;3,"new",AF1233&lt;=7,"Experienced",AF1233&gt;7,"High")</f>
        <v>High</v>
      </c>
      <c r="AM1233" s="1"/>
    </row>
    <row r="1234" spans="1:39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  <c r="AJ1234" t="str">
        <f t="shared" si="19"/>
        <v>High</v>
      </c>
      <c r="AK1234" t="str" cm="1">
        <f t="array" ref="AK1234">_xlfn.IFS(S1234&lt;4000,"Low",S1234&lt;8000,"Medium",S1234&gt;=8000,"High")</f>
        <v>Medium</v>
      </c>
      <c r="AL1234" t="str" cm="1">
        <f t="array" ref="AL1234">_xlfn.IFS(AF1234&lt;3,"new",AF1234&lt;=7,"Experienced",AF1234&gt;7,"High")</f>
        <v>Experienced</v>
      </c>
      <c r="AM1234" s="1"/>
    </row>
    <row r="1235" spans="1:39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  <c r="AJ1235" t="str">
        <f t="shared" si="19"/>
        <v>Low</v>
      </c>
      <c r="AK1235" t="str" cm="1">
        <f t="array" ref="AK1235">_xlfn.IFS(S1235&lt;4000,"Low",S1235&lt;8000,"Medium",S1235&gt;=8000,"High")</f>
        <v>Low</v>
      </c>
      <c r="AL1235" t="str" cm="1">
        <f t="array" ref="AL1235">_xlfn.IFS(AF1235&lt;3,"new",AF1235&lt;=7,"Experienced",AF1235&gt;7,"High")</f>
        <v>High</v>
      </c>
      <c r="AM1235" s="1"/>
    </row>
    <row r="1236" spans="1:39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  <c r="AJ1236" t="str">
        <f t="shared" si="19"/>
        <v>Low</v>
      </c>
      <c r="AK1236" t="str" cm="1">
        <f t="array" ref="AK1236">_xlfn.IFS(S1236&lt;4000,"Low",S1236&lt;8000,"Medium",S1236&gt;=8000,"High")</f>
        <v>Medium</v>
      </c>
      <c r="AL1236" t="str" cm="1">
        <f t="array" ref="AL1236">_xlfn.IFS(AF1236&lt;3,"new",AF1236&lt;=7,"Experienced",AF1236&gt;7,"High")</f>
        <v>new</v>
      </c>
      <c r="AM1236" s="1"/>
    </row>
    <row r="1237" spans="1:39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  <c r="AJ1237" t="str">
        <f t="shared" si="19"/>
        <v>High</v>
      </c>
      <c r="AK1237" t="str" cm="1">
        <f t="array" ref="AK1237">_xlfn.IFS(S1237&lt;4000,"Low",S1237&lt;8000,"Medium",S1237&gt;=8000,"High")</f>
        <v>High</v>
      </c>
      <c r="AL1237" t="str" cm="1">
        <f t="array" ref="AL1237">_xlfn.IFS(AF1237&lt;3,"new",AF1237&lt;=7,"Experienced",AF1237&gt;7,"High")</f>
        <v>High</v>
      </c>
      <c r="AM1237" s="1"/>
    </row>
    <row r="1238" spans="1:39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  <c r="AJ1238" t="str">
        <f t="shared" si="19"/>
        <v>Low</v>
      </c>
      <c r="AK1238" t="str" cm="1">
        <f t="array" ref="AK1238">_xlfn.IFS(S1238&lt;4000,"Low",S1238&lt;8000,"Medium",S1238&gt;=8000,"High")</f>
        <v>Medium</v>
      </c>
      <c r="AL1238" t="str" cm="1">
        <f t="array" ref="AL1238">_xlfn.IFS(AF1238&lt;3,"new",AF1238&lt;=7,"Experienced",AF1238&gt;7,"High")</f>
        <v>new</v>
      </c>
      <c r="AM1238" s="1"/>
    </row>
    <row r="1239" spans="1:39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  <c r="AJ1239" t="str">
        <f t="shared" si="19"/>
        <v>High</v>
      </c>
      <c r="AK1239" t="str" cm="1">
        <f t="array" ref="AK1239">_xlfn.IFS(S1239&lt;4000,"Low",S1239&lt;8000,"Medium",S1239&gt;=8000,"High")</f>
        <v>Medium</v>
      </c>
      <c r="AL1239" t="str" cm="1">
        <f t="array" ref="AL1239">_xlfn.IFS(AF1239&lt;3,"new",AF1239&lt;=7,"Experienced",AF1239&gt;7,"High")</f>
        <v>new</v>
      </c>
      <c r="AM1239" s="1"/>
    </row>
    <row r="1240" spans="1:39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  <c r="AJ1240" t="str">
        <f t="shared" si="19"/>
        <v>Low</v>
      </c>
      <c r="AK1240" t="str" cm="1">
        <f t="array" ref="AK1240">_xlfn.IFS(S1240&lt;4000,"Low",S1240&lt;8000,"Medium",S1240&gt;=8000,"High")</f>
        <v>Low</v>
      </c>
      <c r="AL1240" t="str" cm="1">
        <f t="array" ref="AL1240">_xlfn.IFS(AF1240&lt;3,"new",AF1240&lt;=7,"Experienced",AF1240&gt;7,"High")</f>
        <v>Experienced</v>
      </c>
      <c r="AM1240" s="1"/>
    </row>
    <row r="1241" spans="1:39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  <c r="AJ1241" t="str">
        <f t="shared" si="19"/>
        <v>Low</v>
      </c>
      <c r="AK1241" t="str" cm="1">
        <f t="array" ref="AK1241">_xlfn.IFS(S1241&lt;4000,"Low",S1241&lt;8000,"Medium",S1241&gt;=8000,"High")</f>
        <v>Medium</v>
      </c>
      <c r="AL1241" t="str" cm="1">
        <f t="array" ref="AL1241">_xlfn.IFS(AF1241&lt;3,"new",AF1241&lt;=7,"Experienced",AF1241&gt;7,"High")</f>
        <v>Experienced</v>
      </c>
      <c r="AM1241" s="1"/>
    </row>
    <row r="1242" spans="1:39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  <c r="AJ1242" t="str">
        <f t="shared" si="19"/>
        <v>Low</v>
      </c>
      <c r="AK1242" t="str" cm="1">
        <f t="array" ref="AK1242">_xlfn.IFS(S1242&lt;4000,"Low",S1242&lt;8000,"Medium",S1242&gt;=8000,"High")</f>
        <v>Medium</v>
      </c>
      <c r="AL1242" t="str" cm="1">
        <f t="array" ref="AL1242">_xlfn.IFS(AF1242&lt;3,"new",AF1242&lt;=7,"Experienced",AF1242&gt;7,"High")</f>
        <v>High</v>
      </c>
      <c r="AM1242" s="1"/>
    </row>
    <row r="1243" spans="1:39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  <c r="AJ1243" t="str">
        <f t="shared" si="19"/>
        <v>High</v>
      </c>
      <c r="AK1243" t="str" cm="1">
        <f t="array" ref="AK1243">_xlfn.IFS(S1243&lt;4000,"Low",S1243&lt;8000,"Medium",S1243&gt;=8000,"High")</f>
        <v>High</v>
      </c>
      <c r="AL1243" t="str" cm="1">
        <f t="array" ref="AL1243">_xlfn.IFS(AF1243&lt;3,"new",AF1243&lt;=7,"Experienced",AF1243&gt;7,"High")</f>
        <v>Experienced</v>
      </c>
      <c r="AM1243" s="1"/>
    </row>
    <row r="1244" spans="1:39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  <c r="AJ1244" t="str">
        <f t="shared" si="19"/>
        <v>High</v>
      </c>
      <c r="AK1244" t="str" cm="1">
        <f t="array" ref="AK1244">_xlfn.IFS(S1244&lt;4000,"Low",S1244&lt;8000,"Medium",S1244&gt;=8000,"High")</f>
        <v>High</v>
      </c>
      <c r="AL1244" t="str" cm="1">
        <f t="array" ref="AL1244">_xlfn.IFS(AF1244&lt;3,"new",AF1244&lt;=7,"Experienced",AF1244&gt;7,"High")</f>
        <v>High</v>
      </c>
      <c r="AM1244" s="1"/>
    </row>
    <row r="1245" spans="1:39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  <c r="AJ1245" t="str">
        <f t="shared" si="19"/>
        <v>High</v>
      </c>
      <c r="AK1245" t="str" cm="1">
        <f t="array" ref="AK1245">_xlfn.IFS(S1245&lt;4000,"Low",S1245&lt;8000,"Medium",S1245&gt;=8000,"High")</f>
        <v>High</v>
      </c>
      <c r="AL1245" t="str" cm="1">
        <f t="array" ref="AL1245">_xlfn.IFS(AF1245&lt;3,"new",AF1245&lt;=7,"Experienced",AF1245&gt;7,"High")</f>
        <v>Experienced</v>
      </c>
      <c r="AM1245" s="1"/>
    </row>
    <row r="1246" spans="1:39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  <c r="AJ1246" t="str">
        <f t="shared" si="19"/>
        <v>Low</v>
      </c>
      <c r="AK1246" t="str" cm="1">
        <f t="array" ref="AK1246">_xlfn.IFS(S1246&lt;4000,"Low",S1246&lt;8000,"Medium",S1246&gt;=8000,"High")</f>
        <v>Medium</v>
      </c>
      <c r="AL1246" t="str" cm="1">
        <f t="array" ref="AL1246">_xlfn.IFS(AF1246&lt;3,"new",AF1246&lt;=7,"Experienced",AF1246&gt;7,"High")</f>
        <v>High</v>
      </c>
      <c r="AM1246" s="1"/>
    </row>
    <row r="1247" spans="1:39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  <c r="AJ1247" t="str">
        <f t="shared" si="19"/>
        <v>Low</v>
      </c>
      <c r="AK1247" t="str" cm="1">
        <f t="array" ref="AK1247">_xlfn.IFS(S1247&lt;4000,"Low",S1247&lt;8000,"Medium",S1247&gt;=8000,"High")</f>
        <v>Low</v>
      </c>
      <c r="AL1247" t="str" cm="1">
        <f t="array" ref="AL1247">_xlfn.IFS(AF1247&lt;3,"new",AF1247&lt;=7,"Experienced",AF1247&gt;7,"High")</f>
        <v>new</v>
      </c>
      <c r="AM1247" s="1"/>
    </row>
    <row r="1248" spans="1:39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  <c r="AJ1248" t="str">
        <f t="shared" si="19"/>
        <v>Low</v>
      </c>
      <c r="AK1248" t="str" cm="1">
        <f t="array" ref="AK1248">_xlfn.IFS(S1248&lt;4000,"Low",S1248&lt;8000,"Medium",S1248&gt;=8000,"High")</f>
        <v>Low</v>
      </c>
      <c r="AL1248" t="str" cm="1">
        <f t="array" ref="AL1248">_xlfn.IFS(AF1248&lt;3,"new",AF1248&lt;=7,"Experienced",AF1248&gt;7,"High")</f>
        <v>Experienced</v>
      </c>
      <c r="AM1248" s="1"/>
    </row>
    <row r="1249" spans="1:39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  <c r="AJ1249" t="str">
        <f t="shared" si="19"/>
        <v>High</v>
      </c>
      <c r="AK1249" t="str" cm="1">
        <f t="array" ref="AK1249">_xlfn.IFS(S1249&lt;4000,"Low",S1249&lt;8000,"Medium",S1249&gt;=8000,"High")</f>
        <v>High</v>
      </c>
      <c r="AL1249" t="str" cm="1">
        <f t="array" ref="AL1249">_xlfn.IFS(AF1249&lt;3,"new",AF1249&lt;=7,"Experienced",AF1249&gt;7,"High")</f>
        <v>Experienced</v>
      </c>
      <c r="AM1249" s="1"/>
    </row>
    <row r="1250" spans="1:39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  <c r="AJ1250" t="str">
        <f t="shared" si="19"/>
        <v>Low</v>
      </c>
      <c r="AK1250" t="str" cm="1">
        <f t="array" ref="AK1250">_xlfn.IFS(S1250&lt;4000,"Low",S1250&lt;8000,"Medium",S1250&gt;=8000,"High")</f>
        <v>Low</v>
      </c>
      <c r="AL1250" t="str" cm="1">
        <f t="array" ref="AL1250">_xlfn.IFS(AF1250&lt;3,"new",AF1250&lt;=7,"Experienced",AF1250&gt;7,"High")</f>
        <v>Experienced</v>
      </c>
      <c r="AM1250" s="1"/>
    </row>
    <row r="1251" spans="1:39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  <c r="AJ1251" t="str">
        <f t="shared" si="19"/>
        <v>Low</v>
      </c>
      <c r="AK1251" t="str" cm="1">
        <f t="array" ref="AK1251">_xlfn.IFS(S1251&lt;4000,"Low",S1251&lt;8000,"Medium",S1251&gt;=8000,"High")</f>
        <v>Low</v>
      </c>
      <c r="AL1251" t="str" cm="1">
        <f t="array" ref="AL1251">_xlfn.IFS(AF1251&lt;3,"new",AF1251&lt;=7,"Experienced",AF1251&gt;7,"High")</f>
        <v>new</v>
      </c>
      <c r="AM1251" s="1"/>
    </row>
    <row r="1252" spans="1:39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  <c r="AJ1252" t="str">
        <f t="shared" si="19"/>
        <v>Low</v>
      </c>
      <c r="AK1252" t="str" cm="1">
        <f t="array" ref="AK1252">_xlfn.IFS(S1252&lt;4000,"Low",S1252&lt;8000,"Medium",S1252&gt;=8000,"High")</f>
        <v>Medium</v>
      </c>
      <c r="AL1252" t="str" cm="1">
        <f t="array" ref="AL1252">_xlfn.IFS(AF1252&lt;3,"new",AF1252&lt;=7,"Experienced",AF1252&gt;7,"High")</f>
        <v>Experienced</v>
      </c>
      <c r="AM1252" s="1"/>
    </row>
    <row r="1253" spans="1:39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  <c r="AJ1253" t="str">
        <f t="shared" si="19"/>
        <v>High</v>
      </c>
      <c r="AK1253" t="str" cm="1">
        <f t="array" ref="AK1253">_xlfn.IFS(S1253&lt;4000,"Low",S1253&lt;8000,"Medium",S1253&gt;=8000,"High")</f>
        <v>Medium</v>
      </c>
      <c r="AL1253" t="str" cm="1">
        <f t="array" ref="AL1253">_xlfn.IFS(AF1253&lt;3,"new",AF1253&lt;=7,"Experienced",AF1253&gt;7,"High")</f>
        <v>Experienced</v>
      </c>
      <c r="AM1253" s="1"/>
    </row>
    <row r="1254" spans="1:39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  <c r="AJ1254" t="str">
        <f t="shared" si="19"/>
        <v>Low</v>
      </c>
      <c r="AK1254" t="str" cm="1">
        <f t="array" ref="AK1254">_xlfn.IFS(S1254&lt;4000,"Low",S1254&lt;8000,"Medium",S1254&gt;=8000,"High")</f>
        <v>Low</v>
      </c>
      <c r="AL1254" t="str" cm="1">
        <f t="array" ref="AL1254">_xlfn.IFS(AF1254&lt;3,"new",AF1254&lt;=7,"Experienced",AF1254&gt;7,"High")</f>
        <v>Experienced</v>
      </c>
      <c r="AM1254" s="1"/>
    </row>
    <row r="1255" spans="1:39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  <c r="AJ1255" t="str">
        <f t="shared" si="19"/>
        <v>Low</v>
      </c>
      <c r="AK1255" t="str" cm="1">
        <f t="array" ref="AK1255">_xlfn.IFS(S1255&lt;4000,"Low",S1255&lt;8000,"Medium",S1255&gt;=8000,"High")</f>
        <v>Medium</v>
      </c>
      <c r="AL1255" t="str" cm="1">
        <f t="array" ref="AL1255">_xlfn.IFS(AF1255&lt;3,"new",AF1255&lt;=7,"Experienced",AF1255&gt;7,"High")</f>
        <v>High</v>
      </c>
      <c r="AM1255" s="1"/>
    </row>
    <row r="1256" spans="1:39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  <c r="AJ1256" t="str">
        <f t="shared" si="19"/>
        <v>Low</v>
      </c>
      <c r="AK1256" t="str" cm="1">
        <f t="array" ref="AK1256">_xlfn.IFS(S1256&lt;4000,"Low",S1256&lt;8000,"Medium",S1256&gt;=8000,"High")</f>
        <v>Medium</v>
      </c>
      <c r="AL1256" t="str" cm="1">
        <f t="array" ref="AL1256">_xlfn.IFS(AF1256&lt;3,"new",AF1256&lt;=7,"Experienced",AF1256&gt;7,"High")</f>
        <v>Experienced</v>
      </c>
      <c r="AM1256" s="1"/>
    </row>
    <row r="1257" spans="1:39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  <c r="AJ1257" t="str">
        <f t="shared" si="19"/>
        <v>High</v>
      </c>
      <c r="AK1257" t="str" cm="1">
        <f t="array" ref="AK1257">_xlfn.IFS(S1257&lt;4000,"Low",S1257&lt;8000,"Medium",S1257&gt;=8000,"High")</f>
        <v>High</v>
      </c>
      <c r="AL1257" t="str" cm="1">
        <f t="array" ref="AL1257">_xlfn.IFS(AF1257&lt;3,"new",AF1257&lt;=7,"Experienced",AF1257&gt;7,"High")</f>
        <v>new</v>
      </c>
      <c r="AM1257" s="1"/>
    </row>
    <row r="1258" spans="1:39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  <c r="AJ1258" t="str">
        <f t="shared" si="19"/>
        <v>Low</v>
      </c>
      <c r="AK1258" t="str" cm="1">
        <f t="array" ref="AK1258">_xlfn.IFS(S1258&lt;4000,"Low",S1258&lt;8000,"Medium",S1258&gt;=8000,"High")</f>
        <v>Low</v>
      </c>
      <c r="AL1258" t="str" cm="1">
        <f t="array" ref="AL1258">_xlfn.IFS(AF1258&lt;3,"new",AF1258&lt;=7,"Experienced",AF1258&gt;7,"High")</f>
        <v>Experienced</v>
      </c>
      <c r="AM1258" s="1"/>
    </row>
    <row r="1259" spans="1:39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  <c r="AJ1259" t="str">
        <f t="shared" si="19"/>
        <v>High</v>
      </c>
      <c r="AK1259" t="str" cm="1">
        <f t="array" ref="AK1259">_xlfn.IFS(S1259&lt;4000,"Low",S1259&lt;8000,"Medium",S1259&gt;=8000,"High")</f>
        <v>High</v>
      </c>
      <c r="AL1259" t="str" cm="1">
        <f t="array" ref="AL1259">_xlfn.IFS(AF1259&lt;3,"new",AF1259&lt;=7,"Experienced",AF1259&gt;7,"High")</f>
        <v>new</v>
      </c>
      <c r="AM1259" s="1"/>
    </row>
    <row r="1260" spans="1:39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  <c r="AJ1260" t="str">
        <f t="shared" si="19"/>
        <v>Low</v>
      </c>
      <c r="AK1260" t="str" cm="1">
        <f t="array" ref="AK1260">_xlfn.IFS(S1260&lt;4000,"Low",S1260&lt;8000,"Medium",S1260&gt;=8000,"High")</f>
        <v>Low</v>
      </c>
      <c r="AL1260" t="str" cm="1">
        <f t="array" ref="AL1260">_xlfn.IFS(AF1260&lt;3,"new",AF1260&lt;=7,"Experienced",AF1260&gt;7,"High")</f>
        <v>new</v>
      </c>
      <c r="AM1260" s="1"/>
    </row>
    <row r="1261" spans="1:39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  <c r="AJ1261" t="str">
        <f t="shared" si="19"/>
        <v>Low</v>
      </c>
      <c r="AK1261" t="str" cm="1">
        <f t="array" ref="AK1261">_xlfn.IFS(S1261&lt;4000,"Low",S1261&lt;8000,"Medium",S1261&gt;=8000,"High")</f>
        <v>Medium</v>
      </c>
      <c r="AL1261" t="str" cm="1">
        <f t="array" ref="AL1261">_xlfn.IFS(AF1261&lt;3,"new",AF1261&lt;=7,"Experienced",AF1261&gt;7,"High")</f>
        <v>Experienced</v>
      </c>
      <c r="AM1261" s="1"/>
    </row>
    <row r="1262" spans="1:39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  <c r="AJ1262" t="str">
        <f t="shared" si="19"/>
        <v>Low</v>
      </c>
      <c r="AK1262" t="str" cm="1">
        <f t="array" ref="AK1262">_xlfn.IFS(S1262&lt;4000,"Low",S1262&lt;8000,"Medium",S1262&gt;=8000,"High")</f>
        <v>Low</v>
      </c>
      <c r="AL1262" t="str" cm="1">
        <f t="array" ref="AL1262">_xlfn.IFS(AF1262&lt;3,"new",AF1262&lt;=7,"Experienced",AF1262&gt;7,"High")</f>
        <v>Experienced</v>
      </c>
      <c r="AM1262" s="1"/>
    </row>
    <row r="1263" spans="1:39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  <c r="AJ1263" t="str">
        <f t="shared" si="19"/>
        <v>Low</v>
      </c>
      <c r="AK1263" t="str" cm="1">
        <f t="array" ref="AK1263">_xlfn.IFS(S1263&lt;4000,"Low",S1263&lt;8000,"Medium",S1263&gt;=8000,"High")</f>
        <v>Medium</v>
      </c>
      <c r="AL1263" t="str" cm="1">
        <f t="array" ref="AL1263">_xlfn.IFS(AF1263&lt;3,"new",AF1263&lt;=7,"Experienced",AF1263&gt;7,"High")</f>
        <v>new</v>
      </c>
      <c r="AM1263" s="1"/>
    </row>
    <row r="1264" spans="1:39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  <c r="AJ1264" t="str">
        <f t="shared" si="19"/>
        <v>Low</v>
      </c>
      <c r="AK1264" t="str" cm="1">
        <f t="array" ref="AK1264">_xlfn.IFS(S1264&lt;4000,"Low",S1264&lt;8000,"Medium",S1264&gt;=8000,"High")</f>
        <v>Low</v>
      </c>
      <c r="AL1264" t="str" cm="1">
        <f t="array" ref="AL1264">_xlfn.IFS(AF1264&lt;3,"new",AF1264&lt;=7,"Experienced",AF1264&gt;7,"High")</f>
        <v>new</v>
      </c>
      <c r="AM1264" s="1"/>
    </row>
    <row r="1265" spans="1:39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  <c r="AJ1265" t="str">
        <f t="shared" si="19"/>
        <v>Low</v>
      </c>
      <c r="AK1265" t="str" cm="1">
        <f t="array" ref="AK1265">_xlfn.IFS(S1265&lt;4000,"Low",S1265&lt;8000,"Medium",S1265&gt;=8000,"High")</f>
        <v>Low</v>
      </c>
      <c r="AL1265" t="str" cm="1">
        <f t="array" ref="AL1265">_xlfn.IFS(AF1265&lt;3,"new",AF1265&lt;=7,"Experienced",AF1265&gt;7,"High")</f>
        <v>Experienced</v>
      </c>
      <c r="AM1265" s="1"/>
    </row>
    <row r="1266" spans="1:39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  <c r="AJ1266" t="str">
        <f t="shared" si="19"/>
        <v>High</v>
      </c>
      <c r="AK1266" t="str" cm="1">
        <f t="array" ref="AK1266">_xlfn.IFS(S1266&lt;4000,"Low",S1266&lt;8000,"Medium",S1266&gt;=8000,"High")</f>
        <v>High</v>
      </c>
      <c r="AL1266" t="str" cm="1">
        <f t="array" ref="AL1266">_xlfn.IFS(AF1266&lt;3,"new",AF1266&lt;=7,"Experienced",AF1266&gt;7,"High")</f>
        <v>new</v>
      </c>
      <c r="AM1266" s="1"/>
    </row>
    <row r="1267" spans="1:39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  <c r="AJ1267" t="str">
        <f t="shared" si="19"/>
        <v>Low</v>
      </c>
      <c r="AK1267" t="str" cm="1">
        <f t="array" ref="AK1267">_xlfn.IFS(S1267&lt;4000,"Low",S1267&lt;8000,"Medium",S1267&gt;=8000,"High")</f>
        <v>Low</v>
      </c>
      <c r="AL1267" t="str" cm="1">
        <f t="array" ref="AL1267">_xlfn.IFS(AF1267&lt;3,"new",AF1267&lt;=7,"Experienced",AF1267&gt;7,"High")</f>
        <v>High</v>
      </c>
      <c r="AM1267" s="1"/>
    </row>
    <row r="1268" spans="1:39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  <c r="AJ1268" t="str">
        <f t="shared" si="19"/>
        <v>Low</v>
      </c>
      <c r="AK1268" t="str" cm="1">
        <f t="array" ref="AK1268">_xlfn.IFS(S1268&lt;4000,"Low",S1268&lt;8000,"Medium",S1268&gt;=8000,"High")</f>
        <v>Low</v>
      </c>
      <c r="AL1268" t="str" cm="1">
        <f t="array" ref="AL1268">_xlfn.IFS(AF1268&lt;3,"new",AF1268&lt;=7,"Experienced",AF1268&gt;7,"High")</f>
        <v>Experienced</v>
      </c>
      <c r="AM1268" s="1"/>
    </row>
    <row r="1269" spans="1:39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  <c r="AJ1269" t="str">
        <f t="shared" si="19"/>
        <v>Low</v>
      </c>
      <c r="AK1269" t="str" cm="1">
        <f t="array" ref="AK1269">_xlfn.IFS(S1269&lt;4000,"Low",S1269&lt;8000,"Medium",S1269&gt;=8000,"High")</f>
        <v>Medium</v>
      </c>
      <c r="AL1269" t="str" cm="1">
        <f t="array" ref="AL1269">_xlfn.IFS(AF1269&lt;3,"new",AF1269&lt;=7,"Experienced",AF1269&gt;7,"High")</f>
        <v>High</v>
      </c>
      <c r="AM1269" s="1"/>
    </row>
    <row r="1270" spans="1:39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  <c r="AJ1270" t="str">
        <f t="shared" si="19"/>
        <v>High</v>
      </c>
      <c r="AK1270" t="str" cm="1">
        <f t="array" ref="AK1270">_xlfn.IFS(S1270&lt;4000,"Low",S1270&lt;8000,"Medium",S1270&gt;=8000,"High")</f>
        <v>High</v>
      </c>
      <c r="AL1270" t="str" cm="1">
        <f t="array" ref="AL1270">_xlfn.IFS(AF1270&lt;3,"new",AF1270&lt;=7,"Experienced",AF1270&gt;7,"High")</f>
        <v>Experienced</v>
      </c>
      <c r="AM1270" s="1"/>
    </row>
    <row r="1271" spans="1:39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  <c r="AJ1271" t="str">
        <f t="shared" si="19"/>
        <v>Low</v>
      </c>
      <c r="AK1271" t="str" cm="1">
        <f t="array" ref="AK1271">_xlfn.IFS(S1271&lt;4000,"Low",S1271&lt;8000,"Medium",S1271&gt;=8000,"High")</f>
        <v>Low</v>
      </c>
      <c r="AL1271" t="str" cm="1">
        <f t="array" ref="AL1271">_xlfn.IFS(AF1271&lt;3,"new",AF1271&lt;=7,"Experienced",AF1271&gt;7,"High")</f>
        <v>High</v>
      </c>
      <c r="AM1271" s="1"/>
    </row>
    <row r="1272" spans="1:39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  <c r="AJ1272" t="str">
        <f t="shared" si="19"/>
        <v>Low</v>
      </c>
      <c r="AK1272" t="str" cm="1">
        <f t="array" ref="AK1272">_xlfn.IFS(S1272&lt;4000,"Low",S1272&lt;8000,"Medium",S1272&gt;=8000,"High")</f>
        <v>Medium</v>
      </c>
      <c r="AL1272" t="str" cm="1">
        <f t="array" ref="AL1272">_xlfn.IFS(AF1272&lt;3,"new",AF1272&lt;=7,"Experienced",AF1272&gt;7,"High")</f>
        <v>new</v>
      </c>
      <c r="AM1272" s="1"/>
    </row>
    <row r="1273" spans="1:39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  <c r="AJ1273" t="str">
        <f t="shared" si="19"/>
        <v>Low</v>
      </c>
      <c r="AK1273" t="str" cm="1">
        <f t="array" ref="AK1273">_xlfn.IFS(S1273&lt;4000,"Low",S1273&lt;8000,"Medium",S1273&gt;=8000,"High")</f>
        <v>Low</v>
      </c>
      <c r="AL1273" t="str" cm="1">
        <f t="array" ref="AL1273">_xlfn.IFS(AF1273&lt;3,"new",AF1273&lt;=7,"Experienced",AF1273&gt;7,"High")</f>
        <v>new</v>
      </c>
      <c r="AM1273" s="1"/>
    </row>
    <row r="1274" spans="1:39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  <c r="AJ1274" t="str">
        <f t="shared" si="19"/>
        <v>Low</v>
      </c>
      <c r="AK1274" t="str" cm="1">
        <f t="array" ref="AK1274">_xlfn.IFS(S1274&lt;4000,"Low",S1274&lt;8000,"Medium",S1274&gt;=8000,"High")</f>
        <v>Low</v>
      </c>
      <c r="AL1274" t="str" cm="1">
        <f t="array" ref="AL1274">_xlfn.IFS(AF1274&lt;3,"new",AF1274&lt;=7,"Experienced",AF1274&gt;7,"High")</f>
        <v>Experienced</v>
      </c>
      <c r="AM1274" s="1"/>
    </row>
    <row r="1275" spans="1:39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  <c r="AJ1275" t="str">
        <f t="shared" si="19"/>
        <v>Low</v>
      </c>
      <c r="AK1275" t="str" cm="1">
        <f t="array" ref="AK1275">_xlfn.IFS(S1275&lt;4000,"Low",S1275&lt;8000,"Medium",S1275&gt;=8000,"High")</f>
        <v>Low</v>
      </c>
      <c r="AL1275" t="str" cm="1">
        <f t="array" ref="AL1275">_xlfn.IFS(AF1275&lt;3,"new",AF1275&lt;=7,"Experienced",AF1275&gt;7,"High")</f>
        <v>new</v>
      </c>
      <c r="AM1275" s="1"/>
    </row>
    <row r="1276" spans="1:39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  <c r="AJ1276" t="str">
        <f t="shared" si="19"/>
        <v>Low</v>
      </c>
      <c r="AK1276" t="str" cm="1">
        <f t="array" ref="AK1276">_xlfn.IFS(S1276&lt;4000,"Low",S1276&lt;8000,"Medium",S1276&gt;=8000,"High")</f>
        <v>Medium</v>
      </c>
      <c r="AL1276" t="str" cm="1">
        <f t="array" ref="AL1276">_xlfn.IFS(AF1276&lt;3,"new",AF1276&lt;=7,"Experienced",AF1276&gt;7,"High")</f>
        <v>High</v>
      </c>
      <c r="AM1276" s="1"/>
    </row>
    <row r="1277" spans="1:39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  <c r="AJ1277" t="str">
        <f t="shared" si="19"/>
        <v>High</v>
      </c>
      <c r="AK1277" t="str" cm="1">
        <f t="array" ref="AK1277">_xlfn.IFS(S1277&lt;4000,"Low",S1277&lt;8000,"Medium",S1277&gt;=8000,"High")</f>
        <v>High</v>
      </c>
      <c r="AL1277" t="str" cm="1">
        <f t="array" ref="AL1277">_xlfn.IFS(AF1277&lt;3,"new",AF1277&lt;=7,"Experienced",AF1277&gt;7,"High")</f>
        <v>new</v>
      </c>
      <c r="AM1277" s="1"/>
    </row>
    <row r="1278" spans="1:39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  <c r="AJ1278" t="str">
        <f t="shared" si="19"/>
        <v>Low</v>
      </c>
      <c r="AK1278" t="str" cm="1">
        <f t="array" ref="AK1278">_xlfn.IFS(S1278&lt;4000,"Low",S1278&lt;8000,"Medium",S1278&gt;=8000,"High")</f>
        <v>Medium</v>
      </c>
      <c r="AL1278" t="str" cm="1">
        <f t="array" ref="AL1278">_xlfn.IFS(AF1278&lt;3,"new",AF1278&lt;=7,"Experienced",AF1278&gt;7,"High")</f>
        <v>Experienced</v>
      </c>
      <c r="AM1278" s="1"/>
    </row>
    <row r="1279" spans="1:39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  <c r="AJ1279" t="str">
        <f t="shared" si="19"/>
        <v>High</v>
      </c>
      <c r="AK1279" t="str" cm="1">
        <f t="array" ref="AK1279">_xlfn.IFS(S1279&lt;4000,"Low",S1279&lt;8000,"Medium",S1279&gt;=8000,"High")</f>
        <v>High</v>
      </c>
      <c r="AL1279" t="str" cm="1">
        <f t="array" ref="AL1279">_xlfn.IFS(AF1279&lt;3,"new",AF1279&lt;=7,"Experienced",AF1279&gt;7,"High")</f>
        <v>new</v>
      </c>
      <c r="AM1279" s="1"/>
    </row>
    <row r="1280" spans="1:39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  <c r="AJ1280" t="str">
        <f t="shared" si="19"/>
        <v>High</v>
      </c>
      <c r="AK1280" t="str" cm="1">
        <f t="array" ref="AK1280">_xlfn.IFS(S1280&lt;4000,"Low",S1280&lt;8000,"Medium",S1280&gt;=8000,"High")</f>
        <v>High</v>
      </c>
      <c r="AL1280" t="str" cm="1">
        <f t="array" ref="AL1280">_xlfn.IFS(AF1280&lt;3,"new",AF1280&lt;=7,"Experienced",AF1280&gt;7,"High")</f>
        <v>High</v>
      </c>
      <c r="AM1280" s="1"/>
    </row>
    <row r="1281" spans="1:39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  <c r="AJ1281" t="str">
        <f t="shared" si="19"/>
        <v>Low</v>
      </c>
      <c r="AK1281" t="str" cm="1">
        <f t="array" ref="AK1281">_xlfn.IFS(S1281&lt;4000,"Low",S1281&lt;8000,"Medium",S1281&gt;=8000,"High")</f>
        <v>Low</v>
      </c>
      <c r="AL1281" t="str" cm="1">
        <f t="array" ref="AL1281">_xlfn.IFS(AF1281&lt;3,"new",AF1281&lt;=7,"Experienced",AF1281&gt;7,"High")</f>
        <v>Experienced</v>
      </c>
      <c r="AM1281" s="1"/>
    </row>
    <row r="1282" spans="1:39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  <c r="AJ1282" t="str">
        <f t="shared" ref="AJ1282:AJ1345" si="20">IF(S1282&gt;=6500,"High","Low")</f>
        <v>Low</v>
      </c>
      <c r="AK1282" t="str" cm="1">
        <f t="array" ref="AK1282">_xlfn.IFS(S1282&lt;4000,"Low",S1282&lt;8000,"Medium",S1282&gt;=8000,"High")</f>
        <v>Medium</v>
      </c>
      <c r="AL1282" t="str" cm="1">
        <f t="array" ref="AL1282">_xlfn.IFS(AF1282&lt;3,"new",AF1282&lt;=7,"Experienced",AF1282&gt;7,"High")</f>
        <v>High</v>
      </c>
      <c r="AM1282" s="1"/>
    </row>
    <row r="1283" spans="1:39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  <c r="AJ1283" t="str">
        <f t="shared" si="20"/>
        <v>Low</v>
      </c>
      <c r="AK1283" t="str" cm="1">
        <f t="array" ref="AK1283">_xlfn.IFS(S1283&lt;4000,"Low",S1283&lt;8000,"Medium",S1283&gt;=8000,"High")</f>
        <v>Medium</v>
      </c>
      <c r="AL1283" t="str" cm="1">
        <f t="array" ref="AL1283">_xlfn.IFS(AF1283&lt;3,"new",AF1283&lt;=7,"Experienced",AF1283&gt;7,"High")</f>
        <v>High</v>
      </c>
      <c r="AM1283" s="1"/>
    </row>
    <row r="1284" spans="1:39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  <c r="AJ1284" t="str">
        <f t="shared" si="20"/>
        <v>Low</v>
      </c>
      <c r="AK1284" t="str" cm="1">
        <f t="array" ref="AK1284">_xlfn.IFS(S1284&lt;4000,"Low",S1284&lt;8000,"Medium",S1284&gt;=8000,"High")</f>
        <v>Low</v>
      </c>
      <c r="AL1284" t="str" cm="1">
        <f t="array" ref="AL1284">_xlfn.IFS(AF1284&lt;3,"new",AF1284&lt;=7,"Experienced",AF1284&gt;7,"High")</f>
        <v>High</v>
      </c>
      <c r="AM1284" s="1"/>
    </row>
    <row r="1285" spans="1:39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  <c r="AJ1285" t="str">
        <f t="shared" si="20"/>
        <v>Low</v>
      </c>
      <c r="AK1285" t="str" cm="1">
        <f t="array" ref="AK1285">_xlfn.IFS(S1285&lt;4000,"Low",S1285&lt;8000,"Medium",S1285&gt;=8000,"High")</f>
        <v>Low</v>
      </c>
      <c r="AL1285" t="str" cm="1">
        <f t="array" ref="AL1285">_xlfn.IFS(AF1285&lt;3,"new",AF1285&lt;=7,"Experienced",AF1285&gt;7,"High")</f>
        <v>Experienced</v>
      </c>
      <c r="AM1285" s="1"/>
    </row>
    <row r="1286" spans="1:39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  <c r="AJ1286" t="str">
        <f t="shared" si="20"/>
        <v>High</v>
      </c>
      <c r="AK1286" t="str" cm="1">
        <f t="array" ref="AK1286">_xlfn.IFS(S1286&lt;4000,"Low",S1286&lt;8000,"Medium",S1286&gt;=8000,"High")</f>
        <v>High</v>
      </c>
      <c r="AL1286" t="str" cm="1">
        <f t="array" ref="AL1286">_xlfn.IFS(AF1286&lt;3,"new",AF1286&lt;=7,"Experienced",AF1286&gt;7,"High")</f>
        <v>Experienced</v>
      </c>
      <c r="AM1286" s="1"/>
    </row>
    <row r="1287" spans="1:39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  <c r="AJ1287" t="str">
        <f t="shared" si="20"/>
        <v>High</v>
      </c>
      <c r="AK1287" t="str" cm="1">
        <f t="array" ref="AK1287">_xlfn.IFS(S1287&lt;4000,"Low",S1287&lt;8000,"Medium",S1287&gt;=8000,"High")</f>
        <v>Medium</v>
      </c>
      <c r="AL1287" t="str" cm="1">
        <f t="array" ref="AL1287">_xlfn.IFS(AF1287&lt;3,"new",AF1287&lt;=7,"Experienced",AF1287&gt;7,"High")</f>
        <v>new</v>
      </c>
      <c r="AM1287" s="1"/>
    </row>
    <row r="1288" spans="1:39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  <c r="AJ1288" t="str">
        <f t="shared" si="20"/>
        <v>Low</v>
      </c>
      <c r="AK1288" t="str" cm="1">
        <f t="array" ref="AK1288">_xlfn.IFS(S1288&lt;4000,"Low",S1288&lt;8000,"Medium",S1288&gt;=8000,"High")</f>
        <v>Low</v>
      </c>
      <c r="AL1288" t="str" cm="1">
        <f t="array" ref="AL1288">_xlfn.IFS(AF1288&lt;3,"new",AF1288&lt;=7,"Experienced",AF1288&gt;7,"High")</f>
        <v>Experienced</v>
      </c>
      <c r="AM1288" s="1"/>
    </row>
    <row r="1289" spans="1:39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  <c r="AJ1289" t="str">
        <f t="shared" si="20"/>
        <v>Low</v>
      </c>
      <c r="AK1289" t="str" cm="1">
        <f t="array" ref="AK1289">_xlfn.IFS(S1289&lt;4000,"Low",S1289&lt;8000,"Medium",S1289&gt;=8000,"High")</f>
        <v>Medium</v>
      </c>
      <c r="AL1289" t="str" cm="1">
        <f t="array" ref="AL1289">_xlfn.IFS(AF1289&lt;3,"new",AF1289&lt;=7,"Experienced",AF1289&gt;7,"High")</f>
        <v>new</v>
      </c>
      <c r="AM1289" s="1"/>
    </row>
    <row r="1290" spans="1:39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  <c r="AJ1290" t="str">
        <f t="shared" si="20"/>
        <v>Low</v>
      </c>
      <c r="AK1290" t="str" cm="1">
        <f t="array" ref="AK1290">_xlfn.IFS(S1290&lt;4000,"Low",S1290&lt;8000,"Medium",S1290&gt;=8000,"High")</f>
        <v>Medium</v>
      </c>
      <c r="AL1290" t="str" cm="1">
        <f t="array" ref="AL1290">_xlfn.IFS(AF1290&lt;3,"new",AF1290&lt;=7,"Experienced",AF1290&gt;7,"High")</f>
        <v>Experienced</v>
      </c>
      <c r="AM1290" s="1"/>
    </row>
    <row r="1291" spans="1:39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  <c r="AJ1291" t="str">
        <f t="shared" si="20"/>
        <v>Low</v>
      </c>
      <c r="AK1291" t="str" cm="1">
        <f t="array" ref="AK1291">_xlfn.IFS(S1291&lt;4000,"Low",S1291&lt;8000,"Medium",S1291&gt;=8000,"High")</f>
        <v>Low</v>
      </c>
      <c r="AL1291" t="str" cm="1">
        <f t="array" ref="AL1291">_xlfn.IFS(AF1291&lt;3,"new",AF1291&lt;=7,"Experienced",AF1291&gt;7,"High")</f>
        <v>High</v>
      </c>
      <c r="AM1291" s="1"/>
    </row>
    <row r="1292" spans="1:39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  <c r="AJ1292" t="str">
        <f t="shared" si="20"/>
        <v>Low</v>
      </c>
      <c r="AK1292" t="str" cm="1">
        <f t="array" ref="AK1292">_xlfn.IFS(S1292&lt;4000,"Low",S1292&lt;8000,"Medium",S1292&gt;=8000,"High")</f>
        <v>Medium</v>
      </c>
      <c r="AL1292" t="str" cm="1">
        <f t="array" ref="AL1292">_xlfn.IFS(AF1292&lt;3,"new",AF1292&lt;=7,"Experienced",AF1292&gt;7,"High")</f>
        <v>Experienced</v>
      </c>
      <c r="AM1292" s="1"/>
    </row>
    <row r="1293" spans="1:39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  <c r="AJ1293" t="str">
        <f t="shared" si="20"/>
        <v>Low</v>
      </c>
      <c r="AK1293" t="str" cm="1">
        <f t="array" ref="AK1293">_xlfn.IFS(S1293&lt;4000,"Low",S1293&lt;8000,"Medium",S1293&gt;=8000,"High")</f>
        <v>Medium</v>
      </c>
      <c r="AL1293" t="str" cm="1">
        <f t="array" ref="AL1293">_xlfn.IFS(AF1293&lt;3,"new",AF1293&lt;=7,"Experienced",AF1293&gt;7,"High")</f>
        <v>High</v>
      </c>
      <c r="AM1293" s="1"/>
    </row>
    <row r="1294" spans="1:39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  <c r="AJ1294" t="str">
        <f t="shared" si="20"/>
        <v>Low</v>
      </c>
      <c r="AK1294" t="str" cm="1">
        <f t="array" ref="AK1294">_xlfn.IFS(S1294&lt;4000,"Low",S1294&lt;8000,"Medium",S1294&gt;=8000,"High")</f>
        <v>Medium</v>
      </c>
      <c r="AL1294" t="str" cm="1">
        <f t="array" ref="AL1294">_xlfn.IFS(AF1294&lt;3,"new",AF1294&lt;=7,"Experienced",AF1294&gt;7,"High")</f>
        <v>new</v>
      </c>
      <c r="AM1294" s="1"/>
    </row>
    <row r="1295" spans="1:39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  <c r="AJ1295" t="str">
        <f t="shared" si="20"/>
        <v>Low</v>
      </c>
      <c r="AK1295" t="str" cm="1">
        <f t="array" ref="AK1295">_xlfn.IFS(S1295&lt;4000,"Low",S1295&lt;8000,"Medium",S1295&gt;=8000,"High")</f>
        <v>Low</v>
      </c>
      <c r="AL1295" t="str" cm="1">
        <f t="array" ref="AL1295">_xlfn.IFS(AF1295&lt;3,"new",AF1295&lt;=7,"Experienced",AF1295&gt;7,"High")</f>
        <v>Experienced</v>
      </c>
      <c r="AM1295" s="1"/>
    </row>
    <row r="1296" spans="1:39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  <c r="AJ1296" t="str">
        <f t="shared" si="20"/>
        <v>High</v>
      </c>
      <c r="AK1296" t="str" cm="1">
        <f t="array" ref="AK1296">_xlfn.IFS(S1296&lt;4000,"Low",S1296&lt;8000,"Medium",S1296&gt;=8000,"High")</f>
        <v>Medium</v>
      </c>
      <c r="AL1296" t="str" cm="1">
        <f t="array" ref="AL1296">_xlfn.IFS(AF1296&lt;3,"new",AF1296&lt;=7,"Experienced",AF1296&gt;7,"High")</f>
        <v>Experienced</v>
      </c>
      <c r="AM1296" s="1"/>
    </row>
    <row r="1297" spans="1:39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  <c r="AJ1297" t="str">
        <f t="shared" si="20"/>
        <v>High</v>
      </c>
      <c r="AK1297" t="str" cm="1">
        <f t="array" ref="AK1297">_xlfn.IFS(S1297&lt;4000,"Low",S1297&lt;8000,"Medium",S1297&gt;=8000,"High")</f>
        <v>High</v>
      </c>
      <c r="AL1297" t="str" cm="1">
        <f t="array" ref="AL1297">_xlfn.IFS(AF1297&lt;3,"new",AF1297&lt;=7,"Experienced",AF1297&gt;7,"High")</f>
        <v>High</v>
      </c>
      <c r="AM1297" s="1"/>
    </row>
    <row r="1298" spans="1:39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  <c r="AJ1298" t="str">
        <f t="shared" si="20"/>
        <v>High</v>
      </c>
      <c r="AK1298" t="str" cm="1">
        <f t="array" ref="AK1298">_xlfn.IFS(S1298&lt;4000,"Low",S1298&lt;8000,"Medium",S1298&gt;=8000,"High")</f>
        <v>High</v>
      </c>
      <c r="AL1298" t="str" cm="1">
        <f t="array" ref="AL1298">_xlfn.IFS(AF1298&lt;3,"new",AF1298&lt;=7,"Experienced",AF1298&gt;7,"High")</f>
        <v>Experienced</v>
      </c>
      <c r="AM1298" s="1"/>
    </row>
    <row r="1299" spans="1:39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  <c r="AJ1299" t="str">
        <f t="shared" si="20"/>
        <v>Low</v>
      </c>
      <c r="AK1299" t="str" cm="1">
        <f t="array" ref="AK1299">_xlfn.IFS(S1299&lt;4000,"Low",S1299&lt;8000,"Medium",S1299&gt;=8000,"High")</f>
        <v>Low</v>
      </c>
      <c r="AL1299" t="str" cm="1">
        <f t="array" ref="AL1299">_xlfn.IFS(AF1299&lt;3,"new",AF1299&lt;=7,"Experienced",AF1299&gt;7,"High")</f>
        <v>Experienced</v>
      </c>
      <c r="AM1299" s="1"/>
    </row>
    <row r="1300" spans="1:39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  <c r="AJ1300" t="str">
        <f t="shared" si="20"/>
        <v>High</v>
      </c>
      <c r="AK1300" t="str" cm="1">
        <f t="array" ref="AK1300">_xlfn.IFS(S1300&lt;4000,"Low",S1300&lt;8000,"Medium",S1300&gt;=8000,"High")</f>
        <v>High</v>
      </c>
      <c r="AL1300" t="str" cm="1">
        <f t="array" ref="AL1300">_xlfn.IFS(AF1300&lt;3,"new",AF1300&lt;=7,"Experienced",AF1300&gt;7,"High")</f>
        <v>High</v>
      </c>
      <c r="AM1300" s="1"/>
    </row>
    <row r="1301" spans="1:39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  <c r="AJ1301" t="str">
        <f t="shared" si="20"/>
        <v>High</v>
      </c>
      <c r="AK1301" t="str" cm="1">
        <f t="array" ref="AK1301">_xlfn.IFS(S1301&lt;4000,"Low",S1301&lt;8000,"Medium",S1301&gt;=8000,"High")</f>
        <v>Medium</v>
      </c>
      <c r="AL1301" t="str" cm="1">
        <f t="array" ref="AL1301">_xlfn.IFS(AF1301&lt;3,"new",AF1301&lt;=7,"Experienced",AF1301&gt;7,"High")</f>
        <v>Experienced</v>
      </c>
      <c r="AM1301" s="1"/>
    </row>
    <row r="1302" spans="1:39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  <c r="AJ1302" t="str">
        <f t="shared" si="20"/>
        <v>High</v>
      </c>
      <c r="AK1302" t="str" cm="1">
        <f t="array" ref="AK1302">_xlfn.IFS(S1302&lt;4000,"Low",S1302&lt;8000,"Medium",S1302&gt;=8000,"High")</f>
        <v>Medium</v>
      </c>
      <c r="AL1302" t="str" cm="1">
        <f t="array" ref="AL1302">_xlfn.IFS(AF1302&lt;3,"new",AF1302&lt;=7,"Experienced",AF1302&gt;7,"High")</f>
        <v>High</v>
      </c>
      <c r="AM1302" s="1"/>
    </row>
    <row r="1303" spans="1:39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  <c r="AJ1303" t="str">
        <f t="shared" si="20"/>
        <v>High</v>
      </c>
      <c r="AK1303" t="str" cm="1">
        <f t="array" ref="AK1303">_xlfn.IFS(S1303&lt;4000,"Low",S1303&lt;8000,"Medium",S1303&gt;=8000,"High")</f>
        <v>High</v>
      </c>
      <c r="AL1303" t="str" cm="1">
        <f t="array" ref="AL1303">_xlfn.IFS(AF1303&lt;3,"new",AF1303&lt;=7,"Experienced",AF1303&gt;7,"High")</f>
        <v>High</v>
      </c>
      <c r="AM1303" s="1"/>
    </row>
    <row r="1304" spans="1:39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  <c r="AJ1304" t="str">
        <f t="shared" si="20"/>
        <v>Low</v>
      </c>
      <c r="AK1304" t="str" cm="1">
        <f t="array" ref="AK1304">_xlfn.IFS(S1304&lt;4000,"Low",S1304&lt;8000,"Medium",S1304&gt;=8000,"High")</f>
        <v>Low</v>
      </c>
      <c r="AL1304" t="str" cm="1">
        <f t="array" ref="AL1304">_xlfn.IFS(AF1304&lt;3,"new",AF1304&lt;=7,"Experienced",AF1304&gt;7,"High")</f>
        <v>Experienced</v>
      </c>
      <c r="AM1304" s="1"/>
    </row>
    <row r="1305" spans="1:39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  <c r="AJ1305" t="str">
        <f t="shared" si="20"/>
        <v>High</v>
      </c>
      <c r="AK1305" t="str" cm="1">
        <f t="array" ref="AK1305">_xlfn.IFS(S1305&lt;4000,"Low",S1305&lt;8000,"Medium",S1305&gt;=8000,"High")</f>
        <v>High</v>
      </c>
      <c r="AL1305" t="str" cm="1">
        <f t="array" ref="AL1305">_xlfn.IFS(AF1305&lt;3,"new",AF1305&lt;=7,"Experienced",AF1305&gt;7,"High")</f>
        <v>High</v>
      </c>
      <c r="AM1305" s="1"/>
    </row>
    <row r="1306" spans="1:39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  <c r="AJ1306" t="str">
        <f t="shared" si="20"/>
        <v>Low</v>
      </c>
      <c r="AK1306" t="str" cm="1">
        <f t="array" ref="AK1306">_xlfn.IFS(S1306&lt;4000,"Low",S1306&lt;8000,"Medium",S1306&gt;=8000,"High")</f>
        <v>Medium</v>
      </c>
      <c r="AL1306" t="str" cm="1">
        <f t="array" ref="AL1306">_xlfn.IFS(AF1306&lt;3,"new",AF1306&lt;=7,"Experienced",AF1306&gt;7,"High")</f>
        <v>Experienced</v>
      </c>
      <c r="AM1306" s="1"/>
    </row>
    <row r="1307" spans="1:39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  <c r="AJ1307" t="str">
        <f t="shared" si="20"/>
        <v>High</v>
      </c>
      <c r="AK1307" t="str" cm="1">
        <f t="array" ref="AK1307">_xlfn.IFS(S1307&lt;4000,"Low",S1307&lt;8000,"Medium",S1307&gt;=8000,"High")</f>
        <v>Medium</v>
      </c>
      <c r="AL1307" t="str" cm="1">
        <f t="array" ref="AL1307">_xlfn.IFS(AF1307&lt;3,"new",AF1307&lt;=7,"Experienced",AF1307&gt;7,"High")</f>
        <v>Experienced</v>
      </c>
      <c r="AM1307" s="1"/>
    </row>
    <row r="1308" spans="1:39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  <c r="AJ1308" t="str">
        <f t="shared" si="20"/>
        <v>High</v>
      </c>
      <c r="AK1308" t="str" cm="1">
        <f t="array" ref="AK1308">_xlfn.IFS(S1308&lt;4000,"Low",S1308&lt;8000,"Medium",S1308&gt;=8000,"High")</f>
        <v>High</v>
      </c>
      <c r="AL1308" t="str" cm="1">
        <f t="array" ref="AL1308">_xlfn.IFS(AF1308&lt;3,"new",AF1308&lt;=7,"Experienced",AF1308&gt;7,"High")</f>
        <v>Experienced</v>
      </c>
      <c r="AM1308" s="1"/>
    </row>
    <row r="1309" spans="1:39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  <c r="AJ1309" t="str">
        <f t="shared" si="20"/>
        <v>Low</v>
      </c>
      <c r="AK1309" t="str" cm="1">
        <f t="array" ref="AK1309">_xlfn.IFS(S1309&lt;4000,"Low",S1309&lt;8000,"Medium",S1309&gt;=8000,"High")</f>
        <v>Low</v>
      </c>
      <c r="AL1309" t="str" cm="1">
        <f t="array" ref="AL1309">_xlfn.IFS(AF1309&lt;3,"new",AF1309&lt;=7,"Experienced",AF1309&gt;7,"High")</f>
        <v>Experienced</v>
      </c>
      <c r="AM1309" s="1"/>
    </row>
    <row r="1310" spans="1:39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  <c r="AJ1310" t="str">
        <f t="shared" si="20"/>
        <v>Low</v>
      </c>
      <c r="AK1310" t="str" cm="1">
        <f t="array" ref="AK1310">_xlfn.IFS(S1310&lt;4000,"Low",S1310&lt;8000,"Medium",S1310&gt;=8000,"High")</f>
        <v>Medium</v>
      </c>
      <c r="AL1310" t="str" cm="1">
        <f t="array" ref="AL1310">_xlfn.IFS(AF1310&lt;3,"new",AF1310&lt;=7,"Experienced",AF1310&gt;7,"High")</f>
        <v>Experienced</v>
      </c>
      <c r="AM1310" s="1"/>
    </row>
    <row r="1311" spans="1:39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  <c r="AJ1311" t="str">
        <f t="shared" si="20"/>
        <v>Low</v>
      </c>
      <c r="AK1311" t="str" cm="1">
        <f t="array" ref="AK1311">_xlfn.IFS(S1311&lt;4000,"Low",S1311&lt;8000,"Medium",S1311&gt;=8000,"High")</f>
        <v>Medium</v>
      </c>
      <c r="AL1311" t="str" cm="1">
        <f t="array" ref="AL1311">_xlfn.IFS(AF1311&lt;3,"new",AF1311&lt;=7,"Experienced",AF1311&gt;7,"High")</f>
        <v>Experienced</v>
      </c>
      <c r="AM1311" s="1"/>
    </row>
    <row r="1312" spans="1:39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  <c r="AJ1312" t="str">
        <f t="shared" si="20"/>
        <v>High</v>
      </c>
      <c r="AK1312" t="str" cm="1">
        <f t="array" ref="AK1312">_xlfn.IFS(S1312&lt;4000,"Low",S1312&lt;8000,"Medium",S1312&gt;=8000,"High")</f>
        <v>High</v>
      </c>
      <c r="AL1312" t="str" cm="1">
        <f t="array" ref="AL1312">_xlfn.IFS(AF1312&lt;3,"new",AF1312&lt;=7,"Experienced",AF1312&gt;7,"High")</f>
        <v>new</v>
      </c>
      <c r="AM1312" s="1"/>
    </row>
    <row r="1313" spans="1:39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  <c r="AJ1313" t="str">
        <f t="shared" si="20"/>
        <v>Low</v>
      </c>
      <c r="AK1313" t="str" cm="1">
        <f t="array" ref="AK1313">_xlfn.IFS(S1313&lt;4000,"Low",S1313&lt;8000,"Medium",S1313&gt;=8000,"High")</f>
        <v>Low</v>
      </c>
      <c r="AL1313" t="str" cm="1">
        <f t="array" ref="AL1313">_xlfn.IFS(AF1313&lt;3,"new",AF1313&lt;=7,"Experienced",AF1313&gt;7,"High")</f>
        <v>new</v>
      </c>
      <c r="AM1313" s="1"/>
    </row>
    <row r="1314" spans="1:39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  <c r="AJ1314" t="str">
        <f t="shared" si="20"/>
        <v>Low</v>
      </c>
      <c r="AK1314" t="str" cm="1">
        <f t="array" ref="AK1314">_xlfn.IFS(S1314&lt;4000,"Low",S1314&lt;8000,"Medium",S1314&gt;=8000,"High")</f>
        <v>Low</v>
      </c>
      <c r="AL1314" t="str" cm="1">
        <f t="array" ref="AL1314">_xlfn.IFS(AF1314&lt;3,"new",AF1314&lt;=7,"Experienced",AF1314&gt;7,"High")</f>
        <v>new</v>
      </c>
      <c r="AM1314" s="1"/>
    </row>
    <row r="1315" spans="1:39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  <c r="AJ1315" t="str">
        <f t="shared" si="20"/>
        <v>Low</v>
      </c>
      <c r="AK1315" t="str" cm="1">
        <f t="array" ref="AK1315">_xlfn.IFS(S1315&lt;4000,"Low",S1315&lt;8000,"Medium",S1315&gt;=8000,"High")</f>
        <v>Low</v>
      </c>
      <c r="AL1315" t="str" cm="1">
        <f t="array" ref="AL1315">_xlfn.IFS(AF1315&lt;3,"new",AF1315&lt;=7,"Experienced",AF1315&gt;7,"High")</f>
        <v>new</v>
      </c>
      <c r="AM1315" s="1"/>
    </row>
    <row r="1316" spans="1:39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  <c r="AJ1316" t="str">
        <f t="shared" si="20"/>
        <v>Low</v>
      </c>
      <c r="AK1316" t="str" cm="1">
        <f t="array" ref="AK1316">_xlfn.IFS(S1316&lt;4000,"Low",S1316&lt;8000,"Medium",S1316&gt;=8000,"High")</f>
        <v>Medium</v>
      </c>
      <c r="AL1316" t="str" cm="1">
        <f t="array" ref="AL1316">_xlfn.IFS(AF1316&lt;3,"new",AF1316&lt;=7,"Experienced",AF1316&gt;7,"High")</f>
        <v>High</v>
      </c>
      <c r="AM1316" s="1"/>
    </row>
    <row r="1317" spans="1:39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  <c r="AJ1317" t="str">
        <f t="shared" si="20"/>
        <v>High</v>
      </c>
      <c r="AK1317" t="str" cm="1">
        <f t="array" ref="AK1317">_xlfn.IFS(S1317&lt;4000,"Low",S1317&lt;8000,"Medium",S1317&gt;=8000,"High")</f>
        <v>Medium</v>
      </c>
      <c r="AL1317" t="str" cm="1">
        <f t="array" ref="AL1317">_xlfn.IFS(AF1317&lt;3,"new",AF1317&lt;=7,"Experienced",AF1317&gt;7,"High")</f>
        <v>new</v>
      </c>
      <c r="AM1317" s="1"/>
    </row>
    <row r="1318" spans="1:39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  <c r="AJ1318" t="str">
        <f t="shared" si="20"/>
        <v>Low</v>
      </c>
      <c r="AK1318" t="str" cm="1">
        <f t="array" ref="AK1318">_xlfn.IFS(S1318&lt;4000,"Low",S1318&lt;8000,"Medium",S1318&gt;=8000,"High")</f>
        <v>Medium</v>
      </c>
      <c r="AL1318" t="str" cm="1">
        <f t="array" ref="AL1318">_xlfn.IFS(AF1318&lt;3,"new",AF1318&lt;=7,"Experienced",AF1318&gt;7,"High")</f>
        <v>Experienced</v>
      </c>
      <c r="AM1318" s="1"/>
    </row>
    <row r="1319" spans="1:39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  <c r="AJ1319" t="str">
        <f t="shared" si="20"/>
        <v>Low</v>
      </c>
      <c r="AK1319" t="str" cm="1">
        <f t="array" ref="AK1319">_xlfn.IFS(S1319&lt;4000,"Low",S1319&lt;8000,"Medium",S1319&gt;=8000,"High")</f>
        <v>Low</v>
      </c>
      <c r="AL1319" t="str" cm="1">
        <f t="array" ref="AL1319">_xlfn.IFS(AF1319&lt;3,"new",AF1319&lt;=7,"Experienced",AF1319&gt;7,"High")</f>
        <v>Experienced</v>
      </c>
      <c r="AM1319" s="1"/>
    </row>
    <row r="1320" spans="1:39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  <c r="AJ1320" t="str">
        <f t="shared" si="20"/>
        <v>Low</v>
      </c>
      <c r="AK1320" t="str" cm="1">
        <f t="array" ref="AK1320">_xlfn.IFS(S1320&lt;4000,"Low",S1320&lt;8000,"Medium",S1320&gt;=8000,"High")</f>
        <v>Low</v>
      </c>
      <c r="AL1320" t="str" cm="1">
        <f t="array" ref="AL1320">_xlfn.IFS(AF1320&lt;3,"new",AF1320&lt;=7,"Experienced",AF1320&gt;7,"High")</f>
        <v>High</v>
      </c>
      <c r="AM1320" s="1"/>
    </row>
    <row r="1321" spans="1:39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  <c r="AJ1321" t="str">
        <f t="shared" si="20"/>
        <v>Low</v>
      </c>
      <c r="AK1321" t="str" cm="1">
        <f t="array" ref="AK1321">_xlfn.IFS(S1321&lt;4000,"Low",S1321&lt;8000,"Medium",S1321&gt;=8000,"High")</f>
        <v>Medium</v>
      </c>
      <c r="AL1321" t="str" cm="1">
        <f t="array" ref="AL1321">_xlfn.IFS(AF1321&lt;3,"new",AF1321&lt;=7,"Experienced",AF1321&gt;7,"High")</f>
        <v>new</v>
      </c>
      <c r="AM1321" s="1"/>
    </row>
    <row r="1322" spans="1:39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  <c r="AJ1322" t="str">
        <f t="shared" si="20"/>
        <v>Low</v>
      </c>
      <c r="AK1322" t="str" cm="1">
        <f t="array" ref="AK1322">_xlfn.IFS(S1322&lt;4000,"Low",S1322&lt;8000,"Medium",S1322&gt;=8000,"High")</f>
        <v>Low</v>
      </c>
      <c r="AL1322" t="str" cm="1">
        <f t="array" ref="AL1322">_xlfn.IFS(AF1322&lt;3,"new",AF1322&lt;=7,"Experienced",AF1322&gt;7,"High")</f>
        <v>Experienced</v>
      </c>
      <c r="AM1322" s="1"/>
    </row>
    <row r="1323" spans="1:39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  <c r="AJ1323" t="str">
        <f t="shared" si="20"/>
        <v>Low</v>
      </c>
      <c r="AK1323" t="str" cm="1">
        <f t="array" ref="AK1323">_xlfn.IFS(S1323&lt;4000,"Low",S1323&lt;8000,"Medium",S1323&gt;=8000,"High")</f>
        <v>Low</v>
      </c>
      <c r="AL1323" t="str" cm="1">
        <f t="array" ref="AL1323">_xlfn.IFS(AF1323&lt;3,"new",AF1323&lt;=7,"Experienced",AF1323&gt;7,"High")</f>
        <v>new</v>
      </c>
      <c r="AM1323" s="1"/>
    </row>
    <row r="1324" spans="1:39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  <c r="AJ1324" t="str">
        <f t="shared" si="20"/>
        <v>High</v>
      </c>
      <c r="AK1324" t="str" cm="1">
        <f t="array" ref="AK1324">_xlfn.IFS(S1324&lt;4000,"Low",S1324&lt;8000,"Medium",S1324&gt;=8000,"High")</f>
        <v>High</v>
      </c>
      <c r="AL1324" t="str" cm="1">
        <f t="array" ref="AL1324">_xlfn.IFS(AF1324&lt;3,"new",AF1324&lt;=7,"Experienced",AF1324&gt;7,"High")</f>
        <v>High</v>
      </c>
      <c r="AM1324" s="1"/>
    </row>
    <row r="1325" spans="1:39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  <c r="AJ1325" t="str">
        <f t="shared" si="20"/>
        <v>Low</v>
      </c>
      <c r="AK1325" t="str" cm="1">
        <f t="array" ref="AK1325">_xlfn.IFS(S1325&lt;4000,"Low",S1325&lt;8000,"Medium",S1325&gt;=8000,"High")</f>
        <v>Low</v>
      </c>
      <c r="AL1325" t="str" cm="1">
        <f t="array" ref="AL1325">_xlfn.IFS(AF1325&lt;3,"new",AF1325&lt;=7,"Experienced",AF1325&gt;7,"High")</f>
        <v>Experienced</v>
      </c>
      <c r="AM1325" s="1"/>
    </row>
    <row r="1326" spans="1:39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  <c r="AJ1326" t="str">
        <f t="shared" si="20"/>
        <v>Low</v>
      </c>
      <c r="AK1326" t="str" cm="1">
        <f t="array" ref="AK1326">_xlfn.IFS(S1326&lt;4000,"Low",S1326&lt;8000,"Medium",S1326&gt;=8000,"High")</f>
        <v>Medium</v>
      </c>
      <c r="AL1326" t="str" cm="1">
        <f t="array" ref="AL1326">_xlfn.IFS(AF1326&lt;3,"new",AF1326&lt;=7,"Experienced",AF1326&gt;7,"High")</f>
        <v>Experienced</v>
      </c>
      <c r="AM1326" s="1"/>
    </row>
    <row r="1327" spans="1:39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  <c r="AJ1327" t="str">
        <f t="shared" si="20"/>
        <v>Low</v>
      </c>
      <c r="AK1327" t="str" cm="1">
        <f t="array" ref="AK1327">_xlfn.IFS(S1327&lt;4000,"Low",S1327&lt;8000,"Medium",S1327&gt;=8000,"High")</f>
        <v>Low</v>
      </c>
      <c r="AL1327" t="str" cm="1">
        <f t="array" ref="AL1327">_xlfn.IFS(AF1327&lt;3,"new",AF1327&lt;=7,"Experienced",AF1327&gt;7,"High")</f>
        <v>new</v>
      </c>
      <c r="AM1327" s="1"/>
    </row>
    <row r="1328" spans="1:39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  <c r="AJ1328" t="str">
        <f t="shared" si="20"/>
        <v>High</v>
      </c>
      <c r="AK1328" t="str" cm="1">
        <f t="array" ref="AK1328">_xlfn.IFS(S1328&lt;4000,"Low",S1328&lt;8000,"Medium",S1328&gt;=8000,"High")</f>
        <v>High</v>
      </c>
      <c r="AL1328" t="str" cm="1">
        <f t="array" ref="AL1328">_xlfn.IFS(AF1328&lt;3,"new",AF1328&lt;=7,"Experienced",AF1328&gt;7,"High")</f>
        <v>new</v>
      </c>
      <c r="AM1328" s="1"/>
    </row>
    <row r="1329" spans="1:39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  <c r="AJ1329" t="str">
        <f t="shared" si="20"/>
        <v>High</v>
      </c>
      <c r="AK1329" t="str" cm="1">
        <f t="array" ref="AK1329">_xlfn.IFS(S1329&lt;4000,"Low",S1329&lt;8000,"Medium",S1329&gt;=8000,"High")</f>
        <v>High</v>
      </c>
      <c r="AL1329" t="str" cm="1">
        <f t="array" ref="AL1329">_xlfn.IFS(AF1329&lt;3,"new",AF1329&lt;=7,"Experienced",AF1329&gt;7,"High")</f>
        <v>High</v>
      </c>
      <c r="AM1329" s="1"/>
    </row>
    <row r="1330" spans="1:39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  <c r="AJ1330" t="str">
        <f t="shared" si="20"/>
        <v>Low</v>
      </c>
      <c r="AK1330" t="str" cm="1">
        <f t="array" ref="AK1330">_xlfn.IFS(S1330&lt;4000,"Low",S1330&lt;8000,"Medium",S1330&gt;=8000,"High")</f>
        <v>Low</v>
      </c>
      <c r="AL1330" t="str" cm="1">
        <f t="array" ref="AL1330">_xlfn.IFS(AF1330&lt;3,"new",AF1330&lt;=7,"Experienced",AF1330&gt;7,"High")</f>
        <v>High</v>
      </c>
      <c r="AM1330" s="1"/>
    </row>
    <row r="1331" spans="1:39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  <c r="AJ1331" t="str">
        <f t="shared" si="20"/>
        <v>Low</v>
      </c>
      <c r="AK1331" t="str" cm="1">
        <f t="array" ref="AK1331">_xlfn.IFS(S1331&lt;4000,"Low",S1331&lt;8000,"Medium",S1331&gt;=8000,"High")</f>
        <v>Low</v>
      </c>
      <c r="AL1331" t="str" cm="1">
        <f t="array" ref="AL1331">_xlfn.IFS(AF1331&lt;3,"new",AF1331&lt;=7,"Experienced",AF1331&gt;7,"High")</f>
        <v>new</v>
      </c>
      <c r="AM1331" s="1"/>
    </row>
    <row r="1332" spans="1:39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  <c r="AJ1332" t="str">
        <f t="shared" si="20"/>
        <v>High</v>
      </c>
      <c r="AK1332" t="str" cm="1">
        <f t="array" ref="AK1332">_xlfn.IFS(S1332&lt;4000,"Low",S1332&lt;8000,"Medium",S1332&gt;=8000,"High")</f>
        <v>High</v>
      </c>
      <c r="AL1332" t="str" cm="1">
        <f t="array" ref="AL1332">_xlfn.IFS(AF1332&lt;3,"new",AF1332&lt;=7,"Experienced",AF1332&gt;7,"High")</f>
        <v>High</v>
      </c>
      <c r="AM1332" s="1"/>
    </row>
    <row r="1333" spans="1:39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  <c r="AJ1333" t="str">
        <f t="shared" si="20"/>
        <v>High</v>
      </c>
      <c r="AK1333" t="str" cm="1">
        <f t="array" ref="AK1333">_xlfn.IFS(S1333&lt;4000,"Low",S1333&lt;8000,"Medium",S1333&gt;=8000,"High")</f>
        <v>High</v>
      </c>
      <c r="AL1333" t="str" cm="1">
        <f t="array" ref="AL1333">_xlfn.IFS(AF1333&lt;3,"new",AF1333&lt;=7,"Experienced",AF1333&gt;7,"High")</f>
        <v>High</v>
      </c>
      <c r="AM1333" s="1"/>
    </row>
    <row r="1334" spans="1:39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  <c r="AJ1334" t="str">
        <f t="shared" si="20"/>
        <v>Low</v>
      </c>
      <c r="AK1334" t="str" cm="1">
        <f t="array" ref="AK1334">_xlfn.IFS(S1334&lt;4000,"Low",S1334&lt;8000,"Medium",S1334&gt;=8000,"High")</f>
        <v>Low</v>
      </c>
      <c r="AL1334" t="str" cm="1">
        <f t="array" ref="AL1334">_xlfn.IFS(AF1334&lt;3,"new",AF1334&lt;=7,"Experienced",AF1334&gt;7,"High")</f>
        <v>new</v>
      </c>
      <c r="AM1334" s="1"/>
    </row>
    <row r="1335" spans="1:39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  <c r="AJ1335" t="str">
        <f t="shared" si="20"/>
        <v>High</v>
      </c>
      <c r="AK1335" t="str" cm="1">
        <f t="array" ref="AK1335">_xlfn.IFS(S1335&lt;4000,"Low",S1335&lt;8000,"Medium",S1335&gt;=8000,"High")</f>
        <v>Medium</v>
      </c>
      <c r="AL1335" t="str" cm="1">
        <f t="array" ref="AL1335">_xlfn.IFS(AF1335&lt;3,"new",AF1335&lt;=7,"Experienced",AF1335&gt;7,"High")</f>
        <v>High</v>
      </c>
      <c r="AM1335" s="1"/>
    </row>
    <row r="1336" spans="1:39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  <c r="AJ1336" t="str">
        <f t="shared" si="20"/>
        <v>Low</v>
      </c>
      <c r="AK1336" t="str" cm="1">
        <f t="array" ref="AK1336">_xlfn.IFS(S1336&lt;4000,"Low",S1336&lt;8000,"Medium",S1336&gt;=8000,"High")</f>
        <v>Medium</v>
      </c>
      <c r="AL1336" t="str" cm="1">
        <f t="array" ref="AL1336">_xlfn.IFS(AF1336&lt;3,"new",AF1336&lt;=7,"Experienced",AF1336&gt;7,"High")</f>
        <v>Experienced</v>
      </c>
      <c r="AM1336" s="1"/>
    </row>
    <row r="1337" spans="1:39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  <c r="AJ1337" t="str">
        <f t="shared" si="20"/>
        <v>Low</v>
      </c>
      <c r="AK1337" t="str" cm="1">
        <f t="array" ref="AK1337">_xlfn.IFS(S1337&lt;4000,"Low",S1337&lt;8000,"Medium",S1337&gt;=8000,"High")</f>
        <v>Low</v>
      </c>
      <c r="AL1337" t="str" cm="1">
        <f t="array" ref="AL1337">_xlfn.IFS(AF1337&lt;3,"new",AF1337&lt;=7,"Experienced",AF1337&gt;7,"High")</f>
        <v>new</v>
      </c>
      <c r="AM1337" s="1"/>
    </row>
    <row r="1338" spans="1:39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  <c r="AJ1338" t="str">
        <f t="shared" si="20"/>
        <v>Low</v>
      </c>
      <c r="AK1338" t="str" cm="1">
        <f t="array" ref="AK1338">_xlfn.IFS(S1338&lt;4000,"Low",S1338&lt;8000,"Medium",S1338&gt;=8000,"High")</f>
        <v>Low</v>
      </c>
      <c r="AL1338" t="str" cm="1">
        <f t="array" ref="AL1338">_xlfn.IFS(AF1338&lt;3,"new",AF1338&lt;=7,"Experienced",AF1338&gt;7,"High")</f>
        <v>Experienced</v>
      </c>
      <c r="AM1338" s="1"/>
    </row>
    <row r="1339" spans="1:39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  <c r="AJ1339" t="str">
        <f t="shared" si="20"/>
        <v>Low</v>
      </c>
      <c r="AK1339" t="str" cm="1">
        <f t="array" ref="AK1339">_xlfn.IFS(S1339&lt;4000,"Low",S1339&lt;8000,"Medium",S1339&gt;=8000,"High")</f>
        <v>Low</v>
      </c>
      <c r="AL1339" t="str" cm="1">
        <f t="array" ref="AL1339">_xlfn.IFS(AF1339&lt;3,"new",AF1339&lt;=7,"Experienced",AF1339&gt;7,"High")</f>
        <v>new</v>
      </c>
      <c r="AM1339" s="1"/>
    </row>
    <row r="1340" spans="1:39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  <c r="AJ1340" t="str">
        <f t="shared" si="20"/>
        <v>Low</v>
      </c>
      <c r="AK1340" t="str" cm="1">
        <f t="array" ref="AK1340">_xlfn.IFS(S1340&lt;4000,"Low",S1340&lt;8000,"Medium",S1340&gt;=8000,"High")</f>
        <v>Low</v>
      </c>
      <c r="AL1340" t="str" cm="1">
        <f t="array" ref="AL1340">_xlfn.IFS(AF1340&lt;3,"new",AF1340&lt;=7,"Experienced",AF1340&gt;7,"High")</f>
        <v>new</v>
      </c>
      <c r="AM1340" s="1"/>
    </row>
    <row r="1341" spans="1:39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  <c r="AJ1341" t="str">
        <f t="shared" si="20"/>
        <v>Low</v>
      </c>
      <c r="AK1341" t="str" cm="1">
        <f t="array" ref="AK1341">_xlfn.IFS(S1341&lt;4000,"Low",S1341&lt;8000,"Medium",S1341&gt;=8000,"High")</f>
        <v>Low</v>
      </c>
      <c r="AL1341" t="str" cm="1">
        <f t="array" ref="AL1341">_xlfn.IFS(AF1341&lt;3,"new",AF1341&lt;=7,"Experienced",AF1341&gt;7,"High")</f>
        <v>new</v>
      </c>
      <c r="AM1341" s="1"/>
    </row>
    <row r="1342" spans="1:39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  <c r="AJ1342" t="str">
        <f t="shared" si="20"/>
        <v>Low</v>
      </c>
      <c r="AK1342" t="str" cm="1">
        <f t="array" ref="AK1342">_xlfn.IFS(S1342&lt;4000,"Low",S1342&lt;8000,"Medium",S1342&gt;=8000,"High")</f>
        <v>Medium</v>
      </c>
      <c r="AL1342" t="str" cm="1">
        <f t="array" ref="AL1342">_xlfn.IFS(AF1342&lt;3,"new",AF1342&lt;=7,"Experienced",AF1342&gt;7,"High")</f>
        <v>High</v>
      </c>
      <c r="AM1342" s="1"/>
    </row>
    <row r="1343" spans="1:39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  <c r="AJ1343" t="str">
        <f t="shared" si="20"/>
        <v>Low</v>
      </c>
      <c r="AK1343" t="str" cm="1">
        <f t="array" ref="AK1343">_xlfn.IFS(S1343&lt;4000,"Low",S1343&lt;8000,"Medium",S1343&gt;=8000,"High")</f>
        <v>Medium</v>
      </c>
      <c r="AL1343" t="str" cm="1">
        <f t="array" ref="AL1343">_xlfn.IFS(AF1343&lt;3,"new",AF1343&lt;=7,"Experienced",AF1343&gt;7,"High")</f>
        <v>High</v>
      </c>
      <c r="AM1343" s="1"/>
    </row>
    <row r="1344" spans="1:39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  <c r="AJ1344" t="str">
        <f t="shared" si="20"/>
        <v>High</v>
      </c>
      <c r="AK1344" t="str" cm="1">
        <f t="array" ref="AK1344">_xlfn.IFS(S1344&lt;4000,"Low",S1344&lt;8000,"Medium",S1344&gt;=8000,"High")</f>
        <v>High</v>
      </c>
      <c r="AL1344" t="str" cm="1">
        <f t="array" ref="AL1344">_xlfn.IFS(AF1344&lt;3,"new",AF1344&lt;=7,"Experienced",AF1344&gt;7,"High")</f>
        <v>Experienced</v>
      </c>
      <c r="AM1344" s="1"/>
    </row>
    <row r="1345" spans="1:39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  <c r="AJ1345" t="str">
        <f t="shared" si="20"/>
        <v>Low</v>
      </c>
      <c r="AK1345" t="str" cm="1">
        <f t="array" ref="AK1345">_xlfn.IFS(S1345&lt;4000,"Low",S1345&lt;8000,"Medium",S1345&gt;=8000,"High")</f>
        <v>Low</v>
      </c>
      <c r="AL1345" t="str" cm="1">
        <f t="array" ref="AL1345">_xlfn.IFS(AF1345&lt;3,"new",AF1345&lt;=7,"Experienced",AF1345&gt;7,"High")</f>
        <v>Experienced</v>
      </c>
      <c r="AM1345" s="1"/>
    </row>
    <row r="1346" spans="1:39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  <c r="AJ1346" t="str">
        <f t="shared" ref="AJ1346:AJ1409" si="21">IF(S1346&gt;=6500,"High","Low")</f>
        <v>Low</v>
      </c>
      <c r="AK1346" t="str" cm="1">
        <f t="array" ref="AK1346">_xlfn.IFS(S1346&lt;4000,"Low",S1346&lt;8000,"Medium",S1346&gt;=8000,"High")</f>
        <v>Medium</v>
      </c>
      <c r="AL1346" t="str" cm="1">
        <f t="array" ref="AL1346">_xlfn.IFS(AF1346&lt;3,"new",AF1346&lt;=7,"Experienced",AF1346&gt;7,"High")</f>
        <v>Experienced</v>
      </c>
      <c r="AM1346" s="1"/>
    </row>
    <row r="1347" spans="1:39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  <c r="AJ1347" t="str">
        <f t="shared" si="21"/>
        <v>Low</v>
      </c>
      <c r="AK1347" t="str" cm="1">
        <f t="array" ref="AK1347">_xlfn.IFS(S1347&lt;4000,"Low",S1347&lt;8000,"Medium",S1347&gt;=8000,"High")</f>
        <v>Medium</v>
      </c>
      <c r="AL1347" t="str" cm="1">
        <f t="array" ref="AL1347">_xlfn.IFS(AF1347&lt;3,"new",AF1347&lt;=7,"Experienced",AF1347&gt;7,"High")</f>
        <v>Experienced</v>
      </c>
      <c r="AM1347" s="1"/>
    </row>
    <row r="1348" spans="1:39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  <c r="AJ1348" t="str">
        <f t="shared" si="21"/>
        <v>Low</v>
      </c>
      <c r="AK1348" t="str" cm="1">
        <f t="array" ref="AK1348">_xlfn.IFS(S1348&lt;4000,"Low",S1348&lt;8000,"Medium",S1348&gt;=8000,"High")</f>
        <v>Medium</v>
      </c>
      <c r="AL1348" t="str" cm="1">
        <f t="array" ref="AL1348">_xlfn.IFS(AF1348&lt;3,"new",AF1348&lt;=7,"Experienced",AF1348&gt;7,"High")</f>
        <v>High</v>
      </c>
      <c r="AM1348" s="1"/>
    </row>
    <row r="1349" spans="1:39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  <c r="AJ1349" t="str">
        <f t="shared" si="21"/>
        <v>Low</v>
      </c>
      <c r="AK1349" t="str" cm="1">
        <f t="array" ref="AK1349">_xlfn.IFS(S1349&lt;4000,"Low",S1349&lt;8000,"Medium",S1349&gt;=8000,"High")</f>
        <v>Low</v>
      </c>
      <c r="AL1349" t="str" cm="1">
        <f t="array" ref="AL1349">_xlfn.IFS(AF1349&lt;3,"new",AF1349&lt;=7,"Experienced",AF1349&gt;7,"High")</f>
        <v>High</v>
      </c>
      <c r="AM1349" s="1"/>
    </row>
    <row r="1350" spans="1:39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  <c r="AJ1350" t="str">
        <f t="shared" si="21"/>
        <v>High</v>
      </c>
      <c r="AK1350" t="str" cm="1">
        <f t="array" ref="AK1350">_xlfn.IFS(S1350&lt;4000,"Low",S1350&lt;8000,"Medium",S1350&gt;=8000,"High")</f>
        <v>High</v>
      </c>
      <c r="AL1350" t="str" cm="1">
        <f t="array" ref="AL1350">_xlfn.IFS(AF1350&lt;3,"new",AF1350&lt;=7,"Experienced",AF1350&gt;7,"High")</f>
        <v>High</v>
      </c>
      <c r="AM1350" s="1"/>
    </row>
    <row r="1351" spans="1:39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  <c r="AJ1351" t="str">
        <f t="shared" si="21"/>
        <v>Low</v>
      </c>
      <c r="AK1351" t="str" cm="1">
        <f t="array" ref="AK1351">_xlfn.IFS(S1351&lt;4000,"Low",S1351&lt;8000,"Medium",S1351&gt;=8000,"High")</f>
        <v>Low</v>
      </c>
      <c r="AL1351" t="str" cm="1">
        <f t="array" ref="AL1351">_xlfn.IFS(AF1351&lt;3,"new",AF1351&lt;=7,"Experienced",AF1351&gt;7,"High")</f>
        <v>new</v>
      </c>
      <c r="AM1351" s="1"/>
    </row>
    <row r="1352" spans="1:39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  <c r="AJ1352" t="str">
        <f t="shared" si="21"/>
        <v>High</v>
      </c>
      <c r="AK1352" t="str" cm="1">
        <f t="array" ref="AK1352">_xlfn.IFS(S1352&lt;4000,"Low",S1352&lt;8000,"Medium",S1352&gt;=8000,"High")</f>
        <v>Medium</v>
      </c>
      <c r="AL1352" t="str" cm="1">
        <f t="array" ref="AL1352">_xlfn.IFS(AF1352&lt;3,"new",AF1352&lt;=7,"Experienced",AF1352&gt;7,"High")</f>
        <v>High</v>
      </c>
      <c r="AM1352" s="1"/>
    </row>
    <row r="1353" spans="1:39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  <c r="AJ1353" t="str">
        <f t="shared" si="21"/>
        <v>High</v>
      </c>
      <c r="AK1353" t="str" cm="1">
        <f t="array" ref="AK1353">_xlfn.IFS(S1353&lt;4000,"Low",S1353&lt;8000,"Medium",S1353&gt;=8000,"High")</f>
        <v>High</v>
      </c>
      <c r="AL1353" t="str" cm="1">
        <f t="array" ref="AL1353">_xlfn.IFS(AF1353&lt;3,"new",AF1353&lt;=7,"Experienced",AF1353&gt;7,"High")</f>
        <v>High</v>
      </c>
      <c r="AM1353" s="1"/>
    </row>
    <row r="1354" spans="1:39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  <c r="AJ1354" t="str">
        <f t="shared" si="21"/>
        <v>Low</v>
      </c>
      <c r="AK1354" t="str" cm="1">
        <f t="array" ref="AK1354">_xlfn.IFS(S1354&lt;4000,"Low",S1354&lt;8000,"Medium",S1354&gt;=8000,"High")</f>
        <v>Medium</v>
      </c>
      <c r="AL1354" t="str" cm="1">
        <f t="array" ref="AL1354">_xlfn.IFS(AF1354&lt;3,"new",AF1354&lt;=7,"Experienced",AF1354&gt;7,"High")</f>
        <v>new</v>
      </c>
      <c r="AM1354" s="1"/>
    </row>
    <row r="1355" spans="1:39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  <c r="AJ1355" t="str">
        <f t="shared" si="21"/>
        <v>Low</v>
      </c>
      <c r="AK1355" t="str" cm="1">
        <f t="array" ref="AK1355">_xlfn.IFS(S1355&lt;4000,"Low",S1355&lt;8000,"Medium",S1355&gt;=8000,"High")</f>
        <v>Low</v>
      </c>
      <c r="AL1355" t="str" cm="1">
        <f t="array" ref="AL1355">_xlfn.IFS(AF1355&lt;3,"new",AF1355&lt;=7,"Experienced",AF1355&gt;7,"High")</f>
        <v>Experienced</v>
      </c>
      <c r="AM1355" s="1"/>
    </row>
    <row r="1356" spans="1:39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  <c r="AJ1356" t="str">
        <f t="shared" si="21"/>
        <v>Low</v>
      </c>
      <c r="AK1356" t="str" cm="1">
        <f t="array" ref="AK1356">_xlfn.IFS(S1356&lt;4000,"Low",S1356&lt;8000,"Medium",S1356&gt;=8000,"High")</f>
        <v>Low</v>
      </c>
      <c r="AL1356" t="str" cm="1">
        <f t="array" ref="AL1356">_xlfn.IFS(AF1356&lt;3,"new",AF1356&lt;=7,"Experienced",AF1356&gt;7,"High")</f>
        <v>Experienced</v>
      </c>
      <c r="AM1356" s="1"/>
    </row>
    <row r="1357" spans="1:39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  <c r="AJ1357" t="str">
        <f t="shared" si="21"/>
        <v>Low</v>
      </c>
      <c r="AK1357" t="str" cm="1">
        <f t="array" ref="AK1357">_xlfn.IFS(S1357&lt;4000,"Low",S1357&lt;8000,"Medium",S1357&gt;=8000,"High")</f>
        <v>Medium</v>
      </c>
      <c r="AL1357" t="str" cm="1">
        <f t="array" ref="AL1357">_xlfn.IFS(AF1357&lt;3,"new",AF1357&lt;=7,"Experienced",AF1357&gt;7,"High")</f>
        <v>Experienced</v>
      </c>
      <c r="AM1357" s="1"/>
    </row>
    <row r="1358" spans="1:39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  <c r="AJ1358" t="str">
        <f t="shared" si="21"/>
        <v>Low</v>
      </c>
      <c r="AK1358" t="str" cm="1">
        <f t="array" ref="AK1358">_xlfn.IFS(S1358&lt;4000,"Low",S1358&lt;8000,"Medium",S1358&gt;=8000,"High")</f>
        <v>Medium</v>
      </c>
      <c r="AL1358" t="str" cm="1">
        <f t="array" ref="AL1358">_xlfn.IFS(AF1358&lt;3,"new",AF1358&lt;=7,"Experienced",AF1358&gt;7,"High")</f>
        <v>Experienced</v>
      </c>
      <c r="AM1358" s="1"/>
    </row>
    <row r="1359" spans="1:39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  <c r="AJ1359" t="str">
        <f t="shared" si="21"/>
        <v>High</v>
      </c>
      <c r="AK1359" t="str" cm="1">
        <f t="array" ref="AK1359">_xlfn.IFS(S1359&lt;4000,"Low",S1359&lt;8000,"Medium",S1359&gt;=8000,"High")</f>
        <v>High</v>
      </c>
      <c r="AL1359" t="str" cm="1">
        <f t="array" ref="AL1359">_xlfn.IFS(AF1359&lt;3,"new",AF1359&lt;=7,"Experienced",AF1359&gt;7,"High")</f>
        <v>High</v>
      </c>
      <c r="AM1359" s="1"/>
    </row>
    <row r="1360" spans="1:39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  <c r="AJ1360" t="str">
        <f t="shared" si="21"/>
        <v>High</v>
      </c>
      <c r="AK1360" t="str" cm="1">
        <f t="array" ref="AK1360">_xlfn.IFS(S1360&lt;4000,"Low",S1360&lt;8000,"Medium",S1360&gt;=8000,"High")</f>
        <v>Medium</v>
      </c>
      <c r="AL1360" t="str" cm="1">
        <f t="array" ref="AL1360">_xlfn.IFS(AF1360&lt;3,"new",AF1360&lt;=7,"Experienced",AF1360&gt;7,"High")</f>
        <v>Experienced</v>
      </c>
      <c r="AM1360" s="1"/>
    </row>
    <row r="1361" spans="1:39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  <c r="AJ1361" t="str">
        <f t="shared" si="21"/>
        <v>High</v>
      </c>
      <c r="AK1361" t="str" cm="1">
        <f t="array" ref="AK1361">_xlfn.IFS(S1361&lt;4000,"Low",S1361&lt;8000,"Medium",S1361&gt;=8000,"High")</f>
        <v>High</v>
      </c>
      <c r="AL1361" t="str" cm="1">
        <f t="array" ref="AL1361">_xlfn.IFS(AF1361&lt;3,"new",AF1361&lt;=7,"Experienced",AF1361&gt;7,"High")</f>
        <v>Experienced</v>
      </c>
      <c r="AM1361" s="1"/>
    </row>
    <row r="1362" spans="1:39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  <c r="AJ1362" t="str">
        <f t="shared" si="21"/>
        <v>Low</v>
      </c>
      <c r="AK1362" t="str" cm="1">
        <f t="array" ref="AK1362">_xlfn.IFS(S1362&lt;4000,"Low",S1362&lt;8000,"Medium",S1362&gt;=8000,"High")</f>
        <v>Low</v>
      </c>
      <c r="AL1362" t="str" cm="1">
        <f t="array" ref="AL1362">_xlfn.IFS(AF1362&lt;3,"new",AF1362&lt;=7,"Experienced",AF1362&gt;7,"High")</f>
        <v>new</v>
      </c>
      <c r="AM1362" s="1"/>
    </row>
    <row r="1363" spans="1:39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  <c r="AJ1363" t="str">
        <f t="shared" si="21"/>
        <v>Low</v>
      </c>
      <c r="AK1363" t="str" cm="1">
        <f t="array" ref="AK1363">_xlfn.IFS(S1363&lt;4000,"Low",S1363&lt;8000,"Medium",S1363&gt;=8000,"High")</f>
        <v>Low</v>
      </c>
      <c r="AL1363" t="str" cm="1">
        <f t="array" ref="AL1363">_xlfn.IFS(AF1363&lt;3,"new",AF1363&lt;=7,"Experienced",AF1363&gt;7,"High")</f>
        <v>Experienced</v>
      </c>
      <c r="AM1363" s="1"/>
    </row>
    <row r="1364" spans="1:39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  <c r="AJ1364" t="str">
        <f t="shared" si="21"/>
        <v>Low</v>
      </c>
      <c r="AK1364" t="str" cm="1">
        <f t="array" ref="AK1364">_xlfn.IFS(S1364&lt;4000,"Low",S1364&lt;8000,"Medium",S1364&gt;=8000,"High")</f>
        <v>Medium</v>
      </c>
      <c r="AL1364" t="str" cm="1">
        <f t="array" ref="AL1364">_xlfn.IFS(AF1364&lt;3,"new",AF1364&lt;=7,"Experienced",AF1364&gt;7,"High")</f>
        <v>Experienced</v>
      </c>
      <c r="AM1364" s="1"/>
    </row>
    <row r="1365" spans="1:39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  <c r="AJ1365" t="str">
        <f t="shared" si="21"/>
        <v>Low</v>
      </c>
      <c r="AK1365" t="str" cm="1">
        <f t="array" ref="AK1365">_xlfn.IFS(S1365&lt;4000,"Low",S1365&lt;8000,"Medium",S1365&gt;=8000,"High")</f>
        <v>Medium</v>
      </c>
      <c r="AL1365" t="str" cm="1">
        <f t="array" ref="AL1365">_xlfn.IFS(AF1365&lt;3,"new",AF1365&lt;=7,"Experienced",AF1365&gt;7,"High")</f>
        <v>High</v>
      </c>
      <c r="AM1365" s="1"/>
    </row>
    <row r="1366" spans="1:39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  <c r="AJ1366" t="str">
        <f t="shared" si="21"/>
        <v>High</v>
      </c>
      <c r="AK1366" t="str" cm="1">
        <f t="array" ref="AK1366">_xlfn.IFS(S1366&lt;4000,"Low",S1366&lt;8000,"Medium",S1366&gt;=8000,"High")</f>
        <v>Medium</v>
      </c>
      <c r="AL1366" t="str" cm="1">
        <f t="array" ref="AL1366">_xlfn.IFS(AF1366&lt;3,"new",AF1366&lt;=7,"Experienced",AF1366&gt;7,"High")</f>
        <v>Experienced</v>
      </c>
      <c r="AM1366" s="1"/>
    </row>
    <row r="1367" spans="1:39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  <c r="AJ1367" t="str">
        <f t="shared" si="21"/>
        <v>Low</v>
      </c>
      <c r="AK1367" t="str" cm="1">
        <f t="array" ref="AK1367">_xlfn.IFS(S1367&lt;4000,"Low",S1367&lt;8000,"Medium",S1367&gt;=8000,"High")</f>
        <v>Low</v>
      </c>
      <c r="AL1367" t="str" cm="1">
        <f t="array" ref="AL1367">_xlfn.IFS(AF1367&lt;3,"new",AF1367&lt;=7,"Experienced",AF1367&gt;7,"High")</f>
        <v>new</v>
      </c>
      <c r="AM1367" s="1"/>
    </row>
    <row r="1368" spans="1:39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  <c r="AJ1368" t="str">
        <f t="shared" si="21"/>
        <v>Low</v>
      </c>
      <c r="AK1368" t="str" cm="1">
        <f t="array" ref="AK1368">_xlfn.IFS(S1368&lt;4000,"Low",S1368&lt;8000,"Medium",S1368&gt;=8000,"High")</f>
        <v>Medium</v>
      </c>
      <c r="AL1368" t="str" cm="1">
        <f t="array" ref="AL1368">_xlfn.IFS(AF1368&lt;3,"new",AF1368&lt;=7,"Experienced",AF1368&gt;7,"High")</f>
        <v>Experienced</v>
      </c>
      <c r="AM1368" s="1"/>
    </row>
    <row r="1369" spans="1:39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  <c r="AJ1369" t="str">
        <f t="shared" si="21"/>
        <v>Low</v>
      </c>
      <c r="AK1369" t="str" cm="1">
        <f t="array" ref="AK1369">_xlfn.IFS(S1369&lt;4000,"Low",S1369&lt;8000,"Medium",S1369&gt;=8000,"High")</f>
        <v>Low</v>
      </c>
      <c r="AL1369" t="str" cm="1">
        <f t="array" ref="AL1369">_xlfn.IFS(AF1369&lt;3,"new",AF1369&lt;=7,"Experienced",AF1369&gt;7,"High")</f>
        <v>Experienced</v>
      </c>
      <c r="AM1369" s="1"/>
    </row>
    <row r="1370" spans="1:39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  <c r="AJ1370" t="str">
        <f t="shared" si="21"/>
        <v>Low</v>
      </c>
      <c r="AK1370" t="str" cm="1">
        <f t="array" ref="AK1370">_xlfn.IFS(S1370&lt;4000,"Low",S1370&lt;8000,"Medium",S1370&gt;=8000,"High")</f>
        <v>Medium</v>
      </c>
      <c r="AL1370" t="str" cm="1">
        <f t="array" ref="AL1370">_xlfn.IFS(AF1370&lt;3,"new",AF1370&lt;=7,"Experienced",AF1370&gt;7,"High")</f>
        <v>High</v>
      </c>
      <c r="AM1370" s="1"/>
    </row>
    <row r="1371" spans="1:39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  <c r="AJ1371" t="str">
        <f t="shared" si="21"/>
        <v>High</v>
      </c>
      <c r="AK1371" t="str" cm="1">
        <f t="array" ref="AK1371">_xlfn.IFS(S1371&lt;4000,"Low",S1371&lt;8000,"Medium",S1371&gt;=8000,"High")</f>
        <v>High</v>
      </c>
      <c r="AL1371" t="str" cm="1">
        <f t="array" ref="AL1371">_xlfn.IFS(AF1371&lt;3,"new",AF1371&lt;=7,"Experienced",AF1371&gt;7,"High")</f>
        <v>new</v>
      </c>
      <c r="AM1371" s="1"/>
    </row>
    <row r="1372" spans="1:39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  <c r="AJ1372" t="str">
        <f t="shared" si="21"/>
        <v>Low</v>
      </c>
      <c r="AK1372" t="str" cm="1">
        <f t="array" ref="AK1372">_xlfn.IFS(S1372&lt;4000,"Low",S1372&lt;8000,"Medium",S1372&gt;=8000,"High")</f>
        <v>Medium</v>
      </c>
      <c r="AL1372" t="str" cm="1">
        <f t="array" ref="AL1372">_xlfn.IFS(AF1372&lt;3,"new",AF1372&lt;=7,"Experienced",AF1372&gt;7,"High")</f>
        <v>High</v>
      </c>
      <c r="AM1372" s="1"/>
    </row>
    <row r="1373" spans="1:39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  <c r="AJ1373" t="str">
        <f t="shared" si="21"/>
        <v>Low</v>
      </c>
      <c r="AK1373" t="str" cm="1">
        <f t="array" ref="AK1373">_xlfn.IFS(S1373&lt;4000,"Low",S1373&lt;8000,"Medium",S1373&gt;=8000,"High")</f>
        <v>Medium</v>
      </c>
      <c r="AL1373" t="str" cm="1">
        <f t="array" ref="AL1373">_xlfn.IFS(AF1373&lt;3,"new",AF1373&lt;=7,"Experienced",AF1373&gt;7,"High")</f>
        <v>new</v>
      </c>
      <c r="AM1373" s="1"/>
    </row>
    <row r="1374" spans="1:39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  <c r="AJ1374" t="str">
        <f t="shared" si="21"/>
        <v>Low</v>
      </c>
      <c r="AK1374" t="str" cm="1">
        <f t="array" ref="AK1374">_xlfn.IFS(S1374&lt;4000,"Low",S1374&lt;8000,"Medium",S1374&gt;=8000,"High")</f>
        <v>Medium</v>
      </c>
      <c r="AL1374" t="str" cm="1">
        <f t="array" ref="AL1374">_xlfn.IFS(AF1374&lt;3,"new",AF1374&lt;=7,"Experienced",AF1374&gt;7,"High")</f>
        <v>High</v>
      </c>
      <c r="AM1374" s="1"/>
    </row>
    <row r="1375" spans="1:39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  <c r="AJ1375" t="str">
        <f t="shared" si="21"/>
        <v>Low</v>
      </c>
      <c r="AK1375" t="str" cm="1">
        <f t="array" ref="AK1375">_xlfn.IFS(S1375&lt;4000,"Low",S1375&lt;8000,"Medium",S1375&gt;=8000,"High")</f>
        <v>Low</v>
      </c>
      <c r="AL1375" t="str" cm="1">
        <f t="array" ref="AL1375">_xlfn.IFS(AF1375&lt;3,"new",AF1375&lt;=7,"Experienced",AF1375&gt;7,"High")</f>
        <v>High</v>
      </c>
      <c r="AM1375" s="1"/>
    </row>
    <row r="1376" spans="1:39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  <c r="AJ1376" t="str">
        <f t="shared" si="21"/>
        <v>High</v>
      </c>
      <c r="AK1376" t="str" cm="1">
        <f t="array" ref="AK1376">_xlfn.IFS(S1376&lt;4000,"Low",S1376&lt;8000,"Medium",S1376&gt;=8000,"High")</f>
        <v>High</v>
      </c>
      <c r="AL1376" t="str" cm="1">
        <f t="array" ref="AL1376">_xlfn.IFS(AF1376&lt;3,"new",AF1376&lt;=7,"Experienced",AF1376&gt;7,"High")</f>
        <v>new</v>
      </c>
      <c r="AM1376" s="1"/>
    </row>
    <row r="1377" spans="1:39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  <c r="AJ1377" t="str">
        <f t="shared" si="21"/>
        <v>Low</v>
      </c>
      <c r="AK1377" t="str" cm="1">
        <f t="array" ref="AK1377">_xlfn.IFS(S1377&lt;4000,"Low",S1377&lt;8000,"Medium",S1377&gt;=8000,"High")</f>
        <v>Low</v>
      </c>
      <c r="AL1377" t="str" cm="1">
        <f t="array" ref="AL1377">_xlfn.IFS(AF1377&lt;3,"new",AF1377&lt;=7,"Experienced",AF1377&gt;7,"High")</f>
        <v>Experienced</v>
      </c>
      <c r="AM1377" s="1"/>
    </row>
    <row r="1378" spans="1:39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  <c r="AJ1378" t="str">
        <f t="shared" si="21"/>
        <v>Low</v>
      </c>
      <c r="AK1378" t="str" cm="1">
        <f t="array" ref="AK1378">_xlfn.IFS(S1378&lt;4000,"Low",S1378&lt;8000,"Medium",S1378&gt;=8000,"High")</f>
        <v>Medium</v>
      </c>
      <c r="AL1378" t="str" cm="1">
        <f t="array" ref="AL1378">_xlfn.IFS(AF1378&lt;3,"new",AF1378&lt;=7,"Experienced",AF1378&gt;7,"High")</f>
        <v>Experienced</v>
      </c>
      <c r="AM1378" s="1"/>
    </row>
    <row r="1379" spans="1:39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  <c r="AJ1379" t="str">
        <f t="shared" si="21"/>
        <v>High</v>
      </c>
      <c r="AK1379" t="str" cm="1">
        <f t="array" ref="AK1379">_xlfn.IFS(S1379&lt;4000,"Low",S1379&lt;8000,"Medium",S1379&gt;=8000,"High")</f>
        <v>High</v>
      </c>
      <c r="AL1379" t="str" cm="1">
        <f t="array" ref="AL1379">_xlfn.IFS(AF1379&lt;3,"new",AF1379&lt;=7,"Experienced",AF1379&gt;7,"High")</f>
        <v>Experienced</v>
      </c>
      <c r="AM1379" s="1"/>
    </row>
    <row r="1380" spans="1:39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  <c r="AJ1380" t="str">
        <f t="shared" si="21"/>
        <v>Low</v>
      </c>
      <c r="AK1380" t="str" cm="1">
        <f t="array" ref="AK1380">_xlfn.IFS(S1380&lt;4000,"Low",S1380&lt;8000,"Medium",S1380&gt;=8000,"High")</f>
        <v>Medium</v>
      </c>
      <c r="AL1380" t="str" cm="1">
        <f t="array" ref="AL1380">_xlfn.IFS(AF1380&lt;3,"new",AF1380&lt;=7,"Experienced",AF1380&gt;7,"High")</f>
        <v>new</v>
      </c>
      <c r="AM1380" s="1"/>
    </row>
    <row r="1381" spans="1:39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  <c r="AJ1381" t="str">
        <f t="shared" si="21"/>
        <v>Low</v>
      </c>
      <c r="AK1381" t="str" cm="1">
        <f t="array" ref="AK1381">_xlfn.IFS(S1381&lt;4000,"Low",S1381&lt;8000,"Medium",S1381&gt;=8000,"High")</f>
        <v>Low</v>
      </c>
      <c r="AL1381" t="str" cm="1">
        <f t="array" ref="AL1381">_xlfn.IFS(AF1381&lt;3,"new",AF1381&lt;=7,"Experienced",AF1381&gt;7,"High")</f>
        <v>new</v>
      </c>
      <c r="AM1381" s="1"/>
    </row>
    <row r="1382" spans="1:39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  <c r="AJ1382" t="str">
        <f t="shared" si="21"/>
        <v>Low</v>
      </c>
      <c r="AK1382" t="str" cm="1">
        <f t="array" ref="AK1382">_xlfn.IFS(S1382&lt;4000,"Low",S1382&lt;8000,"Medium",S1382&gt;=8000,"High")</f>
        <v>Medium</v>
      </c>
      <c r="AL1382" t="str" cm="1">
        <f t="array" ref="AL1382">_xlfn.IFS(AF1382&lt;3,"new",AF1382&lt;=7,"Experienced",AF1382&gt;7,"High")</f>
        <v>Experienced</v>
      </c>
      <c r="AM1382" s="1"/>
    </row>
    <row r="1383" spans="1:39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  <c r="AJ1383" t="str">
        <f t="shared" si="21"/>
        <v>Low</v>
      </c>
      <c r="AK1383" t="str" cm="1">
        <f t="array" ref="AK1383">_xlfn.IFS(S1383&lt;4000,"Low",S1383&lt;8000,"Medium",S1383&gt;=8000,"High")</f>
        <v>Low</v>
      </c>
      <c r="AL1383" t="str" cm="1">
        <f t="array" ref="AL1383">_xlfn.IFS(AF1383&lt;3,"new",AF1383&lt;=7,"Experienced",AF1383&gt;7,"High")</f>
        <v>Experienced</v>
      </c>
      <c r="AM1383" s="1"/>
    </row>
    <row r="1384" spans="1:39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  <c r="AJ1384" t="str">
        <f t="shared" si="21"/>
        <v>Low</v>
      </c>
      <c r="AK1384" t="str" cm="1">
        <f t="array" ref="AK1384">_xlfn.IFS(S1384&lt;4000,"Low",S1384&lt;8000,"Medium",S1384&gt;=8000,"High")</f>
        <v>Low</v>
      </c>
      <c r="AL1384" t="str" cm="1">
        <f t="array" ref="AL1384">_xlfn.IFS(AF1384&lt;3,"new",AF1384&lt;=7,"Experienced",AF1384&gt;7,"High")</f>
        <v>Experienced</v>
      </c>
      <c r="AM1384" s="1"/>
    </row>
    <row r="1385" spans="1:39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  <c r="AJ1385" t="str">
        <f t="shared" si="21"/>
        <v>Low</v>
      </c>
      <c r="AK1385" t="str" cm="1">
        <f t="array" ref="AK1385">_xlfn.IFS(S1385&lt;4000,"Low",S1385&lt;8000,"Medium",S1385&gt;=8000,"High")</f>
        <v>Low</v>
      </c>
      <c r="AL1385" t="str" cm="1">
        <f t="array" ref="AL1385">_xlfn.IFS(AF1385&lt;3,"new",AF1385&lt;=7,"Experienced",AF1385&gt;7,"High")</f>
        <v>Experienced</v>
      </c>
      <c r="AM1385" s="1"/>
    </row>
    <row r="1386" spans="1:39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  <c r="AJ1386" t="str">
        <f t="shared" si="21"/>
        <v>High</v>
      </c>
      <c r="AK1386" t="str" cm="1">
        <f t="array" ref="AK1386">_xlfn.IFS(S1386&lt;4000,"Low",S1386&lt;8000,"Medium",S1386&gt;=8000,"High")</f>
        <v>High</v>
      </c>
      <c r="AL1386" t="str" cm="1">
        <f t="array" ref="AL1386">_xlfn.IFS(AF1386&lt;3,"new",AF1386&lt;=7,"Experienced",AF1386&gt;7,"High")</f>
        <v>High</v>
      </c>
      <c r="AM1386" s="1"/>
    </row>
    <row r="1387" spans="1:39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  <c r="AJ1387" t="str">
        <f t="shared" si="21"/>
        <v>High</v>
      </c>
      <c r="AK1387" t="str" cm="1">
        <f t="array" ref="AK1387">_xlfn.IFS(S1387&lt;4000,"Low",S1387&lt;8000,"Medium",S1387&gt;=8000,"High")</f>
        <v>High</v>
      </c>
      <c r="AL1387" t="str" cm="1">
        <f t="array" ref="AL1387">_xlfn.IFS(AF1387&lt;3,"new",AF1387&lt;=7,"Experienced",AF1387&gt;7,"High")</f>
        <v>High</v>
      </c>
      <c r="AM1387" s="1"/>
    </row>
    <row r="1388" spans="1:39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  <c r="AJ1388" t="str">
        <f t="shared" si="21"/>
        <v>Low</v>
      </c>
      <c r="AK1388" t="str" cm="1">
        <f t="array" ref="AK1388">_xlfn.IFS(S1388&lt;4000,"Low",S1388&lt;8000,"Medium",S1388&gt;=8000,"High")</f>
        <v>Low</v>
      </c>
      <c r="AL1388" t="str" cm="1">
        <f t="array" ref="AL1388">_xlfn.IFS(AF1388&lt;3,"new",AF1388&lt;=7,"Experienced",AF1388&gt;7,"High")</f>
        <v>Experienced</v>
      </c>
      <c r="AM1388" s="1"/>
    </row>
    <row r="1389" spans="1:39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  <c r="AJ1389" t="str">
        <f t="shared" si="21"/>
        <v>Low</v>
      </c>
      <c r="AK1389" t="str" cm="1">
        <f t="array" ref="AK1389">_xlfn.IFS(S1389&lt;4000,"Low",S1389&lt;8000,"Medium",S1389&gt;=8000,"High")</f>
        <v>Medium</v>
      </c>
      <c r="AL1389" t="str" cm="1">
        <f t="array" ref="AL1389">_xlfn.IFS(AF1389&lt;3,"new",AF1389&lt;=7,"Experienced",AF1389&gt;7,"High")</f>
        <v>Experienced</v>
      </c>
      <c r="AM1389" s="1"/>
    </row>
    <row r="1390" spans="1:39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  <c r="AJ1390" t="str">
        <f t="shared" si="21"/>
        <v>High</v>
      </c>
      <c r="AK1390" t="str" cm="1">
        <f t="array" ref="AK1390">_xlfn.IFS(S1390&lt;4000,"Low",S1390&lt;8000,"Medium",S1390&gt;=8000,"High")</f>
        <v>Medium</v>
      </c>
      <c r="AL1390" t="str" cm="1">
        <f t="array" ref="AL1390">_xlfn.IFS(AF1390&lt;3,"new",AF1390&lt;=7,"Experienced",AF1390&gt;7,"High")</f>
        <v>Experienced</v>
      </c>
      <c r="AM1390" s="1"/>
    </row>
    <row r="1391" spans="1:39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  <c r="AJ1391" t="str">
        <f t="shared" si="21"/>
        <v>Low</v>
      </c>
      <c r="AK1391" t="str" cm="1">
        <f t="array" ref="AK1391">_xlfn.IFS(S1391&lt;4000,"Low",S1391&lt;8000,"Medium",S1391&gt;=8000,"High")</f>
        <v>Medium</v>
      </c>
      <c r="AL1391" t="str" cm="1">
        <f t="array" ref="AL1391">_xlfn.IFS(AF1391&lt;3,"new",AF1391&lt;=7,"Experienced",AF1391&gt;7,"High")</f>
        <v>High</v>
      </c>
      <c r="AM1391" s="1"/>
    </row>
    <row r="1392" spans="1:39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  <c r="AJ1392" t="str">
        <f t="shared" si="21"/>
        <v>Low</v>
      </c>
      <c r="AK1392" t="str" cm="1">
        <f t="array" ref="AK1392">_xlfn.IFS(S1392&lt;4000,"Low",S1392&lt;8000,"Medium",S1392&gt;=8000,"High")</f>
        <v>Low</v>
      </c>
      <c r="AL1392" t="str" cm="1">
        <f t="array" ref="AL1392">_xlfn.IFS(AF1392&lt;3,"new",AF1392&lt;=7,"Experienced",AF1392&gt;7,"High")</f>
        <v>Experienced</v>
      </c>
      <c r="AM1392" s="1"/>
    </row>
    <row r="1393" spans="1:39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  <c r="AJ1393" t="str">
        <f t="shared" si="21"/>
        <v>Low</v>
      </c>
      <c r="AK1393" t="str" cm="1">
        <f t="array" ref="AK1393">_xlfn.IFS(S1393&lt;4000,"Low",S1393&lt;8000,"Medium",S1393&gt;=8000,"High")</f>
        <v>Low</v>
      </c>
      <c r="AL1393" t="str" cm="1">
        <f t="array" ref="AL1393">_xlfn.IFS(AF1393&lt;3,"new",AF1393&lt;=7,"Experienced",AF1393&gt;7,"High")</f>
        <v>new</v>
      </c>
      <c r="AM1393" s="1"/>
    </row>
    <row r="1394" spans="1:39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  <c r="AJ1394" t="str">
        <f t="shared" si="21"/>
        <v>Low</v>
      </c>
      <c r="AK1394" t="str" cm="1">
        <f t="array" ref="AK1394">_xlfn.IFS(S1394&lt;4000,"Low",S1394&lt;8000,"Medium",S1394&gt;=8000,"High")</f>
        <v>Medium</v>
      </c>
      <c r="AL1394" t="str" cm="1">
        <f t="array" ref="AL1394">_xlfn.IFS(AF1394&lt;3,"new",AF1394&lt;=7,"Experienced",AF1394&gt;7,"High")</f>
        <v>High</v>
      </c>
      <c r="AM1394" s="1"/>
    </row>
    <row r="1395" spans="1:39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  <c r="AJ1395" t="str">
        <f t="shared" si="21"/>
        <v>Low</v>
      </c>
      <c r="AK1395" t="str" cm="1">
        <f t="array" ref="AK1395">_xlfn.IFS(S1395&lt;4000,"Low",S1395&lt;8000,"Medium",S1395&gt;=8000,"High")</f>
        <v>Medium</v>
      </c>
      <c r="AL1395" t="str" cm="1">
        <f t="array" ref="AL1395">_xlfn.IFS(AF1395&lt;3,"new",AF1395&lt;=7,"Experienced",AF1395&gt;7,"High")</f>
        <v>Experienced</v>
      </c>
      <c r="AM1395" s="1"/>
    </row>
    <row r="1396" spans="1:39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  <c r="AJ1396" t="str">
        <f t="shared" si="21"/>
        <v>High</v>
      </c>
      <c r="AK1396" t="str" cm="1">
        <f t="array" ref="AK1396">_xlfn.IFS(S1396&lt;4000,"Low",S1396&lt;8000,"Medium",S1396&gt;=8000,"High")</f>
        <v>High</v>
      </c>
      <c r="AL1396" t="str" cm="1">
        <f t="array" ref="AL1396">_xlfn.IFS(AF1396&lt;3,"new",AF1396&lt;=7,"Experienced",AF1396&gt;7,"High")</f>
        <v>new</v>
      </c>
      <c r="AM1396" s="1"/>
    </row>
    <row r="1397" spans="1:39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  <c r="AJ1397" t="str">
        <f t="shared" si="21"/>
        <v>Low</v>
      </c>
      <c r="AK1397" t="str" cm="1">
        <f t="array" ref="AK1397">_xlfn.IFS(S1397&lt;4000,"Low",S1397&lt;8000,"Medium",S1397&gt;=8000,"High")</f>
        <v>Medium</v>
      </c>
      <c r="AL1397" t="str" cm="1">
        <f t="array" ref="AL1397">_xlfn.IFS(AF1397&lt;3,"new",AF1397&lt;=7,"Experienced",AF1397&gt;7,"High")</f>
        <v>High</v>
      </c>
      <c r="AM1397" s="1"/>
    </row>
    <row r="1398" spans="1:39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  <c r="AJ1398" t="str">
        <f t="shared" si="21"/>
        <v>High</v>
      </c>
      <c r="AK1398" t="str" cm="1">
        <f t="array" ref="AK1398">_xlfn.IFS(S1398&lt;4000,"Low",S1398&lt;8000,"Medium",S1398&gt;=8000,"High")</f>
        <v>High</v>
      </c>
      <c r="AL1398" t="str" cm="1">
        <f t="array" ref="AL1398">_xlfn.IFS(AF1398&lt;3,"new",AF1398&lt;=7,"Experienced",AF1398&gt;7,"High")</f>
        <v>new</v>
      </c>
      <c r="AM1398" s="1"/>
    </row>
    <row r="1399" spans="1:39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  <c r="AJ1399" t="str">
        <f t="shared" si="21"/>
        <v>Low</v>
      </c>
      <c r="AK1399" t="str" cm="1">
        <f t="array" ref="AK1399">_xlfn.IFS(S1399&lt;4000,"Low",S1399&lt;8000,"Medium",S1399&gt;=8000,"High")</f>
        <v>Low</v>
      </c>
      <c r="AL1399" t="str" cm="1">
        <f t="array" ref="AL1399">_xlfn.IFS(AF1399&lt;3,"new",AF1399&lt;=7,"Experienced",AF1399&gt;7,"High")</f>
        <v>Experienced</v>
      </c>
      <c r="AM1399" s="1"/>
    </row>
    <row r="1400" spans="1:39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  <c r="AJ1400" t="str">
        <f t="shared" si="21"/>
        <v>Low</v>
      </c>
      <c r="AK1400" t="str" cm="1">
        <f t="array" ref="AK1400">_xlfn.IFS(S1400&lt;4000,"Low",S1400&lt;8000,"Medium",S1400&gt;=8000,"High")</f>
        <v>Medium</v>
      </c>
      <c r="AL1400" t="str" cm="1">
        <f t="array" ref="AL1400">_xlfn.IFS(AF1400&lt;3,"new",AF1400&lt;=7,"Experienced",AF1400&gt;7,"High")</f>
        <v>High</v>
      </c>
      <c r="AM1400" s="1"/>
    </row>
    <row r="1401" spans="1:39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  <c r="AJ1401" t="str">
        <f t="shared" si="21"/>
        <v>High</v>
      </c>
      <c r="AK1401" t="str" cm="1">
        <f t="array" ref="AK1401">_xlfn.IFS(S1401&lt;4000,"Low",S1401&lt;8000,"Medium",S1401&gt;=8000,"High")</f>
        <v>Medium</v>
      </c>
      <c r="AL1401" t="str" cm="1">
        <f t="array" ref="AL1401">_xlfn.IFS(AF1401&lt;3,"new",AF1401&lt;=7,"Experienced",AF1401&gt;7,"High")</f>
        <v>High</v>
      </c>
      <c r="AM1401" s="1"/>
    </row>
    <row r="1402" spans="1:39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  <c r="AJ1402" t="str">
        <f t="shared" si="21"/>
        <v>Low</v>
      </c>
      <c r="AK1402" t="str" cm="1">
        <f t="array" ref="AK1402">_xlfn.IFS(S1402&lt;4000,"Low",S1402&lt;8000,"Medium",S1402&gt;=8000,"High")</f>
        <v>Low</v>
      </c>
      <c r="AL1402" t="str" cm="1">
        <f t="array" ref="AL1402">_xlfn.IFS(AF1402&lt;3,"new",AF1402&lt;=7,"Experienced",AF1402&gt;7,"High")</f>
        <v>Experienced</v>
      </c>
      <c r="AM1402" s="1"/>
    </row>
    <row r="1403" spans="1:39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  <c r="AJ1403" t="str">
        <f t="shared" si="21"/>
        <v>High</v>
      </c>
      <c r="AK1403" t="str" cm="1">
        <f t="array" ref="AK1403">_xlfn.IFS(S1403&lt;4000,"Low",S1403&lt;8000,"Medium",S1403&gt;=8000,"High")</f>
        <v>High</v>
      </c>
      <c r="AL1403" t="str" cm="1">
        <f t="array" ref="AL1403">_xlfn.IFS(AF1403&lt;3,"new",AF1403&lt;=7,"Experienced",AF1403&gt;7,"High")</f>
        <v>High</v>
      </c>
      <c r="AM1403" s="1"/>
    </row>
    <row r="1404" spans="1:39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  <c r="AJ1404" t="str">
        <f t="shared" si="21"/>
        <v>Low</v>
      </c>
      <c r="AK1404" t="str" cm="1">
        <f t="array" ref="AK1404">_xlfn.IFS(S1404&lt;4000,"Low",S1404&lt;8000,"Medium",S1404&gt;=8000,"High")</f>
        <v>Low</v>
      </c>
      <c r="AL1404" t="str" cm="1">
        <f t="array" ref="AL1404">_xlfn.IFS(AF1404&lt;3,"new",AF1404&lt;=7,"Experienced",AF1404&gt;7,"High")</f>
        <v>new</v>
      </c>
      <c r="AM1404" s="1"/>
    </row>
    <row r="1405" spans="1:39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  <c r="AJ1405" t="str">
        <f t="shared" si="21"/>
        <v>High</v>
      </c>
      <c r="AK1405" t="str" cm="1">
        <f t="array" ref="AK1405">_xlfn.IFS(S1405&lt;4000,"Low",S1405&lt;8000,"Medium",S1405&gt;=8000,"High")</f>
        <v>High</v>
      </c>
      <c r="AL1405" t="str" cm="1">
        <f t="array" ref="AL1405">_xlfn.IFS(AF1405&lt;3,"new",AF1405&lt;=7,"Experienced",AF1405&gt;7,"High")</f>
        <v>High</v>
      </c>
      <c r="AM1405" s="1"/>
    </row>
    <row r="1406" spans="1:39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  <c r="AJ1406" t="str">
        <f t="shared" si="21"/>
        <v>Low</v>
      </c>
      <c r="AK1406" t="str" cm="1">
        <f t="array" ref="AK1406">_xlfn.IFS(S1406&lt;4000,"Low",S1406&lt;8000,"Medium",S1406&gt;=8000,"High")</f>
        <v>Medium</v>
      </c>
      <c r="AL1406" t="str" cm="1">
        <f t="array" ref="AL1406">_xlfn.IFS(AF1406&lt;3,"new",AF1406&lt;=7,"Experienced",AF1406&gt;7,"High")</f>
        <v>High</v>
      </c>
      <c r="AM1406" s="1"/>
    </row>
    <row r="1407" spans="1:39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  <c r="AJ1407" t="str">
        <f t="shared" si="21"/>
        <v>High</v>
      </c>
      <c r="AK1407" t="str" cm="1">
        <f t="array" ref="AK1407">_xlfn.IFS(S1407&lt;4000,"Low",S1407&lt;8000,"Medium",S1407&gt;=8000,"High")</f>
        <v>High</v>
      </c>
      <c r="AL1407" t="str" cm="1">
        <f t="array" ref="AL1407">_xlfn.IFS(AF1407&lt;3,"new",AF1407&lt;=7,"Experienced",AF1407&gt;7,"High")</f>
        <v>High</v>
      </c>
      <c r="AM1407" s="1"/>
    </row>
    <row r="1408" spans="1:39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  <c r="AJ1408" t="str">
        <f t="shared" si="21"/>
        <v>Low</v>
      </c>
      <c r="AK1408" t="str" cm="1">
        <f t="array" ref="AK1408">_xlfn.IFS(S1408&lt;4000,"Low",S1408&lt;8000,"Medium",S1408&gt;=8000,"High")</f>
        <v>Medium</v>
      </c>
      <c r="AL1408" t="str" cm="1">
        <f t="array" ref="AL1408">_xlfn.IFS(AF1408&lt;3,"new",AF1408&lt;=7,"Experienced",AF1408&gt;7,"High")</f>
        <v>Experienced</v>
      </c>
      <c r="AM1408" s="1"/>
    </row>
    <row r="1409" spans="1:39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  <c r="AJ1409" t="str">
        <f t="shared" si="21"/>
        <v>Low</v>
      </c>
      <c r="AK1409" t="str" cm="1">
        <f t="array" ref="AK1409">_xlfn.IFS(S1409&lt;4000,"Low",S1409&lt;8000,"Medium",S1409&gt;=8000,"High")</f>
        <v>Medium</v>
      </c>
      <c r="AL1409" t="str" cm="1">
        <f t="array" ref="AL1409">_xlfn.IFS(AF1409&lt;3,"new",AF1409&lt;=7,"Experienced",AF1409&gt;7,"High")</f>
        <v>Experienced</v>
      </c>
      <c r="AM1409" s="1"/>
    </row>
    <row r="1410" spans="1:39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  <c r="AJ1410" t="str">
        <f t="shared" ref="AJ1410:AJ1471" si="22">IF(S1410&gt;=6500,"High","Low")</f>
        <v>Low</v>
      </c>
      <c r="AK1410" t="str" cm="1">
        <f t="array" ref="AK1410">_xlfn.IFS(S1410&lt;4000,"Low",S1410&lt;8000,"Medium",S1410&gt;=8000,"High")</f>
        <v>Low</v>
      </c>
      <c r="AL1410" t="str" cm="1">
        <f t="array" ref="AL1410">_xlfn.IFS(AF1410&lt;3,"new",AF1410&lt;=7,"Experienced",AF1410&gt;7,"High")</f>
        <v>Experienced</v>
      </c>
      <c r="AM1410" s="1"/>
    </row>
    <row r="1411" spans="1:39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  <c r="AJ1411" t="str">
        <f t="shared" si="22"/>
        <v>Low</v>
      </c>
      <c r="AK1411" t="str" cm="1">
        <f t="array" ref="AK1411">_xlfn.IFS(S1411&lt;4000,"Low",S1411&lt;8000,"Medium",S1411&gt;=8000,"High")</f>
        <v>Medium</v>
      </c>
      <c r="AL1411" t="str" cm="1">
        <f t="array" ref="AL1411">_xlfn.IFS(AF1411&lt;3,"new",AF1411&lt;=7,"Experienced",AF1411&gt;7,"High")</f>
        <v>High</v>
      </c>
      <c r="AM1411" s="1"/>
    </row>
    <row r="1412" spans="1:39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  <c r="AJ1412" t="str">
        <f t="shared" si="22"/>
        <v>Low</v>
      </c>
      <c r="AK1412" t="str" cm="1">
        <f t="array" ref="AK1412">_xlfn.IFS(S1412&lt;4000,"Low",S1412&lt;8000,"Medium",S1412&gt;=8000,"High")</f>
        <v>Medium</v>
      </c>
      <c r="AL1412" t="str" cm="1">
        <f t="array" ref="AL1412">_xlfn.IFS(AF1412&lt;3,"new",AF1412&lt;=7,"Experienced",AF1412&gt;7,"High")</f>
        <v>High</v>
      </c>
      <c r="AM1412" s="1"/>
    </row>
    <row r="1413" spans="1:39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  <c r="AJ1413" t="str">
        <f t="shared" si="22"/>
        <v>Low</v>
      </c>
      <c r="AK1413" t="str" cm="1">
        <f t="array" ref="AK1413">_xlfn.IFS(S1413&lt;4000,"Low",S1413&lt;8000,"Medium",S1413&gt;=8000,"High")</f>
        <v>Low</v>
      </c>
      <c r="AL1413" t="str" cm="1">
        <f t="array" ref="AL1413">_xlfn.IFS(AF1413&lt;3,"new",AF1413&lt;=7,"Experienced",AF1413&gt;7,"High")</f>
        <v>new</v>
      </c>
      <c r="AM1413" s="1"/>
    </row>
    <row r="1414" spans="1:39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  <c r="AJ1414" t="str">
        <f t="shared" si="22"/>
        <v>Low</v>
      </c>
      <c r="AK1414" t="str" cm="1">
        <f t="array" ref="AK1414">_xlfn.IFS(S1414&lt;4000,"Low",S1414&lt;8000,"Medium",S1414&gt;=8000,"High")</f>
        <v>Low</v>
      </c>
      <c r="AL1414" t="str" cm="1">
        <f t="array" ref="AL1414">_xlfn.IFS(AF1414&lt;3,"new",AF1414&lt;=7,"Experienced",AF1414&gt;7,"High")</f>
        <v>High</v>
      </c>
      <c r="AM1414" s="1"/>
    </row>
    <row r="1415" spans="1:39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  <c r="AJ1415" t="str">
        <f t="shared" si="22"/>
        <v>Low</v>
      </c>
      <c r="AK1415" t="str" cm="1">
        <f t="array" ref="AK1415">_xlfn.IFS(S1415&lt;4000,"Low",S1415&lt;8000,"Medium",S1415&gt;=8000,"High")</f>
        <v>Low</v>
      </c>
      <c r="AL1415" t="str" cm="1">
        <f t="array" ref="AL1415">_xlfn.IFS(AF1415&lt;3,"new",AF1415&lt;=7,"Experienced",AF1415&gt;7,"High")</f>
        <v>new</v>
      </c>
      <c r="AM1415" s="1"/>
    </row>
    <row r="1416" spans="1:39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  <c r="AJ1416" t="str">
        <f t="shared" si="22"/>
        <v>High</v>
      </c>
      <c r="AK1416" t="str" cm="1">
        <f t="array" ref="AK1416">_xlfn.IFS(S1416&lt;4000,"Low",S1416&lt;8000,"Medium",S1416&gt;=8000,"High")</f>
        <v>High</v>
      </c>
      <c r="AL1416" t="str" cm="1">
        <f t="array" ref="AL1416">_xlfn.IFS(AF1416&lt;3,"new",AF1416&lt;=7,"Experienced",AF1416&gt;7,"High")</f>
        <v>High</v>
      </c>
      <c r="AM1416" s="1"/>
    </row>
    <row r="1417" spans="1:39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  <c r="AJ1417" t="str">
        <f t="shared" si="22"/>
        <v>Low</v>
      </c>
      <c r="AK1417" t="str" cm="1">
        <f t="array" ref="AK1417">_xlfn.IFS(S1417&lt;4000,"Low",S1417&lt;8000,"Medium",S1417&gt;=8000,"High")</f>
        <v>Low</v>
      </c>
      <c r="AL1417" t="str" cm="1">
        <f t="array" ref="AL1417">_xlfn.IFS(AF1417&lt;3,"new",AF1417&lt;=7,"Experienced",AF1417&gt;7,"High")</f>
        <v>new</v>
      </c>
      <c r="AM1417" s="1"/>
    </row>
    <row r="1418" spans="1:39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  <c r="AJ1418" t="str">
        <f t="shared" si="22"/>
        <v>Low</v>
      </c>
      <c r="AK1418" t="str" cm="1">
        <f t="array" ref="AK1418">_xlfn.IFS(S1418&lt;4000,"Low",S1418&lt;8000,"Medium",S1418&gt;=8000,"High")</f>
        <v>Medium</v>
      </c>
      <c r="AL1418" t="str" cm="1">
        <f t="array" ref="AL1418">_xlfn.IFS(AF1418&lt;3,"new",AF1418&lt;=7,"Experienced",AF1418&gt;7,"High")</f>
        <v>High</v>
      </c>
      <c r="AM1418" s="1"/>
    </row>
    <row r="1419" spans="1:39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  <c r="AJ1419" t="str">
        <f t="shared" si="22"/>
        <v>Low</v>
      </c>
      <c r="AK1419" t="str" cm="1">
        <f t="array" ref="AK1419">_xlfn.IFS(S1419&lt;4000,"Low",S1419&lt;8000,"Medium",S1419&gt;=8000,"High")</f>
        <v>Low</v>
      </c>
      <c r="AL1419" t="str" cm="1">
        <f t="array" ref="AL1419">_xlfn.IFS(AF1419&lt;3,"new",AF1419&lt;=7,"Experienced",AF1419&gt;7,"High")</f>
        <v>new</v>
      </c>
      <c r="AM1419" s="1"/>
    </row>
    <row r="1420" spans="1:39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  <c r="AJ1420" t="str">
        <f t="shared" si="22"/>
        <v>Low</v>
      </c>
      <c r="AK1420" t="str" cm="1">
        <f t="array" ref="AK1420">_xlfn.IFS(S1420&lt;4000,"Low",S1420&lt;8000,"Medium",S1420&gt;=8000,"High")</f>
        <v>Medium</v>
      </c>
      <c r="AL1420" t="str" cm="1">
        <f t="array" ref="AL1420">_xlfn.IFS(AF1420&lt;3,"new",AF1420&lt;=7,"Experienced",AF1420&gt;7,"High")</f>
        <v>High</v>
      </c>
      <c r="AM1420" s="1"/>
    </row>
    <row r="1421" spans="1:39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  <c r="AJ1421" t="str">
        <f t="shared" si="22"/>
        <v>Low</v>
      </c>
      <c r="AK1421" t="str" cm="1">
        <f t="array" ref="AK1421">_xlfn.IFS(S1421&lt;4000,"Low",S1421&lt;8000,"Medium",S1421&gt;=8000,"High")</f>
        <v>Medium</v>
      </c>
      <c r="AL1421" t="str" cm="1">
        <f t="array" ref="AL1421">_xlfn.IFS(AF1421&lt;3,"new",AF1421&lt;=7,"Experienced",AF1421&gt;7,"High")</f>
        <v>Experienced</v>
      </c>
      <c r="AM1421" s="1"/>
    </row>
    <row r="1422" spans="1:39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  <c r="AJ1422" t="str">
        <f t="shared" si="22"/>
        <v>Low</v>
      </c>
      <c r="AK1422" t="str" cm="1">
        <f t="array" ref="AK1422">_xlfn.IFS(S1422&lt;4000,"Low",S1422&lt;8000,"Medium",S1422&gt;=8000,"High")</f>
        <v>Low</v>
      </c>
      <c r="AL1422" t="str" cm="1">
        <f t="array" ref="AL1422">_xlfn.IFS(AF1422&lt;3,"new",AF1422&lt;=7,"Experienced",AF1422&gt;7,"High")</f>
        <v>Experienced</v>
      </c>
      <c r="AM1422" s="1"/>
    </row>
    <row r="1423" spans="1:39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  <c r="AJ1423" t="str">
        <f t="shared" si="22"/>
        <v>High</v>
      </c>
      <c r="AK1423" t="str" cm="1">
        <f t="array" ref="AK1423">_xlfn.IFS(S1423&lt;4000,"Low",S1423&lt;8000,"Medium",S1423&gt;=8000,"High")</f>
        <v>High</v>
      </c>
      <c r="AL1423" t="str" cm="1">
        <f t="array" ref="AL1423">_xlfn.IFS(AF1423&lt;3,"new",AF1423&lt;=7,"Experienced",AF1423&gt;7,"High")</f>
        <v>High</v>
      </c>
      <c r="AM1423" s="1"/>
    </row>
    <row r="1424" spans="1:39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  <c r="AJ1424" t="str">
        <f t="shared" si="22"/>
        <v>Low</v>
      </c>
      <c r="AK1424" t="str" cm="1">
        <f t="array" ref="AK1424">_xlfn.IFS(S1424&lt;4000,"Low",S1424&lt;8000,"Medium",S1424&gt;=8000,"High")</f>
        <v>Low</v>
      </c>
      <c r="AL1424" t="str" cm="1">
        <f t="array" ref="AL1424">_xlfn.IFS(AF1424&lt;3,"new",AF1424&lt;=7,"Experienced",AF1424&gt;7,"High")</f>
        <v>new</v>
      </c>
      <c r="AM1424" s="1"/>
    </row>
    <row r="1425" spans="1:39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  <c r="AJ1425" t="str">
        <f t="shared" si="22"/>
        <v>Low</v>
      </c>
      <c r="AK1425" t="str" cm="1">
        <f t="array" ref="AK1425">_xlfn.IFS(S1425&lt;4000,"Low",S1425&lt;8000,"Medium",S1425&gt;=8000,"High")</f>
        <v>Low</v>
      </c>
      <c r="AL1425" t="str" cm="1">
        <f t="array" ref="AL1425">_xlfn.IFS(AF1425&lt;3,"new",AF1425&lt;=7,"Experienced",AF1425&gt;7,"High")</f>
        <v>Experienced</v>
      </c>
      <c r="AM1425" s="1"/>
    </row>
    <row r="1426" spans="1:39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  <c r="AJ1426" t="str">
        <f t="shared" si="22"/>
        <v>Low</v>
      </c>
      <c r="AK1426" t="str" cm="1">
        <f t="array" ref="AK1426">_xlfn.IFS(S1426&lt;4000,"Low",S1426&lt;8000,"Medium",S1426&gt;=8000,"High")</f>
        <v>Medium</v>
      </c>
      <c r="AL1426" t="str" cm="1">
        <f t="array" ref="AL1426">_xlfn.IFS(AF1426&lt;3,"new",AF1426&lt;=7,"Experienced",AF1426&gt;7,"High")</f>
        <v>High</v>
      </c>
      <c r="AM1426" s="1"/>
    </row>
    <row r="1427" spans="1:39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  <c r="AJ1427" t="str">
        <f t="shared" si="22"/>
        <v>Low</v>
      </c>
      <c r="AK1427" t="str" cm="1">
        <f t="array" ref="AK1427">_xlfn.IFS(S1427&lt;4000,"Low",S1427&lt;8000,"Medium",S1427&gt;=8000,"High")</f>
        <v>Medium</v>
      </c>
      <c r="AL1427" t="str" cm="1">
        <f t="array" ref="AL1427">_xlfn.IFS(AF1427&lt;3,"new",AF1427&lt;=7,"Experienced",AF1427&gt;7,"High")</f>
        <v>High</v>
      </c>
      <c r="AM1427" s="1"/>
    </row>
    <row r="1428" spans="1:39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  <c r="AJ1428" t="str">
        <f t="shared" si="22"/>
        <v>Low</v>
      </c>
      <c r="AK1428" t="str" cm="1">
        <f t="array" ref="AK1428">_xlfn.IFS(S1428&lt;4000,"Low",S1428&lt;8000,"Medium",S1428&gt;=8000,"High")</f>
        <v>Low</v>
      </c>
      <c r="AL1428" t="str" cm="1">
        <f t="array" ref="AL1428">_xlfn.IFS(AF1428&lt;3,"new",AF1428&lt;=7,"Experienced",AF1428&gt;7,"High")</f>
        <v>Experienced</v>
      </c>
      <c r="AM1428" s="1"/>
    </row>
    <row r="1429" spans="1:39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  <c r="AJ1429" t="str">
        <f t="shared" si="22"/>
        <v>Low</v>
      </c>
      <c r="AK1429" t="str" cm="1">
        <f t="array" ref="AK1429">_xlfn.IFS(S1429&lt;4000,"Low",S1429&lt;8000,"Medium",S1429&gt;=8000,"High")</f>
        <v>Low</v>
      </c>
      <c r="AL1429" t="str" cm="1">
        <f t="array" ref="AL1429">_xlfn.IFS(AF1429&lt;3,"new",AF1429&lt;=7,"Experienced",AF1429&gt;7,"High")</f>
        <v>new</v>
      </c>
      <c r="AM1429" s="1"/>
    </row>
    <row r="1430" spans="1:39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  <c r="AJ1430" t="str">
        <f t="shared" si="22"/>
        <v>Low</v>
      </c>
      <c r="AK1430" t="str" cm="1">
        <f t="array" ref="AK1430">_xlfn.IFS(S1430&lt;4000,"Low",S1430&lt;8000,"Medium",S1430&gt;=8000,"High")</f>
        <v>Low</v>
      </c>
      <c r="AL1430" t="str" cm="1">
        <f t="array" ref="AL1430">_xlfn.IFS(AF1430&lt;3,"new",AF1430&lt;=7,"Experienced",AF1430&gt;7,"High")</f>
        <v>new</v>
      </c>
      <c r="AM1430" s="1"/>
    </row>
    <row r="1431" spans="1:39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  <c r="AJ1431" t="str">
        <f t="shared" si="22"/>
        <v>Low</v>
      </c>
      <c r="AK1431" t="str" cm="1">
        <f t="array" ref="AK1431">_xlfn.IFS(S1431&lt;4000,"Low",S1431&lt;8000,"Medium",S1431&gt;=8000,"High")</f>
        <v>Medium</v>
      </c>
      <c r="AL1431" t="str" cm="1">
        <f t="array" ref="AL1431">_xlfn.IFS(AF1431&lt;3,"new",AF1431&lt;=7,"Experienced",AF1431&gt;7,"High")</f>
        <v>Experienced</v>
      </c>
      <c r="AM1431" s="1"/>
    </row>
    <row r="1432" spans="1:39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  <c r="AJ1432" t="str">
        <f t="shared" si="22"/>
        <v>High</v>
      </c>
      <c r="AK1432" t="str" cm="1">
        <f t="array" ref="AK1432">_xlfn.IFS(S1432&lt;4000,"Low",S1432&lt;8000,"Medium",S1432&gt;=8000,"High")</f>
        <v>High</v>
      </c>
      <c r="AL1432" t="str" cm="1">
        <f t="array" ref="AL1432">_xlfn.IFS(AF1432&lt;3,"new",AF1432&lt;=7,"Experienced",AF1432&gt;7,"High")</f>
        <v>High</v>
      </c>
      <c r="AM1432" s="1"/>
    </row>
    <row r="1433" spans="1:39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  <c r="AJ1433" t="str">
        <f t="shared" si="22"/>
        <v>High</v>
      </c>
      <c r="AK1433" t="str" cm="1">
        <f t="array" ref="AK1433">_xlfn.IFS(S1433&lt;4000,"Low",S1433&lt;8000,"Medium",S1433&gt;=8000,"High")</f>
        <v>High</v>
      </c>
      <c r="AL1433" t="str" cm="1">
        <f t="array" ref="AL1433">_xlfn.IFS(AF1433&lt;3,"new",AF1433&lt;=7,"Experienced",AF1433&gt;7,"High")</f>
        <v>High</v>
      </c>
      <c r="AM1433" s="1"/>
    </row>
    <row r="1434" spans="1:39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  <c r="AJ1434" t="str">
        <f t="shared" si="22"/>
        <v>High</v>
      </c>
      <c r="AK1434" t="str" cm="1">
        <f t="array" ref="AK1434">_xlfn.IFS(S1434&lt;4000,"Low",S1434&lt;8000,"Medium",S1434&gt;=8000,"High")</f>
        <v>High</v>
      </c>
      <c r="AL1434" t="str" cm="1">
        <f t="array" ref="AL1434">_xlfn.IFS(AF1434&lt;3,"new",AF1434&lt;=7,"Experienced",AF1434&gt;7,"High")</f>
        <v>High</v>
      </c>
      <c r="AM1434" s="1"/>
    </row>
    <row r="1435" spans="1:39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  <c r="AJ1435" t="str">
        <f t="shared" si="22"/>
        <v>Low</v>
      </c>
      <c r="AK1435" t="str" cm="1">
        <f t="array" ref="AK1435">_xlfn.IFS(S1435&lt;4000,"Low",S1435&lt;8000,"Medium",S1435&gt;=8000,"High")</f>
        <v>Medium</v>
      </c>
      <c r="AL1435" t="str" cm="1">
        <f t="array" ref="AL1435">_xlfn.IFS(AF1435&lt;3,"new",AF1435&lt;=7,"Experienced",AF1435&gt;7,"High")</f>
        <v>Experienced</v>
      </c>
      <c r="AM1435" s="1"/>
    </row>
    <row r="1436" spans="1:39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  <c r="AJ1436" t="str">
        <f t="shared" si="22"/>
        <v>Low</v>
      </c>
      <c r="AK1436" t="str" cm="1">
        <f t="array" ref="AK1436">_xlfn.IFS(S1436&lt;4000,"Low",S1436&lt;8000,"Medium",S1436&gt;=8000,"High")</f>
        <v>Low</v>
      </c>
      <c r="AL1436" t="str" cm="1">
        <f t="array" ref="AL1436">_xlfn.IFS(AF1436&lt;3,"new",AF1436&lt;=7,"Experienced",AF1436&gt;7,"High")</f>
        <v>High</v>
      </c>
      <c r="AM1436" s="1"/>
    </row>
    <row r="1437" spans="1:39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  <c r="AJ1437" t="str">
        <f t="shared" si="22"/>
        <v>Low</v>
      </c>
      <c r="AK1437" t="str" cm="1">
        <f t="array" ref="AK1437">_xlfn.IFS(S1437&lt;4000,"Low",S1437&lt;8000,"Medium",S1437&gt;=8000,"High")</f>
        <v>Low</v>
      </c>
      <c r="AL1437" t="str" cm="1">
        <f t="array" ref="AL1437">_xlfn.IFS(AF1437&lt;3,"new",AF1437&lt;=7,"Experienced",AF1437&gt;7,"High")</f>
        <v>Experienced</v>
      </c>
      <c r="AM1437" s="1"/>
    </row>
    <row r="1438" spans="1:39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  <c r="AJ1438" t="str">
        <f t="shared" si="22"/>
        <v>Low</v>
      </c>
      <c r="AK1438" t="str" cm="1">
        <f t="array" ref="AK1438">_xlfn.IFS(S1438&lt;4000,"Low",S1438&lt;8000,"Medium",S1438&gt;=8000,"High")</f>
        <v>Low</v>
      </c>
      <c r="AL1438" t="str" cm="1">
        <f t="array" ref="AL1438">_xlfn.IFS(AF1438&lt;3,"new",AF1438&lt;=7,"Experienced",AF1438&gt;7,"High")</f>
        <v>new</v>
      </c>
      <c r="AM1438" s="1"/>
    </row>
    <row r="1439" spans="1:39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  <c r="AJ1439" t="str">
        <f t="shared" si="22"/>
        <v>High</v>
      </c>
      <c r="AK1439" t="str" cm="1">
        <f t="array" ref="AK1439">_xlfn.IFS(S1439&lt;4000,"Low",S1439&lt;8000,"Medium",S1439&gt;=8000,"High")</f>
        <v>High</v>
      </c>
      <c r="AL1439" t="str" cm="1">
        <f t="array" ref="AL1439">_xlfn.IFS(AF1439&lt;3,"new",AF1439&lt;=7,"Experienced",AF1439&gt;7,"High")</f>
        <v>Experienced</v>
      </c>
      <c r="AM1439" s="1"/>
    </row>
    <row r="1440" spans="1:39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  <c r="AJ1440" t="str">
        <f t="shared" si="22"/>
        <v>Low</v>
      </c>
      <c r="AK1440" t="str" cm="1">
        <f t="array" ref="AK1440">_xlfn.IFS(S1440&lt;4000,"Low",S1440&lt;8000,"Medium",S1440&gt;=8000,"High")</f>
        <v>Low</v>
      </c>
      <c r="AL1440" t="str" cm="1">
        <f t="array" ref="AL1440">_xlfn.IFS(AF1440&lt;3,"new",AF1440&lt;=7,"Experienced",AF1440&gt;7,"High")</f>
        <v>new</v>
      </c>
      <c r="AM1440" s="1"/>
    </row>
    <row r="1441" spans="1:39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  <c r="AJ1441" t="str">
        <f t="shared" si="22"/>
        <v>High</v>
      </c>
      <c r="AK1441" t="str" cm="1">
        <f t="array" ref="AK1441">_xlfn.IFS(S1441&lt;4000,"Low",S1441&lt;8000,"Medium",S1441&gt;=8000,"High")</f>
        <v>Medium</v>
      </c>
      <c r="AL1441" t="str" cm="1">
        <f t="array" ref="AL1441">_xlfn.IFS(AF1441&lt;3,"new",AF1441&lt;=7,"Experienced",AF1441&gt;7,"High")</f>
        <v>High</v>
      </c>
      <c r="AM1441" s="1"/>
    </row>
    <row r="1442" spans="1:39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  <c r="AJ1442" t="str">
        <f t="shared" si="22"/>
        <v>Low</v>
      </c>
      <c r="AK1442" t="str" cm="1">
        <f t="array" ref="AK1442">_xlfn.IFS(S1442&lt;4000,"Low",S1442&lt;8000,"Medium",S1442&gt;=8000,"High")</f>
        <v>Medium</v>
      </c>
      <c r="AL1442" t="str" cm="1">
        <f t="array" ref="AL1442">_xlfn.IFS(AF1442&lt;3,"new",AF1442&lt;=7,"Experienced",AF1442&gt;7,"High")</f>
        <v>Experienced</v>
      </c>
      <c r="AM1442" s="1"/>
    </row>
    <row r="1443" spans="1:39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  <c r="AJ1443" t="str">
        <f t="shared" si="22"/>
        <v>Low</v>
      </c>
      <c r="AK1443" t="str" cm="1">
        <f t="array" ref="AK1443">_xlfn.IFS(S1443&lt;4000,"Low",S1443&lt;8000,"Medium",S1443&gt;=8000,"High")</f>
        <v>Medium</v>
      </c>
      <c r="AL1443" t="str" cm="1">
        <f t="array" ref="AL1443">_xlfn.IFS(AF1443&lt;3,"new",AF1443&lt;=7,"Experienced",AF1443&gt;7,"High")</f>
        <v>High</v>
      </c>
      <c r="AM1443" s="1"/>
    </row>
    <row r="1444" spans="1:39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  <c r="AJ1444" t="str">
        <f t="shared" si="22"/>
        <v>Low</v>
      </c>
      <c r="AK1444" t="str" cm="1">
        <f t="array" ref="AK1444">_xlfn.IFS(S1444&lt;4000,"Low",S1444&lt;8000,"Medium",S1444&gt;=8000,"High")</f>
        <v>Medium</v>
      </c>
      <c r="AL1444" t="str" cm="1">
        <f t="array" ref="AL1444">_xlfn.IFS(AF1444&lt;3,"new",AF1444&lt;=7,"Experienced",AF1444&gt;7,"High")</f>
        <v>new</v>
      </c>
      <c r="AM1444" s="1"/>
    </row>
    <row r="1445" spans="1:39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  <c r="AJ1445" t="str">
        <f t="shared" si="22"/>
        <v>High</v>
      </c>
      <c r="AK1445" t="str" cm="1">
        <f t="array" ref="AK1445">_xlfn.IFS(S1445&lt;4000,"Low",S1445&lt;8000,"Medium",S1445&gt;=8000,"High")</f>
        <v>High</v>
      </c>
      <c r="AL1445" t="str" cm="1">
        <f t="array" ref="AL1445">_xlfn.IFS(AF1445&lt;3,"new",AF1445&lt;=7,"Experienced",AF1445&gt;7,"High")</f>
        <v>High</v>
      </c>
      <c r="AM1445" s="1"/>
    </row>
    <row r="1446" spans="1:39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  <c r="AJ1446" t="str">
        <f t="shared" si="22"/>
        <v>Low</v>
      </c>
      <c r="AK1446" t="str" cm="1">
        <f t="array" ref="AK1446">_xlfn.IFS(S1446&lt;4000,"Low",S1446&lt;8000,"Medium",S1446&gt;=8000,"High")</f>
        <v>Low</v>
      </c>
      <c r="AL1446" t="str" cm="1">
        <f t="array" ref="AL1446">_xlfn.IFS(AF1446&lt;3,"new",AF1446&lt;=7,"Experienced",AF1446&gt;7,"High")</f>
        <v>High</v>
      </c>
      <c r="AM1446" s="1"/>
    </row>
    <row r="1447" spans="1:39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  <c r="AJ1447" t="str">
        <f t="shared" si="22"/>
        <v>High</v>
      </c>
      <c r="AK1447" t="str" cm="1">
        <f t="array" ref="AK1447">_xlfn.IFS(S1447&lt;4000,"Low",S1447&lt;8000,"Medium",S1447&gt;=8000,"High")</f>
        <v>High</v>
      </c>
      <c r="AL1447" t="str" cm="1">
        <f t="array" ref="AL1447">_xlfn.IFS(AF1447&lt;3,"new",AF1447&lt;=7,"Experienced",AF1447&gt;7,"High")</f>
        <v>High</v>
      </c>
      <c r="AM1447" s="1"/>
    </row>
    <row r="1448" spans="1:39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  <c r="AJ1448" t="str">
        <f t="shared" si="22"/>
        <v>High</v>
      </c>
      <c r="AK1448" t="str" cm="1">
        <f t="array" ref="AK1448">_xlfn.IFS(S1448&lt;4000,"Low",S1448&lt;8000,"Medium",S1448&gt;=8000,"High")</f>
        <v>Medium</v>
      </c>
      <c r="AL1448" t="str" cm="1">
        <f t="array" ref="AL1448">_xlfn.IFS(AF1448&lt;3,"new",AF1448&lt;=7,"Experienced",AF1448&gt;7,"High")</f>
        <v>High</v>
      </c>
      <c r="AM1448" s="1"/>
    </row>
    <row r="1449" spans="1:39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  <c r="AJ1449" t="str">
        <f t="shared" si="22"/>
        <v>Low</v>
      </c>
      <c r="AK1449" t="str" cm="1">
        <f t="array" ref="AK1449">_xlfn.IFS(S1449&lt;4000,"Low",S1449&lt;8000,"Medium",S1449&gt;=8000,"High")</f>
        <v>Medium</v>
      </c>
      <c r="AL1449" t="str" cm="1">
        <f t="array" ref="AL1449">_xlfn.IFS(AF1449&lt;3,"new",AF1449&lt;=7,"Experienced",AF1449&gt;7,"High")</f>
        <v>High</v>
      </c>
      <c r="AM1449" s="1"/>
    </row>
    <row r="1450" spans="1:39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  <c r="AJ1450" t="str">
        <f t="shared" si="22"/>
        <v>High</v>
      </c>
      <c r="AK1450" t="str" cm="1">
        <f t="array" ref="AK1450">_xlfn.IFS(S1450&lt;4000,"Low",S1450&lt;8000,"Medium",S1450&gt;=8000,"High")</f>
        <v>High</v>
      </c>
      <c r="AL1450" t="str" cm="1">
        <f t="array" ref="AL1450">_xlfn.IFS(AF1450&lt;3,"new",AF1450&lt;=7,"Experienced",AF1450&gt;7,"High")</f>
        <v>Experienced</v>
      </c>
      <c r="AM1450" s="1"/>
    </row>
    <row r="1451" spans="1:39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  <c r="AJ1451" t="str">
        <f t="shared" si="22"/>
        <v>Low</v>
      </c>
      <c r="AK1451" t="str" cm="1">
        <f t="array" ref="AK1451">_xlfn.IFS(S1451&lt;4000,"Low",S1451&lt;8000,"Medium",S1451&gt;=8000,"High")</f>
        <v>Low</v>
      </c>
      <c r="AL1451" t="str" cm="1">
        <f t="array" ref="AL1451">_xlfn.IFS(AF1451&lt;3,"new",AF1451&lt;=7,"Experienced",AF1451&gt;7,"High")</f>
        <v>Experienced</v>
      </c>
      <c r="AM1451" s="1"/>
    </row>
    <row r="1452" spans="1:39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  <c r="AJ1452" t="str">
        <f t="shared" si="22"/>
        <v>High</v>
      </c>
      <c r="AK1452" t="str" cm="1">
        <f t="array" ref="AK1452">_xlfn.IFS(S1452&lt;4000,"Low",S1452&lt;8000,"Medium",S1452&gt;=8000,"High")</f>
        <v>High</v>
      </c>
      <c r="AL1452" t="str" cm="1">
        <f t="array" ref="AL1452">_xlfn.IFS(AF1452&lt;3,"new",AF1452&lt;=7,"Experienced",AF1452&gt;7,"High")</f>
        <v>High</v>
      </c>
      <c r="AM1452" s="1"/>
    </row>
    <row r="1453" spans="1:39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  <c r="AJ1453" t="str">
        <f t="shared" si="22"/>
        <v>Low</v>
      </c>
      <c r="AK1453" t="str" cm="1">
        <f t="array" ref="AK1453">_xlfn.IFS(S1453&lt;4000,"Low",S1453&lt;8000,"Medium",S1453&gt;=8000,"High")</f>
        <v>Medium</v>
      </c>
      <c r="AL1453" t="str" cm="1">
        <f t="array" ref="AL1453">_xlfn.IFS(AF1453&lt;3,"new",AF1453&lt;=7,"Experienced",AF1453&gt;7,"High")</f>
        <v>High</v>
      </c>
      <c r="AM1453" s="1"/>
    </row>
    <row r="1454" spans="1:39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  <c r="AJ1454" t="str">
        <f t="shared" si="22"/>
        <v>High</v>
      </c>
      <c r="AK1454" t="str" cm="1">
        <f t="array" ref="AK1454">_xlfn.IFS(S1454&lt;4000,"Low",S1454&lt;8000,"Medium",S1454&gt;=8000,"High")</f>
        <v>Medium</v>
      </c>
      <c r="AL1454" t="str" cm="1">
        <f t="array" ref="AL1454">_xlfn.IFS(AF1454&lt;3,"new",AF1454&lt;=7,"Experienced",AF1454&gt;7,"High")</f>
        <v>Experienced</v>
      </c>
      <c r="AM1454" s="1"/>
    </row>
    <row r="1455" spans="1:39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  <c r="AJ1455" t="str">
        <f t="shared" si="22"/>
        <v>High</v>
      </c>
      <c r="AK1455" t="str" cm="1">
        <f t="array" ref="AK1455">_xlfn.IFS(S1455&lt;4000,"Low",S1455&lt;8000,"Medium",S1455&gt;=8000,"High")</f>
        <v>Medium</v>
      </c>
      <c r="AL1455" t="str" cm="1">
        <f t="array" ref="AL1455">_xlfn.IFS(AF1455&lt;3,"new",AF1455&lt;=7,"Experienced",AF1455&gt;7,"High")</f>
        <v>Experienced</v>
      </c>
      <c r="AM1455" s="1"/>
    </row>
    <row r="1456" spans="1:39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  <c r="AJ1456" t="str">
        <f t="shared" si="22"/>
        <v>Low</v>
      </c>
      <c r="AK1456" t="str" cm="1">
        <f t="array" ref="AK1456">_xlfn.IFS(S1456&lt;4000,"Low",S1456&lt;8000,"Medium",S1456&gt;=8000,"High")</f>
        <v>Medium</v>
      </c>
      <c r="AL1456" t="str" cm="1">
        <f t="array" ref="AL1456">_xlfn.IFS(AF1456&lt;3,"new",AF1456&lt;=7,"Experienced",AF1456&gt;7,"High")</f>
        <v>Experienced</v>
      </c>
      <c r="AM1456" s="1"/>
    </row>
    <row r="1457" spans="1:39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  <c r="AJ1457" t="str">
        <f t="shared" si="22"/>
        <v>Low</v>
      </c>
      <c r="AK1457" t="str" cm="1">
        <f t="array" ref="AK1457">_xlfn.IFS(S1457&lt;4000,"Low",S1457&lt;8000,"Medium",S1457&gt;=8000,"High")</f>
        <v>Low</v>
      </c>
      <c r="AL1457" t="str" cm="1">
        <f t="array" ref="AL1457">_xlfn.IFS(AF1457&lt;3,"new",AF1457&lt;=7,"Experienced",AF1457&gt;7,"High")</f>
        <v>new</v>
      </c>
      <c r="AM1457" s="1"/>
    </row>
    <row r="1458" spans="1:39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  <c r="AJ1458" t="str">
        <f t="shared" si="22"/>
        <v>Low</v>
      </c>
      <c r="AK1458" t="str" cm="1">
        <f t="array" ref="AK1458">_xlfn.IFS(S1458&lt;4000,"Low",S1458&lt;8000,"Medium",S1458&gt;=8000,"High")</f>
        <v>Medium</v>
      </c>
      <c r="AL1458" t="str" cm="1">
        <f t="array" ref="AL1458">_xlfn.IFS(AF1458&lt;3,"new",AF1458&lt;=7,"Experienced",AF1458&gt;7,"High")</f>
        <v>High</v>
      </c>
      <c r="AM1458" s="1"/>
    </row>
    <row r="1459" spans="1:39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  <c r="AJ1459" t="str">
        <f t="shared" si="22"/>
        <v>Low</v>
      </c>
      <c r="AK1459" t="str" cm="1">
        <f t="array" ref="AK1459">_xlfn.IFS(S1459&lt;4000,"Low",S1459&lt;8000,"Medium",S1459&gt;=8000,"High")</f>
        <v>Low</v>
      </c>
      <c r="AL1459" t="str" cm="1">
        <f t="array" ref="AL1459">_xlfn.IFS(AF1459&lt;3,"new",AF1459&lt;=7,"Experienced",AF1459&gt;7,"High")</f>
        <v>Experienced</v>
      </c>
      <c r="AM1459" s="1"/>
    </row>
    <row r="1460" spans="1:39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  <c r="AJ1460" t="str">
        <f t="shared" si="22"/>
        <v>Low</v>
      </c>
      <c r="AK1460" t="str" cm="1">
        <f t="array" ref="AK1460">_xlfn.IFS(S1460&lt;4000,"Low",S1460&lt;8000,"Medium",S1460&gt;=8000,"High")</f>
        <v>Low</v>
      </c>
      <c r="AL1460" t="str" cm="1">
        <f t="array" ref="AL1460">_xlfn.IFS(AF1460&lt;3,"new",AF1460&lt;=7,"Experienced",AF1460&gt;7,"High")</f>
        <v>Experienced</v>
      </c>
      <c r="AM1460" s="1"/>
    </row>
    <row r="1461" spans="1:39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  <c r="AJ1461" t="str">
        <f t="shared" si="22"/>
        <v>Low</v>
      </c>
      <c r="AK1461" t="str" cm="1">
        <f t="array" ref="AK1461">_xlfn.IFS(S1461&lt;4000,"Low",S1461&lt;8000,"Medium",S1461&gt;=8000,"High")</f>
        <v>Medium</v>
      </c>
      <c r="AL1461" t="str" cm="1">
        <f t="array" ref="AL1461">_xlfn.IFS(AF1461&lt;3,"new",AF1461&lt;=7,"Experienced",AF1461&gt;7,"High")</f>
        <v>Experienced</v>
      </c>
      <c r="AM1461" s="1"/>
    </row>
    <row r="1462" spans="1:39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  <c r="AJ1462" t="str">
        <f t="shared" si="22"/>
        <v>Low</v>
      </c>
      <c r="AK1462" t="str" cm="1">
        <f t="array" ref="AK1462">_xlfn.IFS(S1462&lt;4000,"Low",S1462&lt;8000,"Medium",S1462&gt;=8000,"High")</f>
        <v>Low</v>
      </c>
      <c r="AL1462" t="str" cm="1">
        <f t="array" ref="AL1462">_xlfn.IFS(AF1462&lt;3,"new",AF1462&lt;=7,"Experienced",AF1462&gt;7,"High")</f>
        <v>Experienced</v>
      </c>
      <c r="AM1462" s="1"/>
    </row>
    <row r="1463" spans="1:39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  <c r="AJ1463" t="str">
        <f t="shared" si="22"/>
        <v>High</v>
      </c>
      <c r="AK1463" t="str" cm="1">
        <f t="array" ref="AK1463">_xlfn.IFS(S1463&lt;4000,"Low",S1463&lt;8000,"Medium",S1463&gt;=8000,"High")</f>
        <v>High</v>
      </c>
      <c r="AL1463" t="str" cm="1">
        <f t="array" ref="AL1463">_xlfn.IFS(AF1463&lt;3,"new",AF1463&lt;=7,"Experienced",AF1463&gt;7,"High")</f>
        <v>Experienced</v>
      </c>
      <c r="AM1463" s="1"/>
    </row>
    <row r="1464" spans="1:39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  <c r="AJ1464" t="str">
        <f t="shared" si="22"/>
        <v>High</v>
      </c>
      <c r="AK1464" t="str" cm="1">
        <f t="array" ref="AK1464">_xlfn.IFS(S1464&lt;4000,"Low",S1464&lt;8000,"Medium",S1464&gt;=8000,"High")</f>
        <v>High</v>
      </c>
      <c r="AL1464" t="str" cm="1">
        <f t="array" ref="AL1464">_xlfn.IFS(AF1464&lt;3,"new",AF1464&lt;=7,"Experienced",AF1464&gt;7,"High")</f>
        <v>High</v>
      </c>
      <c r="AM1464" s="1"/>
    </row>
    <row r="1465" spans="1:39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  <c r="AJ1465" t="str">
        <f t="shared" si="22"/>
        <v>High</v>
      </c>
      <c r="AK1465" t="str" cm="1">
        <f t="array" ref="AK1465">_xlfn.IFS(S1465&lt;4000,"Low",S1465&lt;8000,"Medium",S1465&gt;=8000,"High")</f>
        <v>High</v>
      </c>
      <c r="AL1465" t="str" cm="1">
        <f t="array" ref="AL1465">_xlfn.IFS(AF1465&lt;3,"new",AF1465&lt;=7,"Experienced",AF1465&gt;7,"High")</f>
        <v>High</v>
      </c>
      <c r="AM1465" s="1"/>
    </row>
    <row r="1466" spans="1:39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  <c r="AJ1466" t="str">
        <f t="shared" si="22"/>
        <v>Low</v>
      </c>
      <c r="AK1466" t="str" cm="1">
        <f t="array" ref="AK1466">_xlfn.IFS(S1466&lt;4000,"Low",S1466&lt;8000,"Medium",S1466&gt;=8000,"High")</f>
        <v>Low</v>
      </c>
      <c r="AL1466" t="str" cm="1">
        <f t="array" ref="AL1466">_xlfn.IFS(AF1466&lt;3,"new",AF1466&lt;=7,"Experienced",AF1466&gt;7,"High")</f>
        <v>Experienced</v>
      </c>
      <c r="AM1466" s="1"/>
    </row>
    <row r="1467" spans="1:39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  <c r="AJ1467" t="str">
        <f t="shared" si="22"/>
        <v>Low</v>
      </c>
      <c r="AK1467" t="str" cm="1">
        <f t="array" ref="AK1467">_xlfn.IFS(S1467&lt;4000,"Low",S1467&lt;8000,"Medium",S1467&gt;=8000,"High")</f>
        <v>Low</v>
      </c>
      <c r="AL1467" t="str" cm="1">
        <f t="array" ref="AL1467">_xlfn.IFS(AF1467&lt;3,"new",AF1467&lt;=7,"Experienced",AF1467&gt;7,"High")</f>
        <v>Experienced</v>
      </c>
      <c r="AM1467" s="1"/>
    </row>
    <row r="1468" spans="1:39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  <c r="AJ1468" t="str">
        <f t="shared" si="22"/>
        <v>High</v>
      </c>
      <c r="AK1468" t="str" cm="1">
        <f t="array" ref="AK1468">_xlfn.IFS(S1468&lt;4000,"Low",S1468&lt;8000,"Medium",S1468&gt;=8000,"High")</f>
        <v>High</v>
      </c>
      <c r="AL1468" t="str" cm="1">
        <f t="array" ref="AL1468">_xlfn.IFS(AF1468&lt;3,"new",AF1468&lt;=7,"Experienced",AF1468&gt;7,"High")</f>
        <v>Experienced</v>
      </c>
      <c r="AM1468" s="1"/>
    </row>
    <row r="1469" spans="1:39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  <c r="AJ1469" t="str">
        <f t="shared" si="22"/>
        <v>Low</v>
      </c>
      <c r="AK1469" t="str" cm="1">
        <f t="array" ref="AK1469">_xlfn.IFS(S1469&lt;4000,"Low",S1469&lt;8000,"Medium",S1469&gt;=8000,"High")</f>
        <v>Medium</v>
      </c>
      <c r="AL1469" t="str" cm="1">
        <f t="array" ref="AL1469">_xlfn.IFS(AF1469&lt;3,"new",AF1469&lt;=7,"Experienced",AF1469&gt;7,"High")</f>
        <v>Experienced</v>
      </c>
      <c r="AM1469" s="1"/>
    </row>
    <row r="1470" spans="1:39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  <c r="AJ1470" t="str">
        <f t="shared" si="22"/>
        <v>Low</v>
      </c>
      <c r="AK1470" t="str" cm="1">
        <f t="array" ref="AK1470">_xlfn.IFS(S1470&lt;4000,"Low",S1470&lt;8000,"Medium",S1470&gt;=8000,"High")</f>
        <v>Medium</v>
      </c>
      <c r="AL1470" t="str" cm="1">
        <f t="array" ref="AL1470">_xlfn.IFS(AF1470&lt;3,"new",AF1470&lt;=7,"Experienced",AF1470&gt;7,"High")</f>
        <v>High</v>
      </c>
      <c r="AM1470" s="1"/>
    </row>
    <row r="1471" spans="1:39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  <c r="AJ1471" t="str">
        <f t="shared" si="22"/>
        <v>Low</v>
      </c>
      <c r="AK1471" t="str" cm="1">
        <f t="array" ref="AK1471">_xlfn.IFS(S1471&lt;4000,"Low",S1471&lt;8000,"Medium",S1471&gt;=8000,"High")</f>
        <v>Medium</v>
      </c>
      <c r="AL1471" t="str" cm="1">
        <f t="array" ref="AL1471">_xlfn.IFS(AF1471&lt;3,"new",AF1471&lt;=7,"Experienced",AF1471&gt;7,"High")</f>
        <v>Experienced</v>
      </c>
      <c r="AM1471" s="1"/>
    </row>
  </sheetData>
  <pageMargins left="0.7" right="0.7" top="0.75" bottom="0.75" header="0.3" footer="0.3"/>
  <drawing r:id="rId6"/>
  <tableParts count="1">
    <tablePart r:id="rId7"/>
  </tableParts>
  <extLst>
    <ext xmlns:x14="http://schemas.microsoft.com/office/spreadsheetml/2009/9/main" uri="{A8765BA9-456A-4dab-B4F3-ACF838C121DE}">
      <x14:slicerList>
        <x14:slicer r:id="rId8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374CE-8C36-4960-BFC1-128A0D358963}">
  <dimension ref="A1:G31"/>
  <sheetViews>
    <sheetView workbookViewId="0">
      <selection activeCell="B5" sqref="B5"/>
    </sheetView>
  </sheetViews>
  <sheetFormatPr defaultRowHeight="18.75"/>
  <cols>
    <col min="1" max="1" width="86.28515625" style="5" bestFit="1" customWidth="1"/>
    <col min="2" max="2" width="15.28515625" style="5" bestFit="1" customWidth="1"/>
    <col min="3" max="3" width="24.140625" style="5" bestFit="1" customWidth="1"/>
    <col min="4" max="4" width="138" style="5" bestFit="1" customWidth="1"/>
    <col min="5" max="16384" width="9.140625" style="5"/>
  </cols>
  <sheetData>
    <row r="1" spans="1:4" s="2" customFormat="1">
      <c r="A1" s="2" t="s">
        <v>71</v>
      </c>
      <c r="B1" s="2" t="s">
        <v>72</v>
      </c>
      <c r="C1" s="2" t="s">
        <v>73</v>
      </c>
      <c r="D1" s="2" t="s">
        <v>74</v>
      </c>
    </row>
    <row r="2" spans="1:4">
      <c r="A2" s="4" t="s">
        <v>75</v>
      </c>
      <c r="B2" s="4">
        <f>COUNTA(Analysis!J:J)-1</f>
        <v>1470</v>
      </c>
      <c r="C2" s="4">
        <v>1470</v>
      </c>
      <c r="D2" s="4" t="s">
        <v>76</v>
      </c>
    </row>
    <row r="3" spans="1:4">
      <c r="A3" s="4" t="s">
        <v>77</v>
      </c>
      <c r="B3" s="4">
        <f>COUNTA(_xlfn.UNIQUE(Analysis!E2:E1471))</f>
        <v>3</v>
      </c>
      <c r="C3" s="4">
        <v>3</v>
      </c>
      <c r="D3" s="4" t="s">
        <v>78</v>
      </c>
    </row>
    <row r="4" spans="1:4">
      <c r="A4" s="4">
        <f>SUM('Business question '!B2)</f>
        <v>1470</v>
      </c>
      <c r="B4" s="4">
        <f>COUNTA(_xlfn.UNIQUE(Analysis!P2:P1471))</f>
        <v>9</v>
      </c>
      <c r="C4" s="4">
        <v>9</v>
      </c>
      <c r="D4" s="4" t="s">
        <v>79</v>
      </c>
    </row>
    <row r="5" spans="1:4">
      <c r="A5" s="4" t="s">
        <v>80</v>
      </c>
      <c r="B5" s="4">
        <f>ROUND(AVERAGE(Analysis!A2:A1471),2)</f>
        <v>36.92</v>
      </c>
      <c r="C5" s="4">
        <v>36</v>
      </c>
      <c r="D5" s="4" t="s">
        <v>81</v>
      </c>
    </row>
    <row r="6" spans="1:4">
      <c r="A6" s="4" t="s">
        <v>82</v>
      </c>
      <c r="B6" s="4">
        <f>AVERAGE(Analysis!S2:S1471)</f>
        <v>6502.931292517007</v>
      </c>
      <c r="C6" s="4">
        <v>6502</v>
      </c>
      <c r="D6" s="4" t="s">
        <v>83</v>
      </c>
    </row>
    <row r="7" spans="1:4">
      <c r="A7" s="4" t="s">
        <v>84</v>
      </c>
      <c r="B7" s="4">
        <f>COUNTIF(Analysis!B2:B21471,"yes")</f>
        <v>237</v>
      </c>
      <c r="C7" s="4">
        <v>236</v>
      </c>
      <c r="D7" s="4" t="s">
        <v>85</v>
      </c>
    </row>
    <row r="8" spans="1:4">
      <c r="A8" s="4" t="s">
        <v>75</v>
      </c>
      <c r="B8" s="4">
        <f>COUNTIF(Analysis!B2:B21471,"NO")</f>
        <v>1233</v>
      </c>
      <c r="C8" s="4">
        <v>1232</v>
      </c>
      <c r="D8" s="4" t="s">
        <v>86</v>
      </c>
    </row>
    <row r="9" spans="1:4">
      <c r="A9" s="4" t="s">
        <v>87</v>
      </c>
      <c r="B9" s="4">
        <f>COUNTIF(Analysis!L2:L1471,"MALE")</f>
        <v>882</v>
      </c>
      <c r="C9" s="4">
        <v>882</v>
      </c>
      <c r="D9" s="4" t="s">
        <v>88</v>
      </c>
    </row>
    <row r="10" spans="1:4">
      <c r="A10" s="4" t="s">
        <v>89</v>
      </c>
      <c r="B10" s="4">
        <f>COUNTIF(Analysis!L2:L1471, "female")</f>
        <v>588</v>
      </c>
      <c r="C10" s="4">
        <v>588</v>
      </c>
      <c r="D10" s="4" t="s">
        <v>90</v>
      </c>
    </row>
    <row r="11" spans="1:4">
      <c r="A11" s="4" t="s">
        <v>91</v>
      </c>
      <c r="B11" s="4">
        <f>COUNTIF(Analysis!W2:W1471,"yes")</f>
        <v>416</v>
      </c>
      <c r="C11" s="4">
        <v>416</v>
      </c>
      <c r="D11" s="4" t="s">
        <v>92</v>
      </c>
    </row>
    <row r="12" spans="1:4">
      <c r="A12" s="4" t="s">
        <v>93</v>
      </c>
      <c r="B12" s="4">
        <f>COUNTIFS(Analysis!W2:W1471,"yes",Analysis!L2:L1471,"male")</f>
        <v>236</v>
      </c>
      <c r="C12" s="4">
        <v>236</v>
      </c>
      <c r="D12" s="4" t="s">
        <v>94</v>
      </c>
    </row>
    <row r="13" spans="1:4">
      <c r="A13" s="6" t="s">
        <v>95</v>
      </c>
      <c r="B13" s="4">
        <f>COUNTIFS(Analysis!W2:W1471,"yes",Analysis!L2:L1471,"female")</f>
        <v>180</v>
      </c>
      <c r="C13" s="4">
        <v>180</v>
      </c>
      <c r="D13" s="6" t="s">
        <v>96</v>
      </c>
    </row>
    <row r="14" spans="1:4">
      <c r="A14" s="4" t="s">
        <v>97</v>
      </c>
      <c r="B14" s="4">
        <f>SUMIFS(Analysis!S2:S1471,Analysis!E2:E1471,"sales")</f>
        <v>3103791</v>
      </c>
      <c r="C14" s="4">
        <v>3103791</v>
      </c>
      <c r="D14" s="6" t="s">
        <v>98</v>
      </c>
    </row>
    <row r="15" spans="1:4">
      <c r="A15" s="6" t="s">
        <v>99</v>
      </c>
      <c r="B15" s="4">
        <f>SUMIFS(Analysis!S2:S1471,Analysis!E2:E1471,"Human Resources")</f>
        <v>419234</v>
      </c>
      <c r="C15" s="4">
        <v>419234</v>
      </c>
      <c r="D15" s="6" t="s">
        <v>100</v>
      </c>
    </row>
    <row r="16" spans="1:4">
      <c r="A16" s="6" t="s">
        <v>101</v>
      </c>
      <c r="B16" s="4">
        <f>SUMIFS(Analysis!S2:S1471,Analysis!E2:E1471,"Research &amp; Development")</f>
        <v>6036284</v>
      </c>
      <c r="C16" s="4">
        <v>6036284</v>
      </c>
      <c r="D16" s="6" t="s">
        <v>102</v>
      </c>
    </row>
    <row r="17" spans="1:7">
      <c r="A17" s="6" t="s">
        <v>103</v>
      </c>
      <c r="B17" s="4">
        <f>SUMIFS(Analysis!S2:S1471,Analysis!W2:W1471,"yes")</f>
        <v>2724196</v>
      </c>
      <c r="C17" s="4">
        <v>2724196</v>
      </c>
      <c r="D17" s="4" t="s">
        <v>104</v>
      </c>
    </row>
    <row r="18" spans="1:7">
      <c r="A18" s="4" t="s">
        <v>105</v>
      </c>
      <c r="B18" s="4">
        <f>AVERAGEIFS(Analysis!S2:S1471,Analysis!E2:E1471,"sales")</f>
        <v>6959.17264573991</v>
      </c>
      <c r="C18" s="4">
        <v>6959</v>
      </c>
      <c r="D18" s="6" t="s">
        <v>106</v>
      </c>
    </row>
    <row r="19" spans="1:7">
      <c r="A19" s="6" t="s">
        <v>107</v>
      </c>
      <c r="B19" s="4">
        <f>AVERAGEIFS(Analysis!S2:S1471,Analysis!E2:E1471,"Human Resources")</f>
        <v>6654.5079365079364</v>
      </c>
      <c r="C19" s="4">
        <v>6654</v>
      </c>
      <c r="D19" s="6" t="s">
        <v>108</v>
      </c>
    </row>
    <row r="20" spans="1:7">
      <c r="A20" s="4" t="s">
        <v>109</v>
      </c>
      <c r="B20" s="4">
        <f>AVERAGEIFS(Analysis!A2:A1471,Analysis!E2:E1471,"sales")</f>
        <v>36.542600896860989</v>
      </c>
      <c r="C20" s="4">
        <v>36</v>
      </c>
      <c r="D20" s="6" t="s">
        <v>110</v>
      </c>
    </row>
    <row r="21" spans="1:7">
      <c r="A21" s="4" t="s">
        <v>111</v>
      </c>
      <c r="B21" s="4">
        <f>AVERAGEIFS(Analysis!AF2:AF1471,Analysis!E2:E1471,"sales")</f>
        <v>7.2847533632286998</v>
      </c>
      <c r="C21" s="4">
        <v>7.2</v>
      </c>
      <c r="D21" s="6" t="s">
        <v>112</v>
      </c>
    </row>
    <row r="22" spans="1:7">
      <c r="A22" s="4" t="s">
        <v>113</v>
      </c>
      <c r="B22" s="4" t="str">
        <f>IF(S2&gt;=6500,"High","Low")</f>
        <v>Low</v>
      </c>
      <c r="C22" s="4" t="s">
        <v>114</v>
      </c>
      <c r="D22" s="4" t="s">
        <v>115</v>
      </c>
    </row>
    <row r="23" spans="1:7">
      <c r="A23" s="4" t="s">
        <v>116</v>
      </c>
      <c r="B23" s="4" t="str">
        <f>COUNTIF(Analysis!AJ2:AJ1471,"High")&amp;"high,"&amp;COUNTIF(Analysis!AJ2:AJ1471,"low")&amp;"low"</f>
        <v>496high,974low</v>
      </c>
      <c r="C23" s="7">
        <v>496974</v>
      </c>
      <c r="D23" s="4" t="s">
        <v>117</v>
      </c>
    </row>
    <row r="24" spans="1:7">
      <c r="A24" s="4" t="s">
        <v>118</v>
      </c>
      <c r="B24" s="4" t="str" cm="1">
        <f t="array" ref="B24">_xlfn.IFS(S2&lt;4000,"Low",S2&lt;8000,"Medium",S2&gt;=8000,"High")</f>
        <v>Low</v>
      </c>
      <c r="C24" s="4" t="s">
        <v>119</v>
      </c>
      <c r="D24" s="6" t="s">
        <v>120</v>
      </c>
    </row>
    <row r="25" spans="1:7">
      <c r="A25" s="4" t="s">
        <v>121</v>
      </c>
      <c r="B25" s="4" t="str" cm="1">
        <f t="array" ref="B25">_xlfn.IFS(AF2&lt;3,"new",AF2&lt;=7,"Experienced",AF2&gt;7,"High")</f>
        <v>new</v>
      </c>
      <c r="C25" s="4" t="s">
        <v>122</v>
      </c>
      <c r="D25" s="4" t="s">
        <v>123</v>
      </c>
    </row>
    <row r="26" spans="1:7">
      <c r="A26" s="4" t="s">
        <v>124</v>
      </c>
      <c r="B26" s="4" t="str">
        <f>_xlfn.XLOOKUP(1,Analysis!J2:J1471,Analysis!E2:E1471)</f>
        <v>Sales</v>
      </c>
      <c r="C26" s="4" t="s">
        <v>125</v>
      </c>
      <c r="D26" s="4" t="s">
        <v>126</v>
      </c>
    </row>
    <row r="27" spans="1:7">
      <c r="A27" s="4" t="s">
        <v>127</v>
      </c>
      <c r="B27" s="4">
        <f>_xlfn.XLOOKUP(1,Analysis!J2:J1471,Analysis!S2:S1471)</f>
        <v>5993</v>
      </c>
      <c r="C27" s="4">
        <v>5993</v>
      </c>
      <c r="D27" s="8" t="s">
        <v>128</v>
      </c>
      <c r="E27" s="3"/>
      <c r="F27" s="3"/>
      <c r="G27" s="3"/>
    </row>
    <row r="28" spans="1:7" ht="37.5">
      <c r="A28" s="4" t="s">
        <v>129</v>
      </c>
      <c r="B28" s="4" t="s">
        <v>130</v>
      </c>
      <c r="C28" s="4" t="s">
        <v>131</v>
      </c>
      <c r="D28" s="9" t="s">
        <v>132</v>
      </c>
      <c r="E28" s="3"/>
      <c r="F28" s="3"/>
      <c r="G28" s="3"/>
    </row>
    <row r="29" spans="1:7">
      <c r="A29" s="4" t="s">
        <v>133</v>
      </c>
      <c r="B29" s="4" t="s">
        <v>130</v>
      </c>
      <c r="C29" s="4" t="s">
        <v>131</v>
      </c>
      <c r="D29" s="4" t="s">
        <v>134</v>
      </c>
    </row>
    <row r="30" spans="1:7">
      <c r="A30" s="4" t="s">
        <v>135</v>
      </c>
      <c r="B30" s="4" t="s">
        <v>130</v>
      </c>
      <c r="C30" s="4" t="s">
        <v>131</v>
      </c>
      <c r="D30" s="4" t="s">
        <v>136</v>
      </c>
    </row>
    <row r="31" spans="1:7">
      <c r="A31" s="4" t="s">
        <v>137</v>
      </c>
      <c r="B31" s="4" t="s">
        <v>130</v>
      </c>
      <c r="C31" s="4" t="s">
        <v>131</v>
      </c>
      <c r="D31" s="4" t="s">
        <v>138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F2459-CE8A-4905-B12C-D2583142CB86}">
  <dimension ref="A1:N39"/>
  <sheetViews>
    <sheetView workbookViewId="0">
      <selection activeCell="J4" sqref="J4"/>
    </sheetView>
  </sheetViews>
  <sheetFormatPr defaultRowHeight="15"/>
  <cols>
    <col min="1" max="1" width="22.7109375" customWidth="1"/>
    <col min="4" max="4" width="22.7109375" customWidth="1"/>
    <col min="7" max="7" width="22.7109375" customWidth="1"/>
    <col min="10" max="10" width="22.7109375" customWidth="1"/>
  </cols>
  <sheetData>
    <row r="1" spans="1:14" ht="30" customHeight="1">
      <c r="A1" s="34" t="s">
        <v>139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6"/>
      <c r="N1" s="18"/>
    </row>
    <row r="2" spans="1:14">
      <c r="A2" s="1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20"/>
    </row>
    <row r="3" spans="1:14">
      <c r="A3" s="14" t="s">
        <v>140</v>
      </c>
      <c r="B3" s="10"/>
      <c r="C3" s="10"/>
      <c r="D3" s="17" t="s">
        <v>141</v>
      </c>
      <c r="E3" s="10"/>
      <c r="F3" s="10"/>
      <c r="G3" s="15" t="s">
        <v>142</v>
      </c>
      <c r="H3" s="10"/>
      <c r="I3" s="10"/>
      <c r="J3" s="17" t="s">
        <v>143</v>
      </c>
      <c r="K3" s="10"/>
      <c r="L3" s="10"/>
      <c r="M3" s="20"/>
    </row>
    <row r="4" spans="1:14" ht="23.25">
      <c r="A4" s="13">
        <f>SUM('Business question '!B2)</f>
        <v>1470</v>
      </c>
      <c r="B4" s="10"/>
      <c r="C4" s="10"/>
      <c r="D4" s="16">
        <f>COUNTIF(Analysis!B2:B21471,"yes")</f>
        <v>237</v>
      </c>
      <c r="E4" s="10"/>
      <c r="F4" s="10"/>
      <c r="G4" s="12">
        <f>AVERAGE(Analysis!S2:S1471)</f>
        <v>6502.931292517007</v>
      </c>
      <c r="H4" s="10"/>
      <c r="I4" s="10"/>
      <c r="J4" s="11">
        <f>ROUND(AVERAGE(Analysis!A2:A1471),2)</f>
        <v>36.92</v>
      </c>
      <c r="K4" s="10"/>
      <c r="L4" s="10"/>
      <c r="M4" s="20"/>
    </row>
    <row r="5" spans="1:14">
      <c r="A5" s="19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20"/>
    </row>
    <row r="6" spans="1:14">
      <c r="A6" s="19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20"/>
    </row>
    <row r="7" spans="1:14">
      <c r="A7" s="19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20"/>
    </row>
    <row r="8" spans="1:14">
      <c r="A8" s="19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20"/>
    </row>
    <row r="9" spans="1:14">
      <c r="A9" s="19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20"/>
    </row>
    <row r="10" spans="1:14">
      <c r="A10" s="19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20"/>
    </row>
    <row r="11" spans="1:14">
      <c r="A11" s="19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20"/>
    </row>
    <row r="12" spans="1:14">
      <c r="A12" s="19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20"/>
    </row>
    <row r="13" spans="1:14">
      <c r="A13" s="19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20"/>
    </row>
    <row r="14" spans="1:14">
      <c r="A14" s="19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20"/>
    </row>
    <row r="15" spans="1:14">
      <c r="A15" s="19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20"/>
    </row>
    <row r="16" spans="1:14">
      <c r="A16" s="19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20"/>
    </row>
    <row r="17" spans="1:13">
      <c r="A17" s="19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20"/>
    </row>
    <row r="18" spans="1:13">
      <c r="A18" s="19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20"/>
    </row>
    <row r="19" spans="1:13">
      <c r="A19" s="19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20"/>
    </row>
    <row r="20" spans="1:13">
      <c r="A20" s="19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20"/>
    </row>
    <row r="21" spans="1:13">
      <c r="A21" s="19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20"/>
    </row>
    <row r="22" spans="1:13">
      <c r="A22" s="19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20"/>
    </row>
    <row r="23" spans="1:13">
      <c r="A23" s="19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20"/>
    </row>
    <row r="24" spans="1:13">
      <c r="A24" s="19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20"/>
    </row>
    <row r="25" spans="1:13">
      <c r="A25" s="19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20"/>
    </row>
    <row r="26" spans="1:13">
      <c r="A26" s="19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20"/>
    </row>
    <row r="27" spans="1:13">
      <c r="A27" s="19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20"/>
    </row>
    <row r="28" spans="1:13">
      <c r="A28" s="19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20"/>
    </row>
    <row r="29" spans="1:13">
      <c r="A29" s="19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20"/>
    </row>
    <row r="30" spans="1:13">
      <c r="A30" s="19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20"/>
    </row>
    <row r="31" spans="1:13">
      <c r="A31" s="19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20"/>
    </row>
    <row r="32" spans="1:13">
      <c r="A32" s="19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20"/>
    </row>
    <row r="33" spans="1:13">
      <c r="A33" s="19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20"/>
    </row>
    <row r="34" spans="1:13">
      <c r="A34" s="19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20"/>
    </row>
    <row r="35" spans="1:13">
      <c r="A35" s="19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20"/>
    </row>
    <row r="36" spans="1:13">
      <c r="A36" s="19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20"/>
    </row>
    <row r="37" spans="1:13">
      <c r="A37" s="19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20"/>
    </row>
    <row r="38" spans="1:13">
      <c r="A38" s="19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20"/>
    </row>
    <row r="39" spans="1:13">
      <c r="A39" s="21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3"/>
    </row>
  </sheetData>
  <mergeCells count="1">
    <mergeCell ref="A1:M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virender singh</cp:lastModifiedBy>
  <cp:revision/>
  <dcterms:created xsi:type="dcterms:W3CDTF">2026-08-04T04:47:18Z</dcterms:created>
  <dcterms:modified xsi:type="dcterms:W3CDTF">2026-09-07T10:45:03Z</dcterms:modified>
  <cp:category/>
  <cp:contentStatus/>
</cp:coreProperties>
</file>